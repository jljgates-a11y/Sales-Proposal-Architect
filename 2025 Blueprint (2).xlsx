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22.xml" ContentType="application/vnd.openxmlformats-officedocument.spreadsheetml.pivotCacheRecords+xml"/>
  <Override PartName="/xl/pivotCache/pivotCacheDefinition23.xml" ContentType="application/vnd.openxmlformats-officedocument.spreadsheetml.pivotCacheDefinition+xml"/>
  <Override PartName="/xl/pivotCache/pivotCacheRecords23.xml" ContentType="application/vnd.openxmlformats-officedocument.spreadsheetml.pivotCacheRecords+xml"/>
  <Override PartName="/xl/pivotCache/pivotCacheDefinition24.xml" ContentType="application/vnd.openxmlformats-officedocument.spreadsheetml.pivotCacheDefinition+xml"/>
  <Override PartName="/xl/pivotCache/pivotCacheRecords24.xml" ContentType="application/vnd.openxmlformats-officedocument.spreadsheetml.pivotCacheRecords+xml"/>
  <Override PartName="/xl/pivotCache/pivotCacheDefinition25.xml" ContentType="application/vnd.openxmlformats-officedocument.spreadsheetml.pivotCacheDefinition+xml"/>
  <Override PartName="/xl/pivotCache/pivotCacheRecords25.xml" ContentType="application/vnd.openxmlformats-officedocument.spreadsheetml.pivotCacheRecords+xml"/>
  <Override PartName="/xl/pivotCache/pivotCacheDefinition26.xml" ContentType="application/vnd.openxmlformats-officedocument.spreadsheetml.pivotCacheDefinition+xml"/>
  <Override PartName="/xl/pivotCache/pivotCacheRecords26.xml" ContentType="application/vnd.openxmlformats-officedocument.spreadsheetml.pivotCacheRecords+xml"/>
  <Override PartName="/xl/pivotCache/pivotCacheDefinition27.xml" ContentType="application/vnd.openxmlformats-officedocument.spreadsheetml.pivotCacheDefinition+xml"/>
  <Override PartName="/xl/pivotCache/pivotCacheRecords27.xml" ContentType="application/vnd.openxmlformats-officedocument.spreadsheetml.pivotCacheRecords+xml"/>
  <Override PartName="/xl/pivotCache/pivotCacheDefinition28.xml" ContentType="application/vnd.openxmlformats-officedocument.spreadsheetml.pivotCacheDefinition+xml"/>
  <Override PartName="/xl/pivotCache/pivotCacheRecords28.xml" ContentType="application/vnd.openxmlformats-officedocument.spreadsheetml.pivotCacheRecords+xml"/>
  <Override PartName="/xl/pivotCache/pivotCacheDefinition29.xml" ContentType="application/vnd.openxmlformats-officedocument.spreadsheetml.pivotCacheDefinition+xml"/>
  <Override PartName="/xl/pivotCache/pivotCacheRecords2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omments1.xml" ContentType="application/vnd.openxmlformats-officedocument.spreadsheetml.comment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comments2.xml" ContentType="application/vnd.openxmlformats-officedocument.spreadsheetml.comments+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comments3.xml" ContentType="application/vnd.openxmlformats-officedocument.spreadsheetml.comments+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5.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always" hidePivotFieldList="1"/>
  <mc:AlternateContent xmlns:mc="http://schemas.openxmlformats.org/markup-compatibility/2006">
    <mc:Choice Requires="x15">
      <x15ac:absPath xmlns:x15ac="http://schemas.microsoft.com/office/spreadsheetml/2010/11/ac" url="C:\Users\jamie.gates\Downloads\"/>
    </mc:Choice>
  </mc:AlternateContent>
  <xr:revisionPtr revIDLastSave="0" documentId="8_{4319F229-A307-4552-AEAB-4474ECE632FE}" xr6:coauthVersionLast="47" xr6:coauthVersionMax="47" xr10:uidLastSave="{00000000-0000-0000-0000-000000000000}"/>
  <bookViews>
    <workbookView xWindow="-110" yWindow="-110" windowWidth="19420" windowHeight="10420" firstSheet="29" activeTab="30" xr2:uid="{2EA795A1-5CDD-4008-BE2F-8840E1F86364}"/>
  </bookViews>
  <sheets>
    <sheet name="Academic Signing Day" sheetId="1" r:id="rId1"/>
    <sheet name="Annual Meeting" sheetId="2" r:id="rId2"/>
    <sheet name="Baggo for Business" sheetId="3" r:id="rId3"/>
    <sheet name="Biketoberfest" sheetId="4" r:id="rId4"/>
    <sheet name="Bowling for Business" sheetId="5" r:id="rId5"/>
    <sheet name="Business Expo &amp; Taste of Conway" sheetId="6" r:id="rId6"/>
    <sheet name="Catfish &amp; Cold Ones" sheetId="7" r:id="rId7"/>
    <sheet name="CDC Membership" sheetId="8" r:id="rId8"/>
    <sheet name="CDP Annual Meeting" sheetId="10" r:id="rId9"/>
    <sheet name="CEO Luncheons" sheetId="11" r:id="rId10"/>
    <sheet name="Conway+" sheetId="13" r:id="rId11"/>
    <sheet name="Conway Area Healthcare Awards" sheetId="15" r:id="rId12"/>
    <sheet name="CALI Tuition" sheetId="16" r:id="rId13"/>
    <sheet name="CALI" sheetId="17" r:id="rId14"/>
    <sheet name="Diversity in Business" sheetId="18" r:id="rId15"/>
    <sheet name="Government Affairs" sheetId="19" r:id="rId16"/>
    <sheet name="Happy Birthday Conway" sheetId="44" r:id="rId17"/>
    <sheet name="Illuminate" sheetId="20" r:id="rId18"/>
    <sheet name="Launch Conway" sheetId="21" r:id="rId19"/>
    <sheet name="Off the Clocks" sheetId="22" r:id="rId20"/>
    <sheet name="Outlook Conway" sheetId="23" r:id="rId21"/>
    <sheet name="OC Invites" sheetId="46" r:id="rId22"/>
    <sheet name="Online" sheetId="32" r:id="rId23"/>
    <sheet name="Pulse of Conway" sheetId="25" r:id="rId24"/>
    <sheet name="Purple Passion" sheetId="29" r:id="rId25"/>
    <sheet name="SPARK!" sheetId="26" r:id="rId26"/>
    <sheet name="Teacher BKF &amp; Education Fair" sheetId="27" r:id="rId27"/>
    <sheet name="Toad Suck Daze" sheetId="28" r:id="rId28"/>
    <sheet name="Welcome to Conway Box" sheetId="30" r:id="rId29"/>
    <sheet name="Women in Business" sheetId="31" r:id="rId30"/>
    <sheet name="Master" sheetId="33" r:id="rId31"/>
    <sheet name="% to Goal" sheetId="45" r:id="rId32"/>
    <sheet name="Collection %s" sheetId="34" r:id="rId33"/>
    <sheet name="Chamber Board Report" sheetId="36" r:id="rId34"/>
    <sheet name="Overall Sales Report" sheetId="35" r:id="rId35"/>
    <sheet name="Conway Pub. Board Report" sheetId="37" r:id="rId36"/>
    <sheet name="YTD Sales by Person" sheetId="38" r:id="rId37"/>
    <sheet name="Blueprint Accounts" sheetId="39" r:id="rId38"/>
    <sheet name="2ND Level to Sell" sheetId="48" r:id="rId39"/>
    <sheet name="Member2Member Comps" sheetId="43" r:id="rId40"/>
    <sheet name="Chairman's Circle Levels" sheetId="40" r:id="rId41"/>
    <sheet name="Chairman's Circle Investors" sheetId="47" r:id="rId42"/>
  </sheets>
  <externalReferences>
    <externalReference r:id="rId43"/>
  </externalReferences>
  <definedNames>
    <definedName name="_xlnm.Print_Area" localSheetId="7">'CDC Membership'!$A$1:$E$117</definedName>
  </definedNames>
  <calcPr calcId="191028"/>
  <pivotCaches>
    <pivotCache cacheId="0" r:id="rId44"/>
    <pivotCache cacheId="1" r:id="rId45"/>
    <pivotCache cacheId="2" r:id="rId46"/>
    <pivotCache cacheId="3" r:id="rId47"/>
    <pivotCache cacheId="4" r:id="rId48"/>
    <pivotCache cacheId="5" r:id="rId49"/>
    <pivotCache cacheId="6" r:id="rId50"/>
    <pivotCache cacheId="7" r:id="rId51"/>
    <pivotCache cacheId="8" r:id="rId52"/>
    <pivotCache cacheId="9" r:id="rId53"/>
    <pivotCache cacheId="10" r:id="rId54"/>
    <pivotCache cacheId="11" r:id="rId55"/>
    <pivotCache cacheId="12" r:id="rId56"/>
    <pivotCache cacheId="13" r:id="rId57"/>
    <pivotCache cacheId="14" r:id="rId58"/>
    <pivotCache cacheId="15" r:id="rId59"/>
    <pivotCache cacheId="16" r:id="rId60"/>
    <pivotCache cacheId="17" r:id="rId61"/>
    <pivotCache cacheId="18" r:id="rId62"/>
    <pivotCache cacheId="19" r:id="rId63"/>
    <pivotCache cacheId="20" r:id="rId64"/>
    <pivotCache cacheId="21" r:id="rId65"/>
    <pivotCache cacheId="22" r:id="rId66"/>
    <pivotCache cacheId="23" r:id="rId67"/>
    <pivotCache cacheId="24" r:id="rId68"/>
    <pivotCache cacheId="25" r:id="rId69"/>
    <pivotCache cacheId="26" r:id="rId70"/>
    <pivotCache cacheId="27" r:id="rId71"/>
    <pivotCache cacheId="28" r:id="rId72"/>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7" i="16" l="1"/>
  <c r="K76" i="6"/>
  <c r="K19" i="15"/>
  <c r="K65" i="17"/>
  <c r="K69" i="16"/>
  <c r="L95" i="25"/>
  <c r="AI14" i="47"/>
  <c r="AI73" i="47"/>
  <c r="AI163" i="33"/>
  <c r="AI99" i="47"/>
  <c r="AI6" i="47"/>
  <c r="AI9" i="47"/>
  <c r="AI7" i="47"/>
  <c r="AI8" i="47"/>
  <c r="AI3" i="47"/>
  <c r="AI4" i="47"/>
  <c r="AI5" i="47"/>
  <c r="AI17" i="47"/>
  <c r="AI15" i="47"/>
  <c r="AI22" i="47"/>
  <c r="AI18" i="47"/>
  <c r="AI21" i="47"/>
  <c r="AI13" i="47"/>
  <c r="AI24" i="47"/>
  <c r="AI25" i="47"/>
  <c r="AI16" i="47"/>
  <c r="AI20" i="47"/>
  <c r="AI12" i="47"/>
  <c r="AI19" i="47"/>
  <c r="AI23" i="47"/>
  <c r="AI52" i="47"/>
  <c r="AI31" i="47"/>
  <c r="AI41" i="47"/>
  <c r="AI30" i="47"/>
  <c r="AI51" i="47"/>
  <c r="AI37" i="47"/>
  <c r="AI43" i="47"/>
  <c r="AI44" i="47"/>
  <c r="AI35" i="47"/>
  <c r="AI33" i="47"/>
  <c r="AI48" i="47"/>
  <c r="AI42" i="47"/>
  <c r="AI34" i="47"/>
  <c r="AI38" i="47"/>
  <c r="AI50" i="47"/>
  <c r="AI36" i="47"/>
  <c r="AI28" i="47"/>
  <c r="AI53" i="47"/>
  <c r="AI32" i="47"/>
  <c r="AI40" i="47"/>
  <c r="AI54" i="47"/>
  <c r="AI29" i="47"/>
  <c r="AI39" i="47"/>
  <c r="AI70" i="47"/>
  <c r="AI61" i="47"/>
  <c r="AI58" i="47"/>
  <c r="AI86" i="47"/>
  <c r="AI75" i="47"/>
  <c r="AI84" i="47"/>
  <c r="AI59" i="47"/>
  <c r="AI71" i="47"/>
  <c r="AI68" i="47"/>
  <c r="AI92" i="47"/>
  <c r="AI89" i="47"/>
  <c r="AI93" i="47"/>
  <c r="AI64" i="47"/>
  <c r="AI77" i="47"/>
  <c r="AI83" i="47"/>
  <c r="AI74" i="47"/>
  <c r="AI78" i="47"/>
  <c r="AI67" i="47"/>
  <c r="AI88" i="47"/>
  <c r="AI60" i="47"/>
  <c r="AI90" i="47"/>
  <c r="AI85" i="47"/>
  <c r="AI69" i="47"/>
  <c r="AI62" i="47"/>
  <c r="AI66" i="47"/>
  <c r="AI79" i="47"/>
  <c r="AI57" i="47"/>
  <c r="AI76" i="47"/>
  <c r="AI80" i="47"/>
  <c r="AI63" i="47"/>
  <c r="AI65" i="47"/>
  <c r="AI87" i="47"/>
  <c r="AI82" i="47"/>
  <c r="AI91" i="47"/>
  <c r="AI81" i="47"/>
  <c r="AI72" i="47"/>
  <c r="AI119" i="47"/>
  <c r="AI96" i="47"/>
  <c r="AI104" i="47"/>
  <c r="AI109" i="47"/>
  <c r="AI103" i="47"/>
  <c r="AI121" i="47"/>
  <c r="AI115" i="47"/>
  <c r="AI102" i="47"/>
  <c r="AI122" i="47"/>
  <c r="AI110" i="47"/>
  <c r="AI116" i="47"/>
  <c r="AI101" i="47"/>
  <c r="AI117" i="47"/>
  <c r="AI100" i="47"/>
  <c r="AI112" i="47"/>
  <c r="AI107" i="47"/>
  <c r="AI120" i="47"/>
  <c r="AI97" i="47"/>
  <c r="AI105" i="47"/>
  <c r="AI113" i="47"/>
  <c r="AI108" i="47"/>
  <c r="AI114" i="47"/>
  <c r="AI98" i="47"/>
  <c r="AI106" i="47"/>
  <c r="AI111" i="47"/>
  <c r="AI118" i="47"/>
  <c r="AI52" i="48"/>
  <c r="AI87" i="48"/>
  <c r="AI105" i="48"/>
  <c r="AI77" i="48"/>
  <c r="AI38" i="48"/>
  <c r="AI68" i="48"/>
  <c r="AI27" i="48"/>
  <c r="AI64" i="48"/>
  <c r="AI79" i="48"/>
  <c r="AI62" i="48"/>
  <c r="AI75" i="48"/>
  <c r="AI143" i="48"/>
  <c r="AI165" i="48"/>
  <c r="AI82" i="48"/>
  <c r="AI9" i="48"/>
  <c r="AI163" i="48"/>
  <c r="AI205" i="48"/>
  <c r="AI91" i="48"/>
  <c r="AI29" i="48"/>
  <c r="AI204" i="48"/>
  <c r="AI60" i="48"/>
  <c r="AI18" i="48"/>
  <c r="AI203" i="48"/>
  <c r="AI162" i="48"/>
  <c r="AI127" i="48"/>
  <c r="AI7" i="48"/>
  <c r="AI41" i="48"/>
  <c r="AI146" i="48"/>
  <c r="AI202" i="48"/>
  <c r="AI161" i="48"/>
  <c r="AI194" i="48"/>
  <c r="AI61" i="48"/>
  <c r="AI100" i="48"/>
  <c r="AI25" i="48"/>
  <c r="AI63" i="48"/>
  <c r="AI106" i="48"/>
  <c r="AI123" i="48"/>
  <c r="AI10" i="48"/>
  <c r="AI54" i="48"/>
  <c r="AI6" i="48"/>
  <c r="AI134" i="48"/>
  <c r="AI160" i="48"/>
  <c r="AI139" i="48"/>
  <c r="AI46" i="48"/>
  <c r="AI17" i="48"/>
  <c r="AI193" i="48"/>
  <c r="AI15" i="48"/>
  <c r="AI51" i="48"/>
  <c r="AI97" i="48"/>
  <c r="AI12" i="48"/>
  <c r="AI201" i="48"/>
  <c r="AI192" i="48"/>
  <c r="AI71" i="48"/>
  <c r="AI191" i="48"/>
  <c r="AI168" i="48"/>
  <c r="AI50" i="48"/>
  <c r="AI56" i="48"/>
  <c r="AI55" i="48"/>
  <c r="AI144" i="48"/>
  <c r="AI216" i="48"/>
  <c r="AI148" i="48"/>
  <c r="AI112" i="48"/>
  <c r="AI190" i="48"/>
  <c r="AI189" i="48"/>
  <c r="AI8" i="48"/>
  <c r="AI11" i="48"/>
  <c r="AI130" i="48"/>
  <c r="AI85" i="48"/>
  <c r="AI14" i="48"/>
  <c r="AI47" i="48"/>
  <c r="AI188" i="48"/>
  <c r="AI138" i="48"/>
  <c r="AI169" i="48"/>
  <c r="AI121" i="48"/>
  <c r="AI37" i="48"/>
  <c r="AI200" i="48"/>
  <c r="AI174" i="48"/>
  <c r="AI120" i="48"/>
  <c r="AI96" i="48"/>
  <c r="AI49" i="48"/>
  <c r="AI154" i="48"/>
  <c r="AI135" i="48"/>
  <c r="AI43" i="48"/>
  <c r="AI53" i="48"/>
  <c r="AI93" i="48"/>
  <c r="AI122" i="48"/>
  <c r="AI167" i="48"/>
  <c r="AI119" i="48"/>
  <c r="AI118" i="48"/>
  <c r="AI33" i="48"/>
  <c r="AI3" i="48"/>
  <c r="AI70" i="48"/>
  <c r="AI142" i="48"/>
  <c r="AI36" i="48"/>
  <c r="AI117" i="48"/>
  <c r="AI98" i="48"/>
  <c r="AI166" i="48"/>
  <c r="AI74" i="48"/>
  <c r="AI137" i="48"/>
  <c r="AI23" i="48"/>
  <c r="AI153" i="48"/>
  <c r="AI86" i="48"/>
  <c r="AI159" i="48"/>
  <c r="AI2" i="48"/>
  <c r="AI116" i="48"/>
  <c r="AI131" i="48"/>
  <c r="AI57" i="48"/>
  <c r="AI28" i="48"/>
  <c r="AI65" i="48"/>
  <c r="AI13" i="48"/>
  <c r="AI73" i="48"/>
  <c r="AI67" i="48"/>
  <c r="AI107" i="48"/>
  <c r="AI124" i="48"/>
  <c r="AI155" i="48"/>
  <c r="AI104" i="48"/>
  <c r="AI111" i="48"/>
  <c r="AI90" i="48"/>
  <c r="AI152" i="48"/>
  <c r="AI125" i="48"/>
  <c r="AI219" i="48"/>
  <c r="AI173" i="48"/>
  <c r="AI199" i="48"/>
  <c r="AI215" i="48"/>
  <c r="AI151" i="48"/>
  <c r="AI198" i="48"/>
  <c r="AI212" i="48"/>
  <c r="AI218" i="48"/>
  <c r="AI217" i="48"/>
  <c r="AI22" i="48"/>
  <c r="AI115" i="48"/>
  <c r="AI30" i="48"/>
  <c r="AI4" i="48"/>
  <c r="AI110" i="48"/>
  <c r="AI103" i="48"/>
  <c r="AI44" i="48"/>
  <c r="AI34" i="48"/>
  <c r="AI76" i="48"/>
  <c r="AI187" i="48"/>
  <c r="AI158" i="48"/>
  <c r="AI94" i="48"/>
  <c r="AI95" i="48"/>
  <c r="AI210" i="48"/>
  <c r="AI133" i="48"/>
  <c r="AI186" i="48"/>
  <c r="AI185" i="48"/>
  <c r="AI129" i="48"/>
  <c r="AI58" i="48"/>
  <c r="AI184" i="48"/>
  <c r="AI81" i="48"/>
  <c r="AI59" i="48"/>
  <c r="AI99" i="48"/>
  <c r="AI183" i="48"/>
  <c r="AI182" i="48"/>
  <c r="AI164" i="48"/>
  <c r="AI147" i="48"/>
  <c r="AI181" i="48"/>
  <c r="AI157" i="48"/>
  <c r="AI156" i="48"/>
  <c r="AI35" i="48"/>
  <c r="AI92" i="48"/>
  <c r="AI126" i="48"/>
  <c r="AI45" i="48"/>
  <c r="AI141" i="48"/>
  <c r="AI80" i="48"/>
  <c r="AI83" i="48"/>
  <c r="AI208" i="48"/>
  <c r="AI102" i="48"/>
  <c r="AI89" i="48"/>
  <c r="AI21" i="48"/>
  <c r="AI72" i="48"/>
  <c r="AI180" i="48"/>
  <c r="AI66" i="48"/>
  <c r="AI149" i="48"/>
  <c r="AI197" i="48"/>
  <c r="AI31" i="48"/>
  <c r="AI207" i="48"/>
  <c r="AI175" i="48"/>
  <c r="AI214" i="48"/>
  <c r="AI132" i="48"/>
  <c r="AI172" i="48"/>
  <c r="AI140" i="48"/>
  <c r="AI24" i="48"/>
  <c r="AI150" i="48"/>
  <c r="AI114" i="48"/>
  <c r="AI113" i="48"/>
  <c r="AI196" i="48"/>
  <c r="AI101" i="48"/>
  <c r="AI69" i="48"/>
  <c r="AI19" i="48"/>
  <c r="AI40" i="48"/>
  <c r="AI109" i="48"/>
  <c r="AI145" i="48"/>
  <c r="AI26" i="48"/>
  <c r="AI5" i="48"/>
  <c r="AI20" i="48"/>
  <c r="AI108" i="48"/>
  <c r="AI179" i="48"/>
  <c r="AI209" i="48"/>
  <c r="AI32" i="48"/>
  <c r="AI16" i="48"/>
  <c r="AI178" i="48"/>
  <c r="AI1" i="48"/>
  <c r="AI39" i="48"/>
  <c r="AI84" i="48"/>
  <c r="AI171" i="48"/>
  <c r="AI136" i="48"/>
  <c r="AI48" i="48"/>
  <c r="AI211" i="48"/>
  <c r="AI213" i="48"/>
  <c r="AI170" i="48"/>
  <c r="AI88" i="48"/>
  <c r="AI206" i="48"/>
  <c r="AI78" i="48"/>
  <c r="AI128" i="48"/>
  <c r="AI42" i="48"/>
  <c r="AI177" i="48"/>
  <c r="AI195" i="48"/>
  <c r="AI176" i="48"/>
  <c r="AI126" i="47" l="1"/>
  <c r="K10" i="29" l="1"/>
  <c r="K47" i="21"/>
  <c r="K9" i="18"/>
  <c r="B2" i="11"/>
  <c r="AI185" i="33"/>
  <c r="K16" i="20" l="1"/>
  <c r="K54" i="31"/>
  <c r="K18" i="30"/>
  <c r="K22" i="29"/>
  <c r="L120" i="25"/>
  <c r="K13" i="20"/>
  <c r="K27" i="13"/>
  <c r="AI73" i="33"/>
  <c r="K22" i="6"/>
  <c r="K24" i="44"/>
  <c r="K20" i="3"/>
  <c r="K23" i="2"/>
  <c r="L142" i="25"/>
  <c r="K40" i="31"/>
  <c r="K35" i="26"/>
  <c r="K28" i="20"/>
  <c r="K31" i="30"/>
  <c r="K35" i="18"/>
  <c r="K3" i="18" s="1"/>
  <c r="B2" i="3"/>
  <c r="K62" i="3"/>
  <c r="L100" i="25"/>
  <c r="K80" i="28"/>
  <c r="K52" i="28" l="1"/>
  <c r="K35" i="29"/>
  <c r="K11" i="21"/>
  <c r="K119" i="8"/>
  <c r="K76" i="44"/>
  <c r="K98" i="6"/>
  <c r="AI58" i="33"/>
  <c r="AI189" i="33"/>
  <c r="AI84" i="33"/>
  <c r="L9" i="25"/>
  <c r="K55" i="8"/>
  <c r="K36" i="10"/>
  <c r="AI197" i="33"/>
  <c r="AI243" i="33"/>
  <c r="AI271" i="33"/>
  <c r="B2" i="6"/>
  <c r="K32" i="23"/>
  <c r="AI253" i="33" l="1"/>
  <c r="AI240" i="33"/>
  <c r="AI291" i="33"/>
  <c r="AI106" i="33"/>
  <c r="K38" i="20"/>
  <c r="K18" i="19"/>
  <c r="AI142" i="33"/>
  <c r="AI191" i="33"/>
  <c r="K72" i="7"/>
  <c r="K56" i="7"/>
  <c r="K19" i="21"/>
  <c r="K82" i="6"/>
  <c r="AI43" i="33"/>
  <c r="B2" i="44" l="1"/>
  <c r="AI176" i="33"/>
  <c r="AI266" i="33"/>
  <c r="AI193" i="33"/>
  <c r="AI133" i="33"/>
  <c r="AI2" i="33"/>
  <c r="AI15" i="33"/>
  <c r="AI256" i="33"/>
  <c r="AI93" i="33"/>
  <c r="AI268" i="33"/>
  <c r="AI129" i="33"/>
  <c r="K89" i="27"/>
  <c r="AI164" i="33"/>
  <c r="AI201" i="33"/>
  <c r="AI227" i="33" l="1"/>
  <c r="AI94" i="33"/>
  <c r="AI190" i="33"/>
  <c r="K17" i="2"/>
  <c r="AI232" i="33"/>
  <c r="AI108" i="33"/>
  <c r="AI104" i="33"/>
  <c r="AI77" i="33"/>
  <c r="AI288" i="33"/>
  <c r="AI34" i="33"/>
  <c r="K51" i="28"/>
  <c r="AI323" i="33"/>
  <c r="K19" i="44"/>
  <c r="AI78" i="33"/>
  <c r="K79" i="6"/>
  <c r="AI175" i="33"/>
  <c r="AI100" i="33"/>
  <c r="H4" i="22" l="1"/>
  <c r="H3" i="22"/>
  <c r="AI283" i="33"/>
  <c r="AI182" i="33"/>
  <c r="K53" i="6"/>
  <c r="AI326" i="33"/>
  <c r="AI35" i="33"/>
  <c r="AI21" i="33"/>
  <c r="AI254" i="33"/>
  <c r="AI158" i="33"/>
  <c r="K10" i="11"/>
  <c r="K19" i="2"/>
  <c r="K18" i="29"/>
  <c r="AI141" i="33"/>
  <c r="K75" i="28"/>
  <c r="AI304" i="33"/>
  <c r="B2" i="27"/>
  <c r="AI89" i="33"/>
  <c r="AI272" i="33"/>
  <c r="K100" i="2"/>
  <c r="AI181" i="33"/>
  <c r="AI296" i="33"/>
  <c r="AI19" i="33"/>
  <c r="K105" i="27"/>
  <c r="AI257" i="33"/>
  <c r="AI265" i="33"/>
  <c r="AI231" i="33"/>
  <c r="AI229" i="33" l="1"/>
  <c r="B2" i="5"/>
  <c r="C32" i="36" s="1"/>
  <c r="K69" i="5"/>
  <c r="AI294" i="33"/>
  <c r="AI74" i="33"/>
  <c r="AI130" i="33"/>
  <c r="AI248" i="33"/>
  <c r="AI32" i="33"/>
  <c r="AI186" i="33"/>
  <c r="AI187" i="33"/>
  <c r="AI188" i="33"/>
  <c r="AI192" i="33"/>
  <c r="AI137" i="33"/>
  <c r="AI196" i="33"/>
  <c r="AI299" i="33"/>
  <c r="AI11" i="33"/>
  <c r="AI213" i="33"/>
  <c r="K93" i="28"/>
  <c r="AI293" i="33"/>
  <c r="AI66" i="33"/>
  <c r="AI22" i="33"/>
  <c r="AI171" i="33"/>
  <c r="AI212" i="33"/>
  <c r="AI132" i="33"/>
  <c r="AI91" i="33"/>
  <c r="K120" i="2"/>
  <c r="AI273" i="33"/>
  <c r="AI131" i="33"/>
  <c r="AI275" i="33"/>
  <c r="AI270" i="33"/>
  <c r="AI309" i="33"/>
  <c r="AI286" i="33"/>
  <c r="AI287" i="33"/>
  <c r="AI103" i="33"/>
  <c r="AI105" i="33"/>
  <c r="AI121" i="33" l="1"/>
  <c r="AI234" i="33" l="1"/>
  <c r="AI120" i="33"/>
  <c r="AI244" i="33" l="1"/>
  <c r="AI4" i="33"/>
  <c r="AI79" i="33"/>
  <c r="AI247" i="33"/>
  <c r="AI230" i="33"/>
  <c r="AI124" i="33"/>
  <c r="AI55" i="33"/>
  <c r="AI314" i="33"/>
  <c r="AI159" i="33" l="1"/>
  <c r="AI76" i="33"/>
  <c r="AI160" i="33"/>
  <c r="AI246" i="33"/>
  <c r="AI81" i="33"/>
  <c r="AI54" i="33"/>
  <c r="AI26" i="33"/>
  <c r="AI7" i="33"/>
  <c r="AI75" i="33"/>
  <c r="AI206" i="33"/>
  <c r="AI5" i="33"/>
  <c r="AI154" i="33" l="1"/>
  <c r="AI13" i="33"/>
  <c r="AI48" i="33" l="1"/>
  <c r="AI183" i="33"/>
  <c r="AI277" i="33"/>
  <c r="AI116" i="33"/>
  <c r="AI238" i="33"/>
  <c r="AI155" i="33"/>
  <c r="AI107" i="33"/>
  <c r="AI153" i="33"/>
  <c r="AI219" i="33"/>
  <c r="AI180" i="33"/>
  <c r="AI226" i="33" l="1"/>
  <c r="AI70" i="33"/>
  <c r="AI127" i="33"/>
  <c r="AI52" i="33"/>
  <c r="AI298" i="33"/>
  <c r="AI9" i="33" l="1"/>
  <c r="AI252" i="33"/>
  <c r="AI258" i="33"/>
  <c r="AI233" i="33"/>
  <c r="AI202" i="33"/>
  <c r="AI53" i="33"/>
  <c r="AI302" i="33"/>
  <c r="AI199" i="33"/>
  <c r="AI69" i="33"/>
  <c r="AI214" i="33" l="1"/>
  <c r="AI184" i="33" l="1"/>
  <c r="AI8" i="33"/>
  <c r="AI18" i="33"/>
  <c r="AI27" i="33"/>
  <c r="C88" i="46"/>
  <c r="B88" i="46"/>
  <c r="AI259" i="33" l="1"/>
  <c r="B2" i="30" l="1"/>
  <c r="AI165" i="33"/>
  <c r="AI195" i="33"/>
  <c r="AI224" i="33"/>
  <c r="AI327" i="33"/>
  <c r="B2" i="7"/>
  <c r="AI96" i="33"/>
  <c r="AI210" i="33" l="1"/>
  <c r="AI211" i="33"/>
  <c r="AI215" i="33"/>
  <c r="AI278" i="33"/>
  <c r="AI284" i="33"/>
  <c r="AI143" i="33"/>
  <c r="AI235" i="33"/>
  <c r="AI260" i="33" l="1"/>
  <c r="AI316" i="33" l="1"/>
  <c r="AI289" i="33"/>
  <c r="AI220" i="33" l="1"/>
  <c r="AI255" i="33"/>
  <c r="AI152" i="33" l="1"/>
  <c r="AI150" i="33"/>
  <c r="AI162" i="33"/>
  <c r="AI237" i="33"/>
  <c r="AI50" i="33" l="1"/>
  <c r="AI204" i="33" l="1"/>
  <c r="AI324" i="33" l="1"/>
  <c r="AI222" i="33"/>
  <c r="AI208" i="33"/>
  <c r="AI33" i="33"/>
  <c r="AI200" i="33"/>
  <c r="AI282" i="33"/>
  <c r="AI83" i="33"/>
  <c r="AI308" i="33"/>
  <c r="AI221" i="33"/>
  <c r="B2" i="2"/>
  <c r="AI10" i="33" l="1"/>
  <c r="AI264" i="33"/>
  <c r="AI290" i="33"/>
  <c r="AI281" i="33"/>
  <c r="AI198" i="33" l="1"/>
  <c r="AI203" i="33"/>
  <c r="AI322" i="33" l="1"/>
  <c r="AI325" i="33"/>
  <c r="B2" i="8"/>
  <c r="AI36" i="33"/>
  <c r="AI31" i="33"/>
  <c r="AI62" i="33"/>
  <c r="AI172" i="33"/>
  <c r="AI173" i="33"/>
  <c r="AI269" i="33"/>
  <c r="AI12" i="33"/>
  <c r="AI119" i="33"/>
  <c r="AI122" i="33"/>
  <c r="AI145" i="33"/>
  <c r="AI310" i="33"/>
  <c r="AI279" i="33"/>
  <c r="AI148" i="33"/>
  <c r="AI149" i="33"/>
  <c r="AI177" i="33"/>
  <c r="AI276" i="33"/>
  <c r="AI300" i="33"/>
  <c r="AI20" i="33"/>
  <c r="AI16" i="33"/>
  <c r="AI17" i="33"/>
  <c r="B2" i="16"/>
  <c r="K3" i="16" s="1"/>
  <c r="AI86" i="33"/>
  <c r="AI95" i="33" l="1"/>
  <c r="AI60" i="33" l="1"/>
  <c r="AI37" i="33"/>
  <c r="AI41" i="33"/>
  <c r="AI85" i="33" l="1"/>
  <c r="AI111" i="33"/>
  <c r="AI167" i="33"/>
  <c r="AI90" i="33"/>
  <c r="AI68" i="33"/>
  <c r="AI295" i="33"/>
  <c r="AI128" i="33" l="1"/>
  <c r="K92" i="22"/>
  <c r="AI305" i="33"/>
  <c r="AI292" i="33"/>
  <c r="AI56" i="33" l="1"/>
  <c r="AI135" i="33" l="1"/>
  <c r="AI285" i="33"/>
  <c r="AI14" i="33"/>
  <c r="AI280" i="33"/>
  <c r="AI110" i="33"/>
  <c r="AI168" i="33"/>
  <c r="AI301" i="33"/>
  <c r="AI249" i="33"/>
  <c r="AI44" i="33"/>
  <c r="AI147" i="33"/>
  <c r="AI24" i="33"/>
  <c r="E6" i="38"/>
  <c r="E7" i="38"/>
  <c r="E8" i="38"/>
  <c r="E5" i="38"/>
  <c r="E9" i="38"/>
  <c r="E4" i="38"/>
  <c r="E11" i="38" l="1"/>
  <c r="AI262" i="33"/>
  <c r="AI82" i="33"/>
  <c r="AI113" i="33"/>
  <c r="AI178" i="33"/>
  <c r="AI99" i="33" l="1"/>
  <c r="AI140" i="33"/>
  <c r="AI146" i="33"/>
  <c r="C25" i="36"/>
  <c r="AI274" i="33"/>
  <c r="AI134" i="33"/>
  <c r="AI161" i="33"/>
  <c r="AI98" i="33"/>
  <c r="AI30" i="33"/>
  <c r="B2" i="22"/>
  <c r="AI245" i="33"/>
  <c r="AI49" i="33" l="1"/>
  <c r="AI64" i="33"/>
  <c r="AI61" i="33" l="1"/>
  <c r="AI311" i="33"/>
  <c r="AI117" i="33"/>
  <c r="AI174" i="33"/>
  <c r="G10" i="38"/>
  <c r="AI225" i="33"/>
  <c r="AI218" i="33"/>
  <c r="AI157" i="33"/>
  <c r="AI42" i="33"/>
  <c r="AI297" i="33"/>
  <c r="AI101" i="33"/>
  <c r="AI319" i="33"/>
  <c r="AI250" i="33"/>
  <c r="AI166" i="33"/>
  <c r="AI217" i="33"/>
  <c r="AI179" i="33"/>
  <c r="AI242" i="33"/>
  <c r="AI45" i="33"/>
  <c r="AI170" i="33" l="1"/>
  <c r="AI72" i="33"/>
  <c r="AI320" i="33"/>
  <c r="AI263" i="33"/>
  <c r="AI63" i="33"/>
  <c r="AI92" i="33" l="1"/>
  <c r="AI241" i="33"/>
  <c r="AI114" i="33" l="1"/>
  <c r="AI267" i="33" l="1"/>
  <c r="AI312" i="33"/>
  <c r="N40" i="35"/>
  <c r="N30" i="35"/>
  <c r="N23" i="35"/>
  <c r="AI144" i="33" l="1"/>
  <c r="AI46" i="33"/>
  <c r="AI112" i="33"/>
  <c r="AI67" i="33"/>
  <c r="AI29" i="33"/>
  <c r="AI306" i="33"/>
  <c r="AI57" i="33"/>
  <c r="AI65" i="33"/>
  <c r="AI47" i="33"/>
  <c r="AI318" i="33"/>
  <c r="AI156" i="33"/>
  <c r="AI38" i="33" l="1"/>
  <c r="AI3" i="33"/>
  <c r="AI88" i="33" l="1"/>
  <c r="AI307" i="33"/>
  <c r="AI251" i="33"/>
  <c r="AI80" i="33"/>
  <c r="AI97" i="33"/>
  <c r="AI236" i="33"/>
  <c r="AI6" i="33"/>
  <c r="AI40" i="33"/>
  <c r="AI25" i="33"/>
  <c r="AI23" i="33"/>
  <c r="AI139" i="33"/>
  <c r="AI209" i="33"/>
  <c r="AI151" i="33"/>
  <c r="AI303" i="33"/>
  <c r="AI207" i="33"/>
  <c r="AI138" i="33"/>
  <c r="AI169" i="33"/>
  <c r="AI115" i="33"/>
  <c r="AI118" i="33"/>
  <c r="AI136" i="33"/>
  <c r="AI313" i="33"/>
  <c r="AI194" i="33"/>
  <c r="AI102" i="33"/>
  <c r="AI39" i="33"/>
  <c r="AI51" i="33"/>
  <c r="AI223" i="33"/>
  <c r="AI315" i="33"/>
  <c r="AI123" i="33"/>
  <c r="AI239" i="33"/>
  <c r="AI28" i="33"/>
  <c r="AI126" i="33"/>
  <c r="AI261" i="33"/>
  <c r="AI71" i="33"/>
  <c r="AI87" i="33"/>
  <c r="AI109" i="33"/>
  <c r="AI125" i="33"/>
  <c r="AI205" i="33"/>
  <c r="AI216" i="33"/>
  <c r="AI317" i="33"/>
  <c r="AI321" i="33"/>
  <c r="AI328" i="33"/>
  <c r="AI329" i="33"/>
  <c r="AI59" i="33"/>
  <c r="B2" i="28"/>
  <c r="B2" i="25"/>
  <c r="L3" i="25" s="1"/>
  <c r="T2" i="13"/>
  <c r="T6" i="13" s="1"/>
  <c r="O36" i="35"/>
  <c r="F11" i="38"/>
  <c r="L40" i="35"/>
  <c r="K40" i="35"/>
  <c r="J40" i="35"/>
  <c r="I40" i="35"/>
  <c r="H40" i="35"/>
  <c r="G40" i="35"/>
  <c r="F40" i="35"/>
  <c r="E40" i="35"/>
  <c r="D40" i="35"/>
  <c r="C40" i="35"/>
  <c r="B40" i="35"/>
  <c r="M39" i="35"/>
  <c r="M37" i="35"/>
  <c r="L30" i="35"/>
  <c r="K30" i="35"/>
  <c r="J30" i="35"/>
  <c r="I30" i="35"/>
  <c r="H30" i="35"/>
  <c r="G30" i="35"/>
  <c r="F30" i="35"/>
  <c r="E30" i="35"/>
  <c r="D30" i="35"/>
  <c r="C30" i="35"/>
  <c r="B30" i="35"/>
  <c r="M29" i="35"/>
  <c r="M28" i="35"/>
  <c r="L23" i="35"/>
  <c r="K23" i="35"/>
  <c r="J23" i="35"/>
  <c r="I23" i="35"/>
  <c r="H23" i="35"/>
  <c r="G23" i="35"/>
  <c r="F23" i="35"/>
  <c r="E23" i="35"/>
  <c r="D23" i="35"/>
  <c r="C23" i="35"/>
  <c r="B23" i="35"/>
  <c r="M19" i="35"/>
  <c r="M18" i="35"/>
  <c r="M17" i="35"/>
  <c r="M16" i="35"/>
  <c r="M15" i="35"/>
  <c r="M12" i="35"/>
  <c r="M10" i="35"/>
  <c r="M9" i="35"/>
  <c r="M8" i="35"/>
  <c r="M7" i="35"/>
  <c r="M6" i="35"/>
  <c r="M5" i="35"/>
  <c r="M4" i="35"/>
  <c r="T2" i="31"/>
  <c r="T4" i="31" s="1"/>
  <c r="T2" i="30"/>
  <c r="T6" i="30" s="1"/>
  <c r="T2" i="26"/>
  <c r="T6" i="26" s="1"/>
  <c r="U2" i="25"/>
  <c r="U6" i="25" s="1"/>
  <c r="T2" i="20"/>
  <c r="T6" i="20" s="1"/>
  <c r="K47" i="19"/>
  <c r="V2" i="16"/>
  <c r="V4" i="16" s="1"/>
  <c r="T2" i="11"/>
  <c r="T6" i="11" s="1"/>
  <c r="T2" i="10"/>
  <c r="T4" i="10" s="1"/>
  <c r="T2" i="6"/>
  <c r="T6" i="6" s="1"/>
  <c r="T2" i="4"/>
  <c r="T4" i="4" s="1"/>
  <c r="K55" i="26"/>
  <c r="L4" i="32"/>
  <c r="B33" i="34" s="1"/>
  <c r="L3" i="32"/>
  <c r="L39" i="32"/>
  <c r="K44" i="23"/>
  <c r="K33" i="15"/>
  <c r="K65" i="13"/>
  <c r="K94" i="11"/>
  <c r="K146" i="6"/>
  <c r="K30" i="4"/>
  <c r="K23" i="1"/>
  <c r="B2" i="32"/>
  <c r="B6" i="32" s="1"/>
  <c r="T4" i="30"/>
  <c r="T4" i="20"/>
  <c r="B2" i="13"/>
  <c r="O38" i="35" s="1"/>
  <c r="O39" i="35"/>
  <c r="B2" i="21"/>
  <c r="B4" i="21" s="1"/>
  <c r="B2" i="26"/>
  <c r="C46" i="36" s="1"/>
  <c r="H3" i="17"/>
  <c r="H2" i="17"/>
  <c r="B2" i="19"/>
  <c r="B2" i="31"/>
  <c r="B6" i="31" s="1"/>
  <c r="B2" i="29"/>
  <c r="B6" i="27"/>
  <c r="B2" i="23"/>
  <c r="H5" i="22"/>
  <c r="C43" i="36" s="1"/>
  <c r="C42" i="36"/>
  <c r="C41" i="36"/>
  <c r="H2" i="22"/>
  <c r="B2" i="20"/>
  <c r="B2" i="18"/>
  <c r="C37" i="36" s="1"/>
  <c r="K4" i="16"/>
  <c r="B2" i="15"/>
  <c r="B6" i="15" s="1"/>
  <c r="B2" i="10"/>
  <c r="B4" i="8"/>
  <c r="B4" i="7"/>
  <c r="C33" i="36"/>
  <c r="O8" i="35"/>
  <c r="B2" i="4"/>
  <c r="C31" i="36" s="1"/>
  <c r="C30" i="36"/>
  <c r="B2" i="1"/>
  <c r="C28" i="36" s="1"/>
  <c r="T2" i="29"/>
  <c r="T6" i="29" s="1"/>
  <c r="T2" i="28"/>
  <c r="T6" i="28" s="1"/>
  <c r="T2" i="27"/>
  <c r="T6" i="27" s="1"/>
  <c r="T2" i="23"/>
  <c r="T6" i="23" s="1"/>
  <c r="T2" i="21"/>
  <c r="T4" i="21" s="1"/>
  <c r="T2" i="18"/>
  <c r="T4" i="18" s="1"/>
  <c r="T3" i="17"/>
  <c r="T2" i="17"/>
  <c r="T4" i="17" s="1"/>
  <c r="T2" i="15"/>
  <c r="T6" i="15" s="1"/>
  <c r="T2" i="7"/>
  <c r="T4" i="7" s="1"/>
  <c r="T2" i="5"/>
  <c r="T6" i="5"/>
  <c r="T2" i="3"/>
  <c r="T4" i="3"/>
  <c r="T2" i="2"/>
  <c r="T4" i="2" s="1"/>
  <c r="T2" i="1"/>
  <c r="T6" i="1" s="1"/>
  <c r="T4" i="5"/>
  <c r="T6" i="3"/>
  <c r="M21" i="35"/>
  <c r="M20" i="35"/>
  <c r="M13" i="35"/>
  <c r="M11" i="35"/>
  <c r="B6" i="44" l="1"/>
  <c r="B4" i="44"/>
  <c r="B6" i="29"/>
  <c r="B4" i="29"/>
  <c r="B6" i="10"/>
  <c r="B4" i="10"/>
  <c r="T4" i="28"/>
  <c r="T4" i="27"/>
  <c r="T4" i="26"/>
  <c r="T4" i="29"/>
  <c r="D23" i="37"/>
  <c r="B4" i="32"/>
  <c r="T4" i="23"/>
  <c r="T6" i="21"/>
  <c r="T6" i="18"/>
  <c r="T8" i="17"/>
  <c r="T6" i="17"/>
  <c r="T4" i="15"/>
  <c r="T4" i="13"/>
  <c r="T4" i="11"/>
  <c r="T6" i="10"/>
  <c r="T6" i="4"/>
  <c r="T4" i="1"/>
  <c r="B4" i="19"/>
  <c r="D24" i="36"/>
  <c r="T6" i="7"/>
  <c r="G4" i="38"/>
  <c r="G8" i="38"/>
  <c r="G5" i="38"/>
  <c r="G6" i="38"/>
  <c r="G7" i="38"/>
  <c r="G9" i="38"/>
  <c r="T6" i="2"/>
  <c r="V6" i="16"/>
  <c r="B4" i="30"/>
  <c r="B6" i="30"/>
  <c r="O37" i="35"/>
  <c r="O40" i="35" s="1"/>
  <c r="D22" i="36" s="1"/>
  <c r="L4" i="25"/>
  <c r="B34" i="34" s="1"/>
  <c r="T6" i="31"/>
  <c r="O4" i="35"/>
  <c r="B4" i="1"/>
  <c r="K3" i="11"/>
  <c r="O11" i="35"/>
  <c r="B4" i="11"/>
  <c r="B6" i="11"/>
  <c r="C35" i="36"/>
  <c r="K4" i="11"/>
  <c r="B9" i="34" s="1"/>
  <c r="K3" i="1"/>
  <c r="M23" i="35"/>
  <c r="M30" i="35"/>
  <c r="T4" i="6"/>
  <c r="K3" i="28"/>
  <c r="K4" i="23"/>
  <c r="B15" i="34" s="1"/>
  <c r="K4" i="20"/>
  <c r="B27" i="34" s="1"/>
  <c r="K3" i="20"/>
  <c r="O29" i="35"/>
  <c r="B4" i="20"/>
  <c r="B6" i="20"/>
  <c r="B6" i="7"/>
  <c r="K3" i="2"/>
  <c r="B4" i="2"/>
  <c r="B6" i="2"/>
  <c r="B6" i="1"/>
  <c r="K4" i="31"/>
  <c r="B19" i="34" s="1"/>
  <c r="B4" i="18"/>
  <c r="K4" i="18"/>
  <c r="B11" i="34" s="1"/>
  <c r="B4" i="3"/>
  <c r="B6" i="3"/>
  <c r="B6" i="19"/>
  <c r="O18" i="35"/>
  <c r="B4" i="16"/>
  <c r="B4" i="23"/>
  <c r="B6" i="23"/>
  <c r="K3" i="21"/>
  <c r="K4" i="21"/>
  <c r="B13" i="34" s="1"/>
  <c r="K3" i="19"/>
  <c r="K4" i="19"/>
  <c r="K3" i="26"/>
  <c r="B4" i="26"/>
  <c r="B6" i="26"/>
  <c r="K4" i="26"/>
  <c r="B16" i="34" s="1"/>
  <c r="B6" i="21"/>
  <c r="C39" i="36"/>
  <c r="O15" i="35"/>
  <c r="B6" i="16"/>
  <c r="D25" i="37"/>
  <c r="B6" i="25"/>
  <c r="U4" i="25"/>
  <c r="B6" i="13"/>
  <c r="B4" i="13"/>
  <c r="K4" i="13"/>
  <c r="B35" i="34" s="1"/>
  <c r="D22" i="37"/>
  <c r="K3" i="13"/>
  <c r="O14" i="35"/>
  <c r="C38" i="36"/>
  <c r="K3" i="44"/>
  <c r="K4" i="44"/>
  <c r="B12" i="34" s="1"/>
  <c r="K3" i="31"/>
  <c r="O21" i="35"/>
  <c r="C48" i="36"/>
  <c r="B4" i="31"/>
  <c r="K3" i="29"/>
  <c r="K4" i="29"/>
  <c r="B18" i="34" s="1"/>
  <c r="C45" i="36"/>
  <c r="O20" i="35"/>
  <c r="B6" i="28"/>
  <c r="B4" i="28"/>
  <c r="O19" i="35"/>
  <c r="O17" i="35"/>
  <c r="H6" i="22"/>
  <c r="B4" i="22" s="1"/>
  <c r="C40" i="36"/>
  <c r="B6" i="18"/>
  <c r="O13" i="35"/>
  <c r="K3" i="15"/>
  <c r="O12" i="35"/>
  <c r="B4" i="15"/>
  <c r="K4" i="15"/>
  <c r="B10" i="34" s="1"/>
  <c r="C36" i="36"/>
  <c r="B4" i="5"/>
  <c r="K3" i="5"/>
  <c r="B6" i="5"/>
  <c r="B4" i="4"/>
  <c r="B6" i="4"/>
  <c r="K4" i="1"/>
  <c r="B2" i="34" s="1"/>
  <c r="K4" i="27"/>
  <c r="B17" i="34" s="1"/>
  <c r="K3" i="27"/>
  <c r="C47" i="36"/>
  <c r="B4" i="27"/>
  <c r="K3" i="6"/>
  <c r="K4" i="6"/>
  <c r="B7" i="34" s="1"/>
  <c r="B4" i="6"/>
  <c r="B6" i="6"/>
  <c r="O9" i="35"/>
  <c r="B2" i="17"/>
  <c r="O45" i="35" s="1"/>
  <c r="C44" i="36"/>
  <c r="K3" i="23"/>
  <c r="K3" i="10"/>
  <c r="K4" i="10"/>
  <c r="D24" i="37"/>
  <c r="B4" i="25"/>
  <c r="K4" i="3"/>
  <c r="B4" i="34" s="1"/>
  <c r="K3" i="3"/>
  <c r="O6" i="35"/>
  <c r="K3" i="7"/>
  <c r="K4" i="7"/>
  <c r="B8" i="34" s="1"/>
  <c r="C34" i="36"/>
  <c r="O10" i="35"/>
  <c r="K3" i="4"/>
  <c r="O7" i="35"/>
  <c r="K4" i="4"/>
  <c r="B5" i="34" s="1"/>
  <c r="O28" i="35"/>
  <c r="K4" i="28"/>
  <c r="B26" i="34" s="1"/>
  <c r="B6" i="8"/>
  <c r="K4" i="5"/>
  <c r="B6" i="34" s="1"/>
  <c r="C29" i="36"/>
  <c r="K4" i="2"/>
  <c r="B3" i="34" s="1"/>
  <c r="O5" i="35"/>
  <c r="G11" i="38"/>
  <c r="C49" i="36" l="1"/>
  <c r="O30" i="35"/>
  <c r="D21" i="36" s="1"/>
  <c r="D26" i="37"/>
  <c r="K4" i="22"/>
  <c r="B14" i="34" s="1"/>
  <c r="B6" i="22"/>
  <c r="K3" i="22"/>
  <c r="D23" i="36"/>
  <c r="B6" i="17"/>
  <c r="B4" i="17"/>
  <c r="K3" i="17"/>
  <c r="K4" i="17"/>
  <c r="O16" i="35"/>
  <c r="O23" i="35" s="1"/>
  <c r="D20" i="36" s="1"/>
  <c r="M38" i="35"/>
  <c r="M40" i="35" s="1"/>
  <c r="D25" i="36" l="1"/>
  <c r="K4" i="30"/>
  <c r="B36" i="34" s="1"/>
  <c r="K3" i="30"/>
  <c r="K3" i="8"/>
  <c r="K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Gianna Beard</author>
  </authors>
  <commentList>
    <comment ref="D83" authorId="0" shapeId="0" xr:uid="{E37F923E-038D-4395-88A9-4F077CC33AE0}">
      <text>
        <r>
          <rPr>
            <sz val="11"/>
            <color theme="1"/>
            <rFont val="Aptos Narrow"/>
            <family val="2"/>
            <scheme val="minor"/>
          </rPr>
          <t>Gianna Beard:
Here is how AT&amp;T needs to be invoiced for Expo
$300 to Aaron Pitts – ap626b@att.com  
$200 to Chris Hinds – Chris.hinds@thinkapex.com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Lindsay Henderson</author>
  </authors>
  <commentList>
    <comment ref="U3" authorId="0" shapeId="0" xr:uid="{61DA5652-4A9E-4D1F-9DF1-41CB0D13BA19}">
      <text>
        <r>
          <rPr>
            <b/>
            <sz val="9"/>
            <color indexed="81"/>
            <rFont val="Tahoma"/>
            <family val="2"/>
          </rPr>
          <t>Lindsay Henderson:</t>
        </r>
        <r>
          <rPr>
            <sz val="9"/>
            <color indexed="81"/>
            <rFont val="Tahoma"/>
            <family val="2"/>
          </rPr>
          <t xml:space="preserve">
Includes $2,500 for online advertising.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Gianna Beard</author>
  </authors>
  <commentList>
    <comment ref="H108" authorId="0" shapeId="0" xr:uid="{D980FE4E-E6C6-4645-86E2-AC235772667B}">
      <text>
        <r>
          <rPr>
            <sz val="11"/>
            <color theme="1"/>
            <rFont val="Aptos Narrow"/>
            <family val="2"/>
            <scheme val="minor"/>
          </rPr>
          <t xml:space="preserve">Gianna Beard: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tc={215AD778-1DCA-4581-800E-D34BA33B090E}</author>
    <author>tc={4502521F-6A62-4E27-B03D-17A086D06B88}</author>
    <author>tc={7A53AA5F-1B9F-4F6C-86BD-86358F175A43}</author>
    <author>tc={234051A6-F2F7-44E5-A28B-D67CE664003B}</author>
    <author>tc={5579F92D-CF25-4DCD-81E0-615FBFE04F0D}</author>
    <author>tc={94E32209-AD67-4C17-A56F-9DE48D084510}</author>
    <author>tc={69CCA1DA-281D-49CD-B48A-EF7CA3E780D4}</author>
    <author>tc={D9C2957D-82D9-4F4D-BE7F-B0F38B82BA71}</author>
    <author>tc={59C4A4EC-F2AD-4D7B-AAF8-04438432BFCC}</author>
    <author>tc={54C3E8BF-93CF-499F-85F6-F0D10B0481F8}</author>
    <author>tc={CC06D8EE-6702-497F-9AE6-50F8D027BAEE}</author>
    <author>tc={0652C6AF-CFC1-4D95-97EC-3088E66321B7}</author>
    <author>tc={AC6ECCFC-6A9F-4C29-9230-B287279D44A9}</author>
    <author>tc={767EAF2C-4E98-4360-BCAD-45DEF4578309}</author>
    <author>tc={87944756-8110-489C-8107-2363E1FB9779}</author>
    <author>tc={794CD41E-60DF-47B4-8BA8-FF3A10A63A59}</author>
    <author>tc={A9E465BF-347E-4E83-A0B5-924235B06115}</author>
    <author>tc={678B6EB4-4747-4736-B6CC-6A9C35BED7F2}</author>
    <author>tc={14A07C2E-5565-4B97-BBFB-59AB7D7E59D8}</author>
    <author>tc={5DDE7FB9-B261-42F0-AB74-46AAAB6E4A1D}</author>
    <author>tc={315CAF16-179A-4563-8EA8-4004C9336B7F}</author>
    <author>tc={98D47686-434F-404F-AFE3-DDA8A5C1B906}</author>
    <author>tc={EF744DA7-AF5E-4B00-A872-6F67A5DE6968}</author>
    <author>tc={5C434864-432A-4746-A088-88DAA6F2BC71}</author>
    <author>tc={6B47EB82-BFAC-4B3F-8E86-3AE2ECB28C54}</author>
    <author>tc={594543BC-EE6C-43A1-AE69-C06D08F3DBFA}</author>
    <author>tc={50A7DC2C-B05B-4233-9B2B-4A8266D174B5}</author>
    <author>tc={D9F6E240-D94A-445F-8C1D-BC75E7D6C31C}</author>
    <author>tc={F6EEE41A-3DC7-4E4C-91CB-EE64B5127310}</author>
    <author>tc={38670DE4-AFDB-4E1E-B1C6-12A12E042D11}</author>
    <author>tc={E3775E24-7327-43D8-B262-5877EF0A3465}</author>
    <author>tc={99CAD707-458B-4089-9732-075B36BE7C7B}</author>
    <author>tc={17CC2904-B83C-4AB9-A514-696FD78FD969}</author>
    <author>tc={547BA58C-2625-478A-A121-8F0D71918566}</author>
    <author>tc={662AF806-D4A7-4BFE-937C-BA5A05DAC757}</author>
    <author>tc={0DAC75E4-5CBA-482D-8CBC-58363CCB936A}</author>
    <author>tc={53AC478B-C1A0-4A78-976C-AF6B7214357B}</author>
    <author>tc={3B8EF77E-A33C-450B-9A38-5E4DB4BA2EF5}</author>
    <author>tc={2334BA45-9A5E-414B-8A9E-66DBC901FF52}</author>
    <author>tc={06AC8D3C-01B9-4E80-B25D-EC387D71FFB5}</author>
    <author>tc={7D1D7A2B-0F20-4004-9946-22DF83AC9268}</author>
    <author>tc={59C22286-58D4-4A19-8BB1-2F1EFB3B053F}</author>
    <author>tc={C338FC18-1399-4D4F-89BC-E916F556BB6A}</author>
    <author>tc={44B71B98-5CBE-4F2C-93C5-7307155A606B}</author>
    <author>tc={AD356A15-6951-418E-B219-54B33543EF01}</author>
    <author>tc={E44566A8-CC8A-42AB-9164-667E25878219}</author>
    <author>tc={79F28805-DBBF-453F-9C76-4DF9A60CADE9}</author>
    <author>tc={2B64605C-918D-4838-B40C-88AAEB62B021}</author>
    <author>tc={FA5FAB83-CDBA-4BB8-8354-5BB92E0D45AB}</author>
    <author>tc={0CE857DE-9FCE-4236-974F-4634D5C5BAD6}</author>
    <author>tc={E02E0F2B-8206-4DA3-ACF4-E00A6E9F06C1}</author>
    <author>tc={06A631CA-C430-40DA-896D-A7A30C7395A8}</author>
    <author>tc={72E601B7-8497-467C-8528-DDAF70E52DA8}</author>
    <author>tc={74ECE6A4-F18C-4BD5-96B1-04DED9EB77B8}</author>
    <author>tc={DE517B0D-D5CE-418E-A657-1825B029B1AB}</author>
    <author>tc={C524541C-5025-433F-956D-85674C2CDFD7}</author>
    <author>tc={5470FD0F-2289-4F56-BB9E-8C1AA9612F6A}</author>
    <author>tc={8A2ED95E-158C-405B-8C59-01711E84EDE1}</author>
    <author>tc={3ED7D200-141B-4A81-B1F1-3CEFD5F0D748}</author>
    <author>tc={319A9B12-4BAA-4352-B988-97CE9CBAC92F}</author>
    <author>tc={DB407015-AB92-41A3-B02A-D10F859FE731}</author>
    <author>tc={A0968E91-4A1F-4E9B-B2C0-D5B9930283CA}</author>
    <author>tc={E255C08F-5B87-4E0C-84E0-8DC05B9607F4}</author>
    <author>tc={3C758DE8-825E-4234-ABBF-7DB40E9D065A}</author>
    <author>tc={203B17FD-AB64-45F8-9639-23120C949CDA}</author>
  </authors>
  <commentList>
    <comment ref="T7" authorId="0" shapeId="0" xr:uid="{215AD778-1DCA-4581-800E-D34BA33B090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Half $500/half in-kind</t>
        </r>
      </text>
    </comment>
    <comment ref="T9" authorId="1" shapeId="0" xr:uid="{4502521F-6A62-4E27-B03D-17A086D06B8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Y9" authorId="2" shapeId="0" xr:uid="{7A53AA5F-1B9F-4F6C-86BD-86358F175A4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U14" authorId="3" shapeId="0" xr:uid="{234051A6-F2F7-44E5-A28B-D67CE664003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t>
        </r>
      </text>
    </comment>
    <comment ref="U17" authorId="4" shapeId="0" xr:uid="{5579F92D-CF25-4DCD-81E0-615FBFE04F0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foundation</t>
        </r>
      </text>
    </comment>
    <comment ref="AH37" authorId="5" shapeId="0" xr:uid="{94E32209-AD67-4C17-A56F-9DE48D08451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Product donation of $1,250 for TF and WIB each. </t>
        </r>
      </text>
    </comment>
    <comment ref="J46" authorId="6" shapeId="0" xr:uid="{69CCA1DA-281D-49CD-B48A-EF7CA3E780D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t>
        </r>
      </text>
    </comment>
    <comment ref="N46" authorId="7" shapeId="0" xr:uid="{D9C2957D-82D9-4F4D-BE7F-B0F38B82BA7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t>
        </r>
      </text>
    </comment>
    <comment ref="T53" authorId="8" shapeId="0" xr:uid="{59C4A4EC-F2AD-4D7B-AAF8-04438432BFC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Y53" authorId="9" shapeId="0" xr:uid="{54C3E8BF-93CF-499F-85F6-F0D10B0481F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AA54" authorId="10" shapeId="0" xr:uid="{CC06D8EE-6702-497F-9AE6-50F8D027BAE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product</t>
        </r>
      </text>
    </comment>
    <comment ref="R58" authorId="11" shapeId="0" xr:uid="{0652C6AF-CFC1-4D95-97EC-3088E66321B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city labor</t>
        </r>
      </text>
    </comment>
    <comment ref="AB58" authorId="12" shapeId="0" xr:uid="{AC6ECCFC-6A9F-4C29-9230-B287279D44A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city labor</t>
        </r>
      </text>
    </comment>
    <comment ref="AH59" authorId="13" shapeId="0" xr:uid="{767EAF2C-4E98-4360-BCAD-45DEF457830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Chamber Car</t>
        </r>
      </text>
    </comment>
    <comment ref="AH67" authorId="14" shapeId="0" xr:uid="{87944756-8110-489C-8107-2363E1FB977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$10,000 for in-kind planning, training, staff development  + $5,000 for in-kind CALI leadership/team building</t>
        </r>
      </text>
    </comment>
    <comment ref="AF71" authorId="15" shapeId="0" xr:uid="{794CD41E-60DF-47B4-8BA8-FF3A10A63A5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Conway Corp./CDC Contract</t>
        </r>
      </text>
    </comment>
    <comment ref="AH71" authorId="16" shapeId="0" xr:uid="{A9E465BF-347E-4E83-A0B5-924235B0611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CDC agreement</t>
        </r>
      </text>
    </comment>
    <comment ref="D90" authorId="17" shapeId="0" xr:uid="{678B6EB4-4747-4736-B6CC-6A9C35BED7F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lunch</t>
        </r>
      </text>
    </comment>
    <comment ref="R90" authorId="18" shapeId="0" xr:uid="{14A07C2E-5565-4B97-BBFB-59AB7D7E59D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Trade for 75 train ride tickets</t>
        </r>
      </text>
    </comment>
    <comment ref="T90" authorId="19" shapeId="0" xr:uid="{5DDE7FB9-B261-42F0-AB74-46AAAB6E4A1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Y90" authorId="20" shapeId="0" xr:uid="{315CAF16-179A-4563-8EA8-4004C9336B7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Z90" authorId="21" shapeId="0" xr:uid="{98D47686-434F-404F-AFE3-DDA8A5C1B90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continental breakfast.</t>
        </r>
      </text>
    </comment>
    <comment ref="AA90" authorId="22" shapeId="0" xr:uid="{EF744DA7-AF5E-4B00-A872-6F67A5DE696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$1,200 of in-kind for breakfast to CCS teachers.</t>
        </r>
      </text>
    </comment>
    <comment ref="AH101" authorId="23" shapeId="0" xr:uid="{5C434864-432A-4746-A088-88DAA6F2BC7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Combo dues</t>
        </r>
      </text>
    </comment>
    <comment ref="Y103" authorId="24" shapeId="0" xr:uid="{6B47EB82-BFAC-4B3F-8E86-3AE2ECB28C5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Q109" authorId="25" shapeId="0" xr:uid="{594543BC-EE6C-43A1-AE69-C06D08F3DBF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$1,000 for Engage, $2,500 for Salter</t>
        </r>
      </text>
    </comment>
    <comment ref="C114" authorId="26" shapeId="0" xr:uid="{50A7DC2C-B05B-4233-9B2B-4A8266D174B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discounted invoice</t>
        </r>
      </text>
    </comment>
    <comment ref="AH117" authorId="27" shapeId="0" xr:uid="{D9F6E240-D94A-445F-8C1D-BC75E7D6C31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Dual membership</t>
        </r>
      </text>
    </comment>
    <comment ref="Q125" authorId="28" shapeId="0" xr:uid="{F6EEE41A-3DC7-4E4C-91CB-EE64B512731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$1,000 FSB/$1000 Crews</t>
        </r>
      </text>
    </comment>
    <comment ref="W125" authorId="29" shapeId="0" xr:uid="{38670DE4-AFDB-4E1E-B1C6-12A12E042D1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$7,200 for ½ page POC annual + one, full-page advertorial for CCS = $1,200</t>
        </r>
      </text>
    </comment>
    <comment ref="AB163" authorId="30" shapeId="0" xr:uid="{E3775E24-7327-43D8-B262-5877EF0A346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toad toters</t>
        </r>
      </text>
    </comment>
    <comment ref="AG176" authorId="31" shapeId="0" xr:uid="{99CAD707-458B-4089-9732-075B36BE7C7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Don Pepe’s + Los 3 Potrillos</t>
        </r>
      </text>
    </comment>
    <comment ref="Y188" authorId="32" shapeId="0" xr:uid="{17CC2904-B83C-4AB9-A514-696FD78FD96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AH191" authorId="33" shapeId="0" xr:uid="{547BA58C-2625-478A-A121-8F0D7191856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Grant</t>
        </r>
      </text>
    </comment>
    <comment ref="Y192" authorId="34" shapeId="0" xr:uid="{662AF806-D4A7-4BFE-937C-BA5A05DAC75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games</t>
        </r>
      </text>
    </comment>
    <comment ref="T195" authorId="35" shapeId="0" xr:uid="{0DAC75E4-5CBA-482D-8CBC-58363CCB936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
Reply:
    OTC 1, 2</t>
        </r>
      </text>
    </comment>
    <comment ref="Y195" authorId="36" shapeId="0" xr:uid="{53AC478B-C1A0-4A78-976C-AF6B7214357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Z195" authorId="37" shapeId="0" xr:uid="{3B8EF77E-A33C-450B-9A38-5E4DB4BA2EF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box lunches</t>
        </r>
      </text>
    </comment>
    <comment ref="T202" authorId="38" shapeId="0" xr:uid="{2334BA45-9A5E-414B-8A9E-66DBC901FF5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
Reply:
    OTC 1, 2</t>
        </r>
      </text>
    </comment>
    <comment ref="Y202" authorId="39" shapeId="0" xr:uid="{06AC8D3C-01B9-4E80-B25D-EC387D71FFB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AB203" authorId="40" shapeId="0" xr:uid="{7D1D7A2B-0F20-4004-9946-22DF83AC926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2 RVs + outdoor furniture</t>
        </r>
      </text>
    </comment>
    <comment ref="AD213" authorId="41" shapeId="0" xr:uid="{59C22286-58D4-4A19-8BB1-2F1EFB3B053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free bundt cake coupon per attendee</t>
        </r>
      </text>
    </comment>
    <comment ref="AB221" authorId="42" shapeId="0" xr:uid="{C338FC18-1399-4D4F-89BC-E916F556BB6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services</t>
        </r>
      </text>
    </comment>
    <comment ref="AG225" authorId="43" shapeId="0" xr:uid="{44B71B98-5CBE-4F2C-93C5-7307155A606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Dual membership</t>
        </r>
      </text>
    </comment>
    <comment ref="Y233" authorId="44" shapeId="0" xr:uid="{AD356A15-6951-418E-B219-54B33543EF0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D252" authorId="45" shapeId="0" xr:uid="{E44566A8-CC8A-42AB-9164-667E2587821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alcohol</t>
        </r>
      </text>
    </comment>
    <comment ref="T252" authorId="46" shapeId="0" xr:uid="{79F28805-DBBF-453F-9C76-4DF9A60CADE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t>
        </r>
      </text>
    </comment>
    <comment ref="Y252" authorId="47" shapeId="0" xr:uid="{2B64605C-918D-4838-B40C-88AAEB62B02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AH252" authorId="48" shapeId="0" xr:uid="{FA5FAB83-CDBA-4BB8-8354-5BB92E0D45A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Combo dues</t>
        </r>
      </text>
    </comment>
    <comment ref="AA255" authorId="49" shapeId="0" xr:uid="{0CE857DE-9FCE-4236-974F-4634D5C5BAD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 and/or teacher giveaways</t>
        </r>
      </text>
    </comment>
    <comment ref="T258" authorId="50" shapeId="0" xr:uid="{E02E0F2B-8206-4DA3-ACF4-E00A6E9F06C1}">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In-kind for drinks
Reply:
    OTC 1,2  </t>
        </r>
      </text>
    </comment>
    <comment ref="Y258" authorId="51" shapeId="0" xr:uid="{06A631CA-C430-40DA-896D-A7A30C7395A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Z258" authorId="52" shapeId="0" xr:uid="{72E601B7-8497-467C-8528-DDAF70E52DA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coffee</t>
        </r>
      </text>
    </comment>
    <comment ref="AH259" authorId="53" shapeId="0" xr:uid="{74ECE6A4-F18C-4BD5-96B1-04DED9EB77B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Combo dues</t>
        </r>
      </text>
    </comment>
    <comment ref="T270" authorId="54" shapeId="0" xr:uid="{DE517B0D-D5CE-418E-A657-1825B029B1A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t>
        </r>
      </text>
    </comment>
    <comment ref="G271" authorId="55" shapeId="0" xr:uid="{C524541C-5025-433F-956D-85674C2CDFD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product</t>
        </r>
      </text>
    </comment>
    <comment ref="AH274" authorId="56" shapeId="0" xr:uid="{5470FD0F-2289-4F56-BB9E-8C1AA9612F6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architectural renderings for Farmers Market</t>
        </r>
      </text>
    </comment>
    <comment ref="Y286" authorId="57" shapeId="0" xr:uid="{8A2ED95E-158C-405B-8C59-01711E84EDE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AB294" authorId="58" shapeId="0" xr:uid="{3ED7D200-141B-4A81-B1F1-3CEFD5F0D74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kids building kits</t>
        </r>
      </text>
    </comment>
    <comment ref="T298" authorId="59" shapeId="0" xr:uid="{319A9B12-4BAA-4352-B988-97CE9CBAC92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Y298" authorId="60" shapeId="0" xr:uid="{DB407015-AB92-41A3-B02A-D10F859FE73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AH310" authorId="61" shapeId="0" xr:uid="{A0968E91-4A1F-4E9B-B2C0-D5B9930283C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M2Ms (8)</t>
        </r>
      </text>
    </comment>
    <comment ref="Y311" authorId="62" shapeId="0" xr:uid="{E255C08F-5B87-4E0C-84E0-8DC05B9607F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C313" authorId="63" shapeId="0" xr:uid="{3C758DE8-825E-4234-ABBF-7DB40E9D065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$7K cash plus $3K in-kind for facility rental</t>
        </r>
      </text>
    </comment>
    <comment ref="AH318" authorId="64" shapeId="0" xr:uid="{203B17FD-AB64-45F8-9639-23120C949CD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Contract fee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Lindsay Henderson</author>
  </authors>
  <commentList>
    <comment ref="A11" authorId="0" shapeId="0" xr:uid="{C37DC136-D6D8-48A6-A504-0C2645D2EFB9}">
      <text>
        <r>
          <rPr>
            <b/>
            <sz val="9"/>
            <color indexed="81"/>
            <rFont val="Tahoma"/>
            <family val="2"/>
          </rPr>
          <t>Lindsay Henderson:
Removed MED in 2018 from CEO income</t>
        </r>
      </text>
    </comment>
    <comment ref="F28" authorId="0" shapeId="0" xr:uid="{498A5A9C-163E-4457-8C8E-C6294663E832}">
      <text>
        <r>
          <rPr>
            <b/>
            <sz val="9"/>
            <color indexed="81"/>
            <rFont val="Tahoma"/>
            <family val="2"/>
          </rPr>
          <t>Lindsay Henderson:</t>
        </r>
        <r>
          <rPr>
            <sz val="9"/>
            <color indexed="81"/>
            <rFont val="Tahoma"/>
            <family val="2"/>
          </rPr>
          <t xml:space="preserve">
Fist year to include TSD and Illuminate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tc={C6CC465C-3ED3-4193-8775-AE117DC283DD}</author>
    <author>tc={F5B077E8-2385-402F-9393-17BF1AEB97CC}</author>
    <author>tc={D8AF3D16-ABDB-48CC-AF6E-0C4D92375FE0}</author>
    <author>tc={987CE11D-55C9-42FF-B4C1-8B1F6FC15300}</author>
    <author>tc={57AA06BE-1DBD-4787-BD5F-1E2035F527DA}</author>
    <author>tc={ADF893F6-9054-43B3-9FBA-FB9B9146A3A1}</author>
    <author>tc={F4A29EF2-6596-4A53-AF12-F540B98F554C}</author>
    <author>tc={F5A7629B-F4FA-4173-9C7A-8AEF290BE017}</author>
    <author>tc={5F678F29-0C7A-469D-B3C5-F8CDDC3291E7}</author>
    <author>tc={3AE61F38-6481-4192-8337-7ABE8E4DC789}</author>
    <author>tc={0C6061FE-F9F7-4C41-8779-E87C792C857A}</author>
    <author>tc={45DADFFF-CE04-4534-A63E-AAAA054B4A0E}</author>
    <author>tc={2E5A4484-61D8-4EB6-8EF4-BCD32F5C86D1}</author>
    <author>tc={3F15C167-B6F1-48BC-BC10-F1817869743A}</author>
    <author>tc={9C9AB2DA-F775-4DF9-9755-94A2B51EB1C7}</author>
    <author>tc={1FD47D6A-2A35-43BA-AFD7-2973E4CC96A7}</author>
    <author>tc={C74068FF-78FB-4DDB-893B-795514657D30}</author>
    <author>tc={23D9C7E4-D16D-45A8-A3B5-C64A6A82A61F}</author>
    <author>tc={B4FDFFFE-0B59-4C66-9D4A-89D5777A89F0}</author>
    <author>tc={40498327-0EB6-4BF5-894B-3A966E342C00}</author>
    <author>tc={9B0040C9-CA64-4746-AA38-7E5010B9ACC8}</author>
    <author>tc={0F44E3B8-57BF-4837-8ADD-0853B34499F7}</author>
    <author>tc={DC14C9BC-47D2-48A0-8F8E-D5826E39C585}</author>
    <author>tc={E8E90515-511B-41FC-91E0-AD12B65BF07C}</author>
    <author>tc={3275721C-BBA8-4DC2-9805-FDE0CDC38B4E}</author>
    <author>tc={3E96306C-ECEA-45B9-8270-056F4D546F95}</author>
    <author>tc={57B7B698-0DAC-4ED5-97A4-F45C3C090162}</author>
    <author>tc={9A9A8CA1-3BF1-452B-B864-80E336FBB5CF}</author>
    <author>tc={CF9DC9A1-5E3D-4335-A5E7-7C37A67F7F05}</author>
    <author>tc={A1DA4664-A42C-4582-89D9-6DE0B013F4A0}</author>
    <author>tc={1CB5A09A-5A38-47A3-9B3B-B1E4EBFDC290}</author>
    <author>tc={BA9BF275-0CA7-4F51-8821-4ECBA5163C17}</author>
    <author>tc={E0BFEC46-F20E-4E14-881B-A8384641043F}</author>
    <author>tc={090F92F4-B562-4BE7-BC17-E90612C64DBC}</author>
  </authors>
  <commentList>
    <comment ref="T12" authorId="0" shapeId="0" xr:uid="{C6CC465C-3ED3-4193-8775-AE117DC283DD}">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In-kind for drinks
Reply:
    OTC 1,2  </t>
        </r>
      </text>
    </comment>
    <comment ref="Y12" authorId="1" shapeId="0" xr:uid="{F5B077E8-2385-402F-9393-17BF1AEB97C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Z12" authorId="2" shapeId="0" xr:uid="{D8AF3D16-ABDB-48CC-AF6E-0C4D92375FE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coffee</t>
        </r>
      </text>
    </comment>
    <comment ref="AB18" authorId="3" shapeId="0" xr:uid="{987CE11D-55C9-42FF-B4C1-8B1F6FC1530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kids building kits</t>
        </r>
      </text>
    </comment>
    <comment ref="AH35" authorId="4" shapeId="0" xr:uid="{57AA06BE-1DBD-4787-BD5F-1E2035F527D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Combo dues</t>
        </r>
      </text>
    </comment>
    <comment ref="T42" authorId="5" shapeId="0" xr:uid="{ADF893F6-9054-43B3-9FBA-FB9B9146A3A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Half $500/half in-kind</t>
        </r>
      </text>
    </comment>
    <comment ref="D50" authorId="6" shapeId="0" xr:uid="{F4A29EF2-6596-4A53-AF12-F540B98F554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alcohol</t>
        </r>
      </text>
    </comment>
    <comment ref="T50" authorId="7" shapeId="0" xr:uid="{F5A7629B-F4FA-4173-9C7A-8AEF290BE01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t>
        </r>
      </text>
    </comment>
    <comment ref="Y50" authorId="8" shapeId="0" xr:uid="{5F678F29-0C7A-469D-B3C5-F8CDDC3291E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AH50" authorId="9" shapeId="0" xr:uid="{3AE61F38-6481-4192-8337-7ABE8E4DC78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Combo dues</t>
        </r>
      </text>
    </comment>
    <comment ref="AH58" authorId="10" shapeId="0" xr:uid="{0C6061FE-F9F7-4C41-8779-E87C792C857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Dual membership</t>
        </r>
      </text>
    </comment>
    <comment ref="C59" authorId="11" shapeId="0" xr:uid="{45DADFFF-CE04-4534-A63E-AAAA054B4A0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discounted invoice</t>
        </r>
      </text>
    </comment>
    <comment ref="T69" authorId="12" shapeId="0" xr:uid="{2E5A4484-61D8-4EB6-8EF4-BCD32F5C86D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Y69" authorId="13" shapeId="0" xr:uid="{3F15C167-B6F1-48BC-BC10-F1817869743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T70" authorId="14" shapeId="0" xr:uid="{9C9AB2DA-F775-4DF9-9755-94A2B51EB1C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
Reply:
    OTC 1, 2</t>
        </r>
      </text>
    </comment>
    <comment ref="Y70" authorId="15" shapeId="0" xr:uid="{1FD47D6A-2A35-43BA-AFD7-2973E4CC96A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AA71" authorId="16" shapeId="0" xr:uid="{C74068FF-78FB-4DDB-893B-795514657D3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 and/or teacher giveaways</t>
        </r>
      </text>
    </comment>
    <comment ref="Y75" authorId="17" shapeId="0" xr:uid="{23D9C7E4-D16D-45A8-A3B5-C64A6A82A61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T78" authorId="18" shapeId="0" xr:uid="{B4FDFFFE-0B59-4C66-9D4A-89D5777A89F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Y78" authorId="19" shapeId="0" xr:uid="{40498327-0EB6-4BF5-894B-3A966E342C0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T91" authorId="20" shapeId="0" xr:uid="{9B0040C9-CA64-4746-AA38-7E5010B9ACC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Y91" authorId="21" shapeId="0" xr:uid="{0F44E3B8-57BF-4837-8ADD-0853B34499F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AG96" authorId="22" shapeId="0" xr:uid="{DC14C9BC-47D2-48A0-8F8E-D5826E39C58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Dual membership</t>
        </r>
      </text>
    </comment>
    <comment ref="AH97" authorId="23" shapeId="0" xr:uid="{E8E90515-511B-41FC-91E0-AD12B65BF07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Combo dues</t>
        </r>
      </text>
    </comment>
    <comment ref="AA101" authorId="24" shapeId="0" xr:uid="{3275721C-BBA8-4DC2-9805-FDE0CDC38B4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product</t>
        </r>
      </text>
    </comment>
    <comment ref="AG107" authorId="25" shapeId="0" xr:uid="{3E96306C-ECEA-45B9-8270-056F4D546F9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Don Pepe’s + Los 3 Potrillos</t>
        </r>
      </text>
    </comment>
    <comment ref="AD122" authorId="26" shapeId="0" xr:uid="{57B7B698-0DAC-4ED5-97A4-F45C3C09016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free bundt cake coupon per attendee</t>
        </r>
      </text>
    </comment>
    <comment ref="Y137" authorId="27" shapeId="0" xr:uid="{9A9A8CA1-3BF1-452B-B864-80E336FBB5C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games</t>
        </r>
      </text>
    </comment>
    <comment ref="Y138" authorId="28" shapeId="0" xr:uid="{CF9DC9A1-5E3D-4335-A5E7-7C37A67F7F0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T139" authorId="29" shapeId="0" xr:uid="{A1DA4664-A42C-4582-89D9-6DE0B013F4A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t>
        </r>
      </text>
    </comment>
    <comment ref="Y157" authorId="30" shapeId="0" xr:uid="{1CB5A09A-5A38-47A3-9B3B-B1E4EBFDC29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Y159" authorId="31" shapeId="0" xr:uid="{BA9BF275-0CA7-4F51-8821-4ECBA5163C1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G160" authorId="32" shapeId="0" xr:uid="{E0BFEC46-F20E-4E14-881B-A8384641043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product</t>
        </r>
      </text>
    </comment>
    <comment ref="Y161" authorId="33" shapeId="0" xr:uid="{090F92F4-B562-4BE7-BC17-E90612C64DB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tc={242595CA-E1CB-4F9B-BFD2-CB4D8363ABE9}</author>
    <author>tc={F50C5030-C4A7-4624-AB82-5B57846956CD}</author>
    <author>tc={22760832-44CF-492C-A08D-7713D70E9B76}</author>
    <author>tc={BE4873DB-B603-47C3-B811-6AD529C7F764}</author>
    <author>tc={A42643EC-9FB2-4C6A-A534-CCA123D22FD3}</author>
    <author>tc={57832DFA-AD57-4079-98D5-6BDED8D569AA}</author>
    <author>tc={E7FDFE76-9096-4057-AD2E-166C83583BBD}</author>
    <author>tc={A728C88D-6352-4F2F-BB92-4B0B19B8BBA2}</author>
    <author>tc={FEF2F654-DE3F-4F6F-926F-256CEBC8A39B}</author>
    <author>tc={C2DD1DD3-D9FA-44BA-94B7-D278B685102C}</author>
    <author>tc={85B01C2E-8BB2-475E-AA04-FBFA0AEA7B50}</author>
    <author>tc={040C46CB-F364-4C5B-8798-B6B9CBE8F7B1}</author>
    <author>tc={6E1F4071-9C65-40DD-B7F8-FB40E811AF2B}</author>
    <author>tc={28CADD56-6BF7-44FB-9445-DB71F50E861F}</author>
    <author>tc={C91D47AD-FB0C-4256-ADEC-1099C983441A}</author>
    <author>tc={017DF61C-BC16-4821-9112-CBD2B7A669D3}</author>
    <author>tc={9402AC5C-7005-477F-965A-CA7467F4B6B2}</author>
    <author>tc={9368584D-408C-4317-885B-0D78E306A0D2}</author>
    <author>tc={8931E103-03BF-4B5F-9850-6285A0F4BA46}</author>
    <author>tc={63F3C373-CB84-4820-A7A9-0B3BB355589A}</author>
    <author>tc={8BDBF72D-32FE-4E49-92CC-A9C9F50A27AA}</author>
    <author>tc={476527D2-6836-44F8-995A-667110B29173}</author>
    <author>tc={84DA8F22-4F2E-4A70-B022-C43CD43EC9CB}</author>
    <author>tc={F9BB6825-C065-4711-8887-65501A1521F5}</author>
    <author>tc={DE3A18C7-ADAD-4A17-BC8D-DF8CC3EAC5C3}</author>
    <author>tc={98CC53F2-ADA4-423B-A569-9D015EDE4462}</author>
    <author>tc={77BE2CC0-BA8B-4471-B992-3C6CC808F4C5}</author>
    <author>tc={D4971808-CDDC-4B2D-B5CD-74C03B2B975E}</author>
    <author>tc={FB70B2CA-7F27-495D-9AB9-8D017CD353AB}</author>
    <author>tc={4306B9E3-F330-4719-8DE4-EAF74CBC3A0F}</author>
  </authors>
  <commentList>
    <comment ref="AH5" authorId="0" shapeId="0" xr:uid="{242595CA-E1CB-4F9B-BFD2-CB4D8363ABE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Chamber Car</t>
        </r>
      </text>
    </comment>
    <comment ref="AF6" authorId="1" shapeId="0" xr:uid="{F50C5030-C4A7-4624-AB82-5B57846956C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Conway Corp./CDC Contract</t>
        </r>
      </text>
    </comment>
    <comment ref="AH6" authorId="2" shapeId="0" xr:uid="{22760832-44CF-492C-A08D-7713D70E9B7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CDC agreement</t>
        </r>
      </text>
    </comment>
    <comment ref="AH9" authorId="3" shapeId="0" xr:uid="{BE4873DB-B603-47C3-B811-6AD529C7F76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Contract fee</t>
        </r>
      </text>
    </comment>
    <comment ref="R14" authorId="4" shapeId="0" xr:uid="{A42643EC-9FB2-4C6A-A534-CCA123D22FD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city labor</t>
        </r>
      </text>
    </comment>
    <comment ref="AB14" authorId="5" shapeId="0" xr:uid="{57832DFA-AD57-4079-98D5-6BDED8D569A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city labor</t>
        </r>
      </text>
    </comment>
    <comment ref="Q17" authorId="6" shapeId="0" xr:uid="{E7FDFE76-9096-4057-AD2E-166C83583BB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$1,000 FSB/$1000 Crews</t>
        </r>
      </text>
    </comment>
    <comment ref="W17" authorId="7" shapeId="0" xr:uid="{A728C88D-6352-4F2F-BB92-4B0B19B8BBA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$7,200 for ½ page POC annual + one, full-page advertorial for CCS = $1,200</t>
        </r>
      </text>
    </comment>
    <comment ref="AB22" authorId="8" shapeId="0" xr:uid="{FEF2F654-DE3F-4F6F-926F-256CEBC8A39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services</t>
        </r>
      </text>
    </comment>
    <comment ref="C24" authorId="9" shapeId="0" xr:uid="{C2DD1DD3-D9FA-44BA-94B7-D278B685102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$7K cash plus $3K in-kind for facility rental</t>
        </r>
      </text>
    </comment>
    <comment ref="J32" authorId="10" shapeId="0" xr:uid="{85B01C2E-8BB2-475E-AA04-FBFA0AEA7B5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t>
        </r>
      </text>
    </comment>
    <comment ref="N32" authorId="11" shapeId="0" xr:uid="{040C46CB-F364-4C5B-8798-B6B9CBE8F7B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t>
        </r>
      </text>
    </comment>
    <comment ref="AH36" authorId="12" shapeId="0" xr:uid="{6E1F4071-9C65-40DD-B7F8-FB40E811AF2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$10,000 for in-kind planning, training, staff development  + $5,000 for in-kind CALI leadership/team building</t>
        </r>
      </text>
    </comment>
    <comment ref="Q39" authorId="13" shapeId="0" xr:uid="{28CADD56-6BF7-44FB-9445-DB71F50E861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$1,000 for Engage, $2,500 for Salter</t>
        </r>
      </text>
    </comment>
    <comment ref="U58" authorId="14" shapeId="0" xr:uid="{C91D47AD-FB0C-4256-ADEC-1099C983441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t>
        </r>
      </text>
    </comment>
    <comment ref="U59" authorId="15" shapeId="0" xr:uid="{017DF61C-BC16-4821-9112-CBD2B7A669D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foundation</t>
        </r>
      </text>
    </comment>
    <comment ref="AH60" authorId="16" shapeId="0" xr:uid="{9402AC5C-7005-477F-965A-CA7467F4B6B2}">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Product donation of $1,250 for TF and WIB each. </t>
        </r>
      </text>
    </comment>
    <comment ref="D67" authorId="17" shapeId="0" xr:uid="{9368584D-408C-4317-885B-0D78E306A0D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lunch</t>
        </r>
      </text>
    </comment>
    <comment ref="R67" authorId="18" shapeId="0" xr:uid="{8931E103-03BF-4B5F-9850-6285A0F4BA4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Trade for 75 train ride tickets</t>
        </r>
      </text>
    </comment>
    <comment ref="T67" authorId="19" shapeId="0" xr:uid="{63F3C373-CB84-4820-A7A9-0B3BB355589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Y67" authorId="20" shapeId="0" xr:uid="{8BDBF72D-32FE-4E49-92CC-A9C9F50A27A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Z67" authorId="21" shapeId="0" xr:uid="{476527D2-6836-44F8-995A-667110B2917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continental breakfast.</t>
        </r>
      </text>
    </comment>
    <comment ref="AA67" authorId="22" shapeId="0" xr:uid="{84DA8F22-4F2E-4A70-B022-C43CD43EC9C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$1,200 of in-kind for breakfast to CCS teachers.</t>
        </r>
      </text>
    </comment>
    <comment ref="AB73" authorId="23" shapeId="0" xr:uid="{F9BB6825-C065-4711-8887-65501A1521F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toad toters</t>
        </r>
      </text>
    </comment>
    <comment ref="T76" authorId="24" shapeId="0" xr:uid="{DE3A18C7-ADAD-4A17-BC8D-DF8CC3EAC5C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
Reply:
    OTC 1, 2</t>
        </r>
      </text>
    </comment>
    <comment ref="Y76" authorId="25" shapeId="0" xr:uid="{98CC53F2-ADA4-423B-A569-9D015EDE446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food</t>
        </r>
      </text>
    </comment>
    <comment ref="Z76" authorId="26" shapeId="0" xr:uid="{77BE2CC0-BA8B-4471-B992-3C6CC808F4C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box lunches</t>
        </r>
      </text>
    </comment>
    <comment ref="AH85" authorId="27" shapeId="0" xr:uid="{D4971808-CDDC-4B2D-B5CD-74C03B2B975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architectural renderings for Farmers Market</t>
        </r>
      </text>
    </comment>
    <comment ref="AH90" authorId="28" shapeId="0" xr:uid="{FB70B2CA-7F27-495D-9AB9-8D017CD353A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M2Ms (8)</t>
        </r>
      </text>
    </comment>
    <comment ref="AB117" authorId="29" shapeId="0" xr:uid="{4306B9E3-F330-4719-8DE4-EAF74CBC3A0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In-kind for 2 RVs + outdoor furniture</t>
        </r>
      </text>
    </comment>
  </commentList>
</comments>
</file>

<file path=xl/sharedStrings.xml><?xml version="1.0" encoding="utf-8"?>
<sst xmlns="http://schemas.openxmlformats.org/spreadsheetml/2006/main" count="17074" uniqueCount="3202">
  <si>
    <t>ACADEMIC SIGNING DAY</t>
  </si>
  <si>
    <t>Total Sponsorship Amount Sold</t>
  </si>
  <si>
    <t>OUTSTANDING</t>
  </si>
  <si>
    <t>Budget Goal</t>
  </si>
  <si>
    <t>Remaining Balance</t>
  </si>
  <si>
    <t>Stretch Goal</t>
  </si>
  <si>
    <t>SPONSOR NAME</t>
  </si>
  <si>
    <t xml:space="preserve">SPONSORSHIP </t>
  </si>
  <si>
    <t>COST</t>
  </si>
  <si>
    <t>PRICE PLEDGED</t>
  </si>
  <si>
    <t>SOLD BY</t>
  </si>
  <si>
    <t>DATE SOLD</t>
  </si>
  <si>
    <t>NOTES</t>
  </si>
  <si>
    <t>SPECIAL BILLING</t>
  </si>
  <si>
    <t>INVOICED</t>
  </si>
  <si>
    <t>DATE PAID</t>
  </si>
  <si>
    <t>PAID AMOUNT</t>
  </si>
  <si>
    <t>CONTACT</t>
  </si>
  <si>
    <t>PHONE</t>
  </si>
  <si>
    <t>EMAIL</t>
  </si>
  <si>
    <t>PLEDGED</t>
  </si>
  <si>
    <t>SPONSORSHIP</t>
  </si>
  <si>
    <t>State Farm Jay Bernard</t>
  </si>
  <si>
    <t>Title</t>
  </si>
  <si>
    <t>BL</t>
  </si>
  <si>
    <t>2.28.25</t>
  </si>
  <si>
    <t>Will provide a $1000 scholarship</t>
  </si>
  <si>
    <t>YES</t>
  </si>
  <si>
    <t>3.19.25</t>
  </si>
  <si>
    <t>Jay Bernard</t>
  </si>
  <si>
    <t>jay.bernard.l8if@statefarm.com</t>
  </si>
  <si>
    <t>Acxiom</t>
  </si>
  <si>
    <t>Presenting</t>
  </si>
  <si>
    <t>1.8.25</t>
  </si>
  <si>
    <t>5.1.25</t>
  </si>
  <si>
    <t>Crystal Floyd, Alison Cowles</t>
  </si>
  <si>
    <t>Crystal.Floyd@acxiom.com; Alison.Cowles@acxiom.com</t>
  </si>
  <si>
    <t>BL-N</t>
  </si>
  <si>
    <t>Conway Corporation</t>
  </si>
  <si>
    <t>Gold</t>
  </si>
  <si>
    <t>Turbare</t>
  </si>
  <si>
    <t>Awards</t>
  </si>
  <si>
    <t>1.3.25</t>
  </si>
  <si>
    <t xml:space="preserve">Turbare rep. will participate in awards presentation but no speaking role. </t>
  </si>
  <si>
    <t>7.7.25</t>
  </si>
  <si>
    <t>Laura Martin, Andria White</t>
  </si>
  <si>
    <t>ceo@turbare.org; awhite@turbare.org</t>
  </si>
  <si>
    <t>BL-O</t>
  </si>
  <si>
    <t>Conway Regional</t>
  </si>
  <si>
    <t xml:space="preserve">Media </t>
  </si>
  <si>
    <t>CP</t>
  </si>
  <si>
    <t>Crafton Tull</t>
  </si>
  <si>
    <t>Virco</t>
  </si>
  <si>
    <t>12.2.24</t>
  </si>
  <si>
    <t>Scotty Bell, Steve Presley</t>
  </si>
  <si>
    <t>scottybell@virco.com; stevepresley@virco.com</t>
  </si>
  <si>
    <t>CP-N</t>
  </si>
  <si>
    <t>Green Bay Packaging</t>
  </si>
  <si>
    <t>12.3.24</t>
  </si>
  <si>
    <t>6.5.25</t>
  </si>
  <si>
    <t>Brad Harville, Christy Prater</t>
  </si>
  <si>
    <t>bharville@gbp.com, cprater@gbp.com</t>
  </si>
  <si>
    <t>CP-O</t>
  </si>
  <si>
    <t xml:space="preserve">Klaasmeyer </t>
  </si>
  <si>
    <t>12.30.24</t>
  </si>
  <si>
    <t>4.9.25</t>
  </si>
  <si>
    <t>Rebekah Fincher</t>
  </si>
  <si>
    <t>rfincher@conwayregional.org</t>
  </si>
  <si>
    <t>JE</t>
  </si>
  <si>
    <t>Smith Ford</t>
  </si>
  <si>
    <t>TriTechne</t>
  </si>
  <si>
    <t>1.9.25</t>
  </si>
  <si>
    <r>
      <t xml:space="preserve">Please send all invoices to </t>
    </r>
    <r>
      <rPr>
        <b/>
        <sz val="11.5"/>
        <color theme="1"/>
        <rFont val="Calibri"/>
        <family val="2"/>
      </rPr>
      <t xml:space="preserve">ap@tritechne.com </t>
    </r>
    <r>
      <rPr>
        <sz val="11.5"/>
        <color theme="1"/>
        <rFont val="Calibri"/>
        <family val="2"/>
      </rPr>
      <t xml:space="preserve"> and </t>
    </r>
    <r>
      <rPr>
        <b/>
        <sz val="11.5"/>
        <color theme="1"/>
        <rFont val="Calibri"/>
        <family val="2"/>
      </rPr>
      <t>Kara.Turner@tritechne.com</t>
    </r>
  </si>
  <si>
    <t>5.12.25</t>
  </si>
  <si>
    <t>Lauren Blackwell</t>
  </si>
  <si>
    <t>lauren.blackwell@tritechne.com</t>
  </si>
  <si>
    <t>JE-N</t>
  </si>
  <si>
    <t>State Farm, Jay Bernard</t>
  </si>
  <si>
    <t>1.10.25</t>
  </si>
  <si>
    <t>Lane Housley</t>
  </si>
  <si>
    <t>lane.housley@craftontull.com</t>
  </si>
  <si>
    <t>JE-O</t>
  </si>
  <si>
    <t>2.1.25</t>
  </si>
  <si>
    <t>4.7.25</t>
  </si>
  <si>
    <t>Cate McConnell</t>
  </si>
  <si>
    <t>cate.mcconnell@smithford.com</t>
  </si>
  <si>
    <t>JG</t>
  </si>
  <si>
    <t>Klaasmeyer</t>
  </si>
  <si>
    <t>3.4.25</t>
  </si>
  <si>
    <t xml:space="preserve">Use money being held in BP account. </t>
  </si>
  <si>
    <t>JG-N</t>
  </si>
  <si>
    <t>JG-O</t>
  </si>
  <si>
    <t>LC</t>
  </si>
  <si>
    <t>LC-N</t>
  </si>
  <si>
    <t>LC-O</t>
  </si>
  <si>
    <t>LH</t>
  </si>
  <si>
    <t>LH-N</t>
  </si>
  <si>
    <t>LH-O</t>
  </si>
  <si>
    <t>(blank)</t>
  </si>
  <si>
    <t>TOTAL</t>
  </si>
  <si>
    <t>ANNUAL MEETING</t>
  </si>
  <si>
    <t xml:space="preserve">WAITLIST: </t>
  </si>
  <si>
    <t>EOS Drew Spurgers</t>
  </si>
  <si>
    <t>1.28.25</t>
  </si>
  <si>
    <t>Drew wants to talk + do a video</t>
  </si>
  <si>
    <t>Drew Spurgers</t>
  </si>
  <si>
    <t>drew.spurgers@eosworldwide.com</t>
  </si>
  <si>
    <t>3.13.25</t>
  </si>
  <si>
    <t>American Safeguard Insurance</t>
  </si>
  <si>
    <t>Silver</t>
  </si>
  <si>
    <t>First Security Bank/Crews &amp; Associates</t>
  </si>
  <si>
    <t>2.12.25</t>
  </si>
  <si>
    <t>2.26.25, 3.14.25</t>
  </si>
  <si>
    <t>Jon Ross Henderson, Stefanie Vann</t>
  </si>
  <si>
    <t>ARcare</t>
  </si>
  <si>
    <t>3.14.25</t>
  </si>
  <si>
    <t>Arkansas Business Publishing Group</t>
  </si>
  <si>
    <t>UCA</t>
  </si>
  <si>
    <t>Underwriter</t>
  </si>
  <si>
    <t>12.11.24</t>
  </si>
  <si>
    <t xml:space="preserve">Plus $3,000 in-kind fo facility rental. </t>
  </si>
  <si>
    <t>4.30.25</t>
  </si>
  <si>
    <t>Amy Whitehead, Mary Lackie</t>
  </si>
  <si>
    <t>amyw@uca.edu; mlackie@uca.edu</t>
  </si>
  <si>
    <t>Arkansas Roofing Kompany</t>
  </si>
  <si>
    <t>5.22.25</t>
  </si>
  <si>
    <t>Arvest</t>
  </si>
  <si>
    <t>Turbare rep. speaks at event, 3 tables</t>
  </si>
  <si>
    <t>4.15.25</t>
  </si>
  <si>
    <t>AT&amp;T</t>
  </si>
  <si>
    <t>Entergy</t>
  </si>
  <si>
    <t>Platinum</t>
  </si>
  <si>
    <t>Bank OZK</t>
  </si>
  <si>
    <t xml:space="preserve">$1,500 in-kind for chair donation + one more table in addition to what they receive as a platinum sponsor. </t>
  </si>
  <si>
    <t>1.29.25, 9/2/25, 9/8/25</t>
  </si>
  <si>
    <t>Baptist Health Conway</t>
  </si>
  <si>
    <t>1.30.25</t>
  </si>
  <si>
    <t>Cadence Bank</t>
  </si>
  <si>
    <t>1.30.25; 8/18/25</t>
  </si>
  <si>
    <t>Catalyst</t>
  </si>
  <si>
    <t>Centennial Bank</t>
  </si>
  <si>
    <t>Baptist Health</t>
  </si>
  <si>
    <t>1.13.25</t>
  </si>
  <si>
    <t>3.7.25</t>
  </si>
  <si>
    <t>April Bennett</t>
  </si>
  <si>
    <t xml:space="preserve">Central Baptist College </t>
  </si>
  <si>
    <t>Nabholz</t>
  </si>
  <si>
    <t>2.2.25</t>
  </si>
  <si>
    <t>3.11.25</t>
  </si>
  <si>
    <t>Jake Nabholz</t>
  </si>
  <si>
    <t>jake.nabholz@nabholz.com</t>
  </si>
  <si>
    <t>Century 21 Sandstone Real Estate Group</t>
  </si>
  <si>
    <t>Landmark CPAs</t>
  </si>
  <si>
    <t>2.14.25</t>
  </si>
  <si>
    <t>6.6.25, 11/12/25</t>
  </si>
  <si>
    <t>Randy Milligan</t>
  </si>
  <si>
    <t>RMilligan@landmarkcpas.com</t>
  </si>
  <si>
    <t>Chambers Bank</t>
  </si>
  <si>
    <t>6.16.25</t>
  </si>
  <si>
    <t>Cherokee Casino &amp; Hotel Roland + Legends Resort &amp; Casino</t>
  </si>
  <si>
    <t>GARVER</t>
  </si>
  <si>
    <t>2.18.25</t>
  </si>
  <si>
    <t>3.5.25</t>
  </si>
  <si>
    <t>Dustin Tackett</t>
  </si>
  <si>
    <t>DLTackett@GarverUSA.com</t>
  </si>
  <si>
    <t>Chick-fil-A</t>
  </si>
  <si>
    <t>Trinity Development</t>
  </si>
  <si>
    <t>2.26.25</t>
  </si>
  <si>
    <t>Courtnie Pledger</t>
  </si>
  <si>
    <t>cpledger@trinitydevelopmentinc.com</t>
  </si>
  <si>
    <t>Chris Crain Enterprises</t>
  </si>
  <si>
    <t>Cousins' Office Furniture</t>
  </si>
  <si>
    <t>3.24.25</t>
  </si>
  <si>
    <t>Adam Robertson, Tara Robertson</t>
  </si>
  <si>
    <t>adam@cousinsfurniture.com; tara@cousinsfurniture.com</t>
  </si>
  <si>
    <t>Cintas</t>
  </si>
  <si>
    <t>Clayton Conway</t>
  </si>
  <si>
    <t>All communications – Jamar Murchison – jamar.murchison@claytonhomes.com
All communications – Stephanie Amerson – stephanie.amerson@claytonhomes.com
Billing – Jake Turpin –  jake.turpin@claytonhomes.com</t>
  </si>
  <si>
    <t>Jake Turpin</t>
  </si>
  <si>
    <t>jake.turpin@claytonhomes.com</t>
  </si>
  <si>
    <t>MM</t>
  </si>
  <si>
    <t>City of Conway</t>
  </si>
  <si>
    <t>Tipton Hurst</t>
  </si>
  <si>
    <t>Floral</t>
  </si>
  <si>
    <t xml:space="preserve">in-kind </t>
  </si>
  <si>
    <t>TP-N</t>
  </si>
  <si>
    <t>Coldwell Banker RPM: Lori Quinn &amp; Velda Lueders</t>
  </si>
  <si>
    <t>Conway Corp.</t>
  </si>
  <si>
    <t>Photo Booth</t>
  </si>
  <si>
    <t>12.12.24</t>
  </si>
  <si>
    <t>Crystal Kemp</t>
  </si>
  <si>
    <t>Crystal.Kemp@conwaycorp.com</t>
  </si>
  <si>
    <t>KW-N</t>
  </si>
  <si>
    <t>Colliers</t>
  </si>
  <si>
    <t>Insight</t>
  </si>
  <si>
    <t>2.19.25</t>
  </si>
  <si>
    <t>Steven Tyler, Jenny Vallas</t>
  </si>
  <si>
    <t>steven.tyler@insight.com; jenny.vallas@insight.com</t>
  </si>
  <si>
    <t>Conductor</t>
  </si>
  <si>
    <t>Conway Behavioral Health</t>
  </si>
  <si>
    <t>Log Cabin Democrat</t>
  </si>
  <si>
    <t>Media</t>
  </si>
  <si>
    <t>2.13.25</t>
  </si>
  <si>
    <t>3.27.25</t>
  </si>
  <si>
    <t>Crain Team</t>
  </si>
  <si>
    <t>Power Hour</t>
  </si>
  <si>
    <t>1.7.25</t>
  </si>
  <si>
    <t xml:space="preserve">Visit with Drew to determine which dealership(s) will be incorporated and how to handle billing. </t>
  </si>
  <si>
    <t>4.14.25</t>
  </si>
  <si>
    <t>Drew Dees, Christian Crain, Cameron Burdess, Justin Kervin</t>
  </si>
  <si>
    <t>Cameron: 501-339-1492 Justin: 501-687-3945</t>
  </si>
  <si>
    <t>ddees@ltdconnect.com; christiancrain@crainteam.net; cameronburdess@crainteam.net; justinkervin@crainteam.net</t>
  </si>
  <si>
    <t>Tommy's Express</t>
  </si>
  <si>
    <t>Arrival</t>
  </si>
  <si>
    <t>12.16.24</t>
  </si>
  <si>
    <t>2.24.25</t>
  </si>
  <si>
    <t>Kason Kimbrell</t>
  </si>
  <si>
    <t>kasonk@advancedwashnetwork.com</t>
  </si>
  <si>
    <t>Conway Wealth Management</t>
  </si>
  <si>
    <t>Awards Reception</t>
  </si>
  <si>
    <t>Corco</t>
  </si>
  <si>
    <t>Speaker Reception</t>
  </si>
  <si>
    <t>Lake Liquor</t>
  </si>
  <si>
    <t>Beverage</t>
  </si>
  <si>
    <t>3.6.25</t>
  </si>
  <si>
    <t>Plus alcohol, no tables</t>
  </si>
  <si>
    <t>Covington Companies</t>
  </si>
  <si>
    <t>11.20.24</t>
  </si>
  <si>
    <t xml:space="preserve">Confirm with NK/BB which Chris Crain Enterprises company/companies will be featured on event. </t>
  </si>
  <si>
    <t>5.5.25</t>
  </si>
  <si>
    <t>Brett Berry, Nita Kat Freeman</t>
  </si>
  <si>
    <t>brettberry@chriscraingroup.com; nitafreeman@chriscraingroup.com</t>
  </si>
  <si>
    <t>Rogers Group</t>
  </si>
  <si>
    <t>Mike Connelly</t>
  </si>
  <si>
    <t>mike.connelly@rogersgroupinc.com</t>
  </si>
  <si>
    <t>Simmons Bank</t>
  </si>
  <si>
    <t>1.2.25</t>
  </si>
  <si>
    <t>Justin McCarty</t>
  </si>
  <si>
    <t>justin.mccarty@simmonsbank.com</t>
  </si>
  <si>
    <t>Cromwell Architects</t>
  </si>
  <si>
    <t>Grace Rains</t>
  </si>
  <si>
    <t>grace@arconductor.org</t>
  </si>
  <si>
    <t>Dave Creek Media</t>
  </si>
  <si>
    <t>Engage Management</t>
  </si>
  <si>
    <t>2.25.25</t>
  </si>
  <si>
    <t>Morgan Lefler</t>
  </si>
  <si>
    <t>morgan.lefler@engagemanagement.com</t>
  </si>
  <si>
    <t>Diamond State Restoration</t>
  </si>
  <si>
    <t>First Service Bank</t>
  </si>
  <si>
    <t>Kevin Wish, Destiny Lankford</t>
  </si>
  <si>
    <t>kevin.wish@firstservicebank.com; destiny.lankford@firstservicebank.com</t>
  </si>
  <si>
    <t xml:space="preserve">Edafio </t>
  </si>
  <si>
    <t>Events Rental</t>
  </si>
  <si>
    <t>2.4.25</t>
  </si>
  <si>
    <t>in-kind for discounted invoice</t>
  </si>
  <si>
    <t>Empower Healthcare Solutions</t>
  </si>
  <si>
    <t>4.28.25</t>
  </si>
  <si>
    <t>Brooks Davis, Maret Cahill Wicks</t>
  </si>
  <si>
    <t>mcahillwicks@arvest.com; bdavis3@arvest.com</t>
  </si>
  <si>
    <t>EOS Worldwide: Drew Spurgers</t>
  </si>
  <si>
    <t>DKM Construction</t>
  </si>
  <si>
    <t>2.17.25</t>
  </si>
  <si>
    <t>Kim Morehart, Daniel Morehart</t>
  </si>
  <si>
    <t>kimm.dkm@gmail.com; danielm.dkm@gmail.com</t>
  </si>
  <si>
    <t>ERI</t>
  </si>
  <si>
    <t>Catalyst Financial</t>
  </si>
  <si>
    <t>Drew Gainor, Danielle Davis</t>
  </si>
  <si>
    <t>DanielleDavis@financialguide.com; dgainor@financialguide.com</t>
  </si>
  <si>
    <t>Exchange Capital</t>
  </si>
  <si>
    <t>Ensono</t>
  </si>
  <si>
    <t>4.3.25</t>
  </si>
  <si>
    <t>Michelle McKown</t>
  </si>
  <si>
    <t>michelle.mckown@ensono.com</t>
  </si>
  <si>
    <t>Express Employment</t>
  </si>
  <si>
    <t>Fairfield by Mariott</t>
  </si>
  <si>
    <t>Ticket</t>
  </si>
  <si>
    <t>Farris Agency</t>
  </si>
  <si>
    <t>3.3.25</t>
  </si>
  <si>
    <t>Alan White, Travis Mulhearn, Christina Horn</t>
  </si>
  <si>
    <t>Kutak Rock</t>
  </si>
  <si>
    <t>3.17.25</t>
  </si>
  <si>
    <t>One table only</t>
  </si>
  <si>
    <t>5.6.25</t>
  </si>
  <si>
    <t>Gordon Wilbourn</t>
  </si>
  <si>
    <t>gordon.wilbourn@kutakrock.com</t>
  </si>
  <si>
    <t>First Arkansas Bank &amp; Trust</t>
  </si>
  <si>
    <t>Pafford</t>
  </si>
  <si>
    <t>3.18.25</t>
  </si>
  <si>
    <t>First Community Bank</t>
  </si>
  <si>
    <t>Westrock Coffee</t>
  </si>
  <si>
    <t>4.25.25</t>
  </si>
  <si>
    <t>Melissa Mackay, Blaire Peterson</t>
  </si>
  <si>
    <t>melissa.mackay@westrockcoffee.com; blair.peterson@westrockcoffee.com</t>
  </si>
  <si>
    <t>B&amp;A Property Maintenance</t>
  </si>
  <si>
    <t>alan@farrisagency.com
travis@farrisagency.com
christina@farrisagency.com</t>
  </si>
  <si>
    <t>12.10.24</t>
  </si>
  <si>
    <t>Scott Coffey</t>
  </si>
  <si>
    <t>scott@excap.com</t>
  </si>
  <si>
    <t>Flywheel Energy</t>
  </si>
  <si>
    <t>3.12.25</t>
  </si>
  <si>
    <t>Debbie Townsend</t>
  </si>
  <si>
    <t>debbie.townsend@ozk.com</t>
  </si>
  <si>
    <t>Garcia Wealth Management</t>
  </si>
  <si>
    <t>12.9.24</t>
  </si>
  <si>
    <t>1.31.25</t>
  </si>
  <si>
    <t>John Simmons, Roger Sundermeier, Mark Wilson, Jessica Pint</t>
  </si>
  <si>
    <t>jsimmons@fabandt.bank; rsundermeier@fabandt.bank; mwilson@fabandt.bank; jpint@fabandt.bank</t>
  </si>
  <si>
    <t>Natural State Consulting</t>
  </si>
  <si>
    <t>12.18.24</t>
  </si>
  <si>
    <t>Ask Jamie how to invoice</t>
  </si>
  <si>
    <t>2.3.25</t>
  </si>
  <si>
    <t>Steve Goode</t>
  </si>
  <si>
    <t>stevegoode.naturalstate@gmail.com</t>
  </si>
  <si>
    <t>H+N Architects</t>
  </si>
  <si>
    <t>Covington</t>
  </si>
  <si>
    <t>George Covington, Savannah Brorman</t>
  </si>
  <si>
    <t>gcov@conwaycorp.net; savannah@covingtoncompanies.net</t>
  </si>
  <si>
    <t>Hampton Inn &amp; Suites</t>
  </si>
  <si>
    <t>12.23.24</t>
  </si>
  <si>
    <t>1.17.25</t>
  </si>
  <si>
    <t>Jeremy Davis, Jason Smith, Brittney Gwatney</t>
  </si>
  <si>
    <t>jdavis@asiagents.com; jsmith@asiagents.com; bgwatney@asiagents.com</t>
  </si>
  <si>
    <t>Hawkins Insurance</t>
  </si>
  <si>
    <t>HCJ CPAs &amp; Advisors</t>
  </si>
  <si>
    <t>Watson Homes/RE/Max Elite</t>
  </si>
  <si>
    <t>1.16.25</t>
  </si>
  <si>
    <t>Both names on the table tent. Send invoice to Watson Homes.</t>
  </si>
  <si>
    <t>Lauren Fulmer</t>
  </si>
  <si>
    <t>lauren@watsonhomesinc.com</t>
  </si>
  <si>
    <t>HSA Engineering</t>
  </si>
  <si>
    <t>City Church</t>
  </si>
  <si>
    <t>1.23.25</t>
  </si>
  <si>
    <t xml:space="preserve">Per Brad send invoice now. </t>
  </si>
  <si>
    <t>Erin Long</t>
  </si>
  <si>
    <t>erin@citychurch.tv</t>
  </si>
  <si>
    <t>Please send all invoices to ap@tritechne.com  and Kara.Turner@tritechne.com</t>
  </si>
  <si>
    <t>4.4.25</t>
  </si>
  <si>
    <t>Jason Owens Law Firm</t>
  </si>
  <si>
    <t>Central Baptist College</t>
  </si>
  <si>
    <t>Jessica Faulkner, Terry Kimbrow, Jeremy Langley</t>
  </si>
  <si>
    <t>jfaulkner@cbc.edu; tkimbrow@cbc.edu; JLangley@cbc.edu</t>
  </si>
  <si>
    <t>JSI Metal &amp; Recycling</t>
  </si>
  <si>
    <t>Andy Hawkins</t>
  </si>
  <si>
    <t>andy@justuslandryhawkins.com</t>
  </si>
  <si>
    <t>Kelley Commercial Partners</t>
  </si>
  <si>
    <t>Kindred Mercantile</t>
  </si>
  <si>
    <t>Winthrop Rockefeller Institute</t>
  </si>
  <si>
    <t>2.4.24</t>
  </si>
  <si>
    <t>Austin DuVall, Julia Dossett Morgan</t>
  </si>
  <si>
    <t>ADuVall@rockefellerinstitute.org; JMorgan@rockefellerinstitute.org</t>
  </si>
  <si>
    <t>Sissy's Log Cabin</t>
  </si>
  <si>
    <t>Sonya Williams</t>
  </si>
  <si>
    <t>RE/MAX Elite: The Emily Walter Team</t>
  </si>
  <si>
    <t>2.7.25</t>
  </si>
  <si>
    <t>Emily Walter</t>
  </si>
  <si>
    <t>emilywalterrealtor@gmail.com</t>
  </si>
  <si>
    <t>Ott Insurance</t>
  </si>
  <si>
    <t>Michelle Mallett</t>
  </si>
  <si>
    <t>michellemallett@ottinsurance.com</t>
  </si>
  <si>
    <t>MAC Aesthetics and Wellness</t>
  </si>
  <si>
    <t>Jason Owen's Law Firm</t>
  </si>
  <si>
    <t>Brooklyn Parker</t>
  </si>
  <si>
    <t>parker@jowenslawfirm.com</t>
  </si>
  <si>
    <t>Malvern National Bank</t>
  </si>
  <si>
    <t xml:space="preserve">WACO Title </t>
  </si>
  <si>
    <t>Ryke Dismuke, Brooklyn Burnett</t>
  </si>
  <si>
    <t>idismuke@wacotitle.com: bburnett1@wacotitle.com</t>
  </si>
  <si>
    <t>Mark Ledbetter</t>
  </si>
  <si>
    <t>CARTI</t>
  </si>
  <si>
    <t>Carroll Jo Malloy</t>
  </si>
  <si>
    <t>CarrollJo.Malloy@CARTI.com</t>
  </si>
  <si>
    <t>Trey White, Michael Rappold</t>
  </si>
  <si>
    <t>twhite@hsaconsultants.com; mrappold@hsaconsultants.com</t>
  </si>
  <si>
    <t>Natural State Consulting &amp; Strategies</t>
  </si>
  <si>
    <t>United Way</t>
  </si>
  <si>
    <t>4.17.25</t>
  </si>
  <si>
    <t>Northwestern Mutual</t>
  </si>
  <si>
    <t>PCSI</t>
  </si>
  <si>
    <t>Fair &amp; Company</t>
  </si>
  <si>
    <t>Nick Schroeder</t>
  </si>
  <si>
    <t>Cadance  Bank</t>
  </si>
  <si>
    <t>2.21.25</t>
  </si>
  <si>
    <t>Tom Nelson</t>
  </si>
  <si>
    <t>Pine Street Backpack Program</t>
  </si>
  <si>
    <t>2.27.25</t>
  </si>
  <si>
    <t>Gena Ester</t>
  </si>
  <si>
    <t>Gester64@yahoo.com</t>
  </si>
  <si>
    <t>SGA</t>
  </si>
  <si>
    <t>Coldwell Banker RPM</t>
  </si>
  <si>
    <t>Lori Quinn, Velda Lueders</t>
  </si>
  <si>
    <t>loriquinn@conwaycorp.net; velda@veldalueders.com</t>
  </si>
  <si>
    <t>TJ Johnston, Amy Meins</t>
  </si>
  <si>
    <t>tj.johnston@colliers.com; amy.meins@colliers.com</t>
  </si>
  <si>
    <t>Korry Garrett</t>
  </si>
  <si>
    <t>korrygarrett@yahoo.com</t>
  </si>
  <si>
    <t>Sowell Ferris Architects</t>
  </si>
  <si>
    <t>Cody Ferris, Emily Ferris</t>
  </si>
  <si>
    <t>cody@sowellarchitects.com; emily@sowellarchitects.com</t>
  </si>
  <si>
    <t>Sowell Architects</t>
  </si>
  <si>
    <t>Andy Harris, Alica Brown, Alexander Baney</t>
  </si>
  <si>
    <t>aharris@mnbbank.com; abrown@mnbbank.com; abaney@mnbbank.com</t>
  </si>
  <si>
    <t>State Farm Insurance, Jay Bernard</t>
  </si>
  <si>
    <t>2.20.25</t>
  </si>
  <si>
    <t>Karen Garrett</t>
  </si>
  <si>
    <t>KGarrett@hcjcpa.com</t>
  </si>
  <si>
    <t>Steve Wade</t>
  </si>
  <si>
    <t>Hardwyre</t>
  </si>
  <si>
    <t>3.31.25</t>
  </si>
  <si>
    <t>steve.wade@hardwyre.com</t>
  </si>
  <si>
    <t>The Log Cabin</t>
  </si>
  <si>
    <t>Douglas Companies</t>
  </si>
  <si>
    <t>Susie Munson</t>
  </si>
  <si>
    <t>smunson@douglascomp.com</t>
  </si>
  <si>
    <t>Liz Hamilton</t>
  </si>
  <si>
    <t>liz@hnarch.com</t>
  </si>
  <si>
    <t>Tommy's Express Carwash</t>
  </si>
  <si>
    <t xml:space="preserve">Arrival </t>
  </si>
  <si>
    <t>2.23.25</t>
  </si>
  <si>
    <t>3.10.25</t>
  </si>
  <si>
    <t>Rob Bell</t>
  </si>
  <si>
    <t>rob@ericrobisaac.com</t>
  </si>
  <si>
    <t>3.21.25</t>
  </si>
  <si>
    <t>Greg Pillow, Rita Stapleton</t>
  </si>
  <si>
    <t>rita@conwaywm.com; greg@conwaywm.com</t>
  </si>
  <si>
    <t>UACCM</t>
  </si>
  <si>
    <t>Ascend</t>
  </si>
  <si>
    <t>Kenny Kinley</t>
  </si>
  <si>
    <t>kkinley@teamascend.com</t>
  </si>
  <si>
    <t>JSI Metal Recycling</t>
  </si>
  <si>
    <t>Jessie McCoy</t>
  </si>
  <si>
    <t>jessie@jsimetal.com</t>
  </si>
  <si>
    <t>Arkansas Business</t>
  </si>
  <si>
    <t>Mitch Bettis</t>
  </si>
  <si>
    <t>mbettis@abpg.com</t>
  </si>
  <si>
    <t>Gratus Wealth Management Northwestern Mutual</t>
  </si>
  <si>
    <t>3.13.25; 8/4/25</t>
  </si>
  <si>
    <t>Osmar Garcia, Gilberto Garcia, Miranda Hogg</t>
  </si>
  <si>
    <t>osmar.a.garcia@nm.com; miranda.hogg@nm.com; gilberto.garcia@nm.com</t>
  </si>
  <si>
    <t>6.10.25</t>
  </si>
  <si>
    <t>4.8.25</t>
  </si>
  <si>
    <t>Grant Gordy, Lori Melton</t>
  </si>
  <si>
    <t>Grant.Gordy@firstcommunity.net; lori.melton@firstcommunity.net</t>
  </si>
  <si>
    <t>The Max Event Venue</t>
  </si>
  <si>
    <t>Pete Tanguay</t>
  </si>
  <si>
    <t>pete@rockpondpros.com</t>
  </si>
  <si>
    <t>Send invoice to Valencia and this email: ap@conwaybh.com</t>
  </si>
  <si>
    <t>4.2.25</t>
  </si>
  <si>
    <t>Valencia Anderson</t>
  </si>
  <si>
    <t>valencia.anderson@conwaybh.com</t>
  </si>
  <si>
    <t>Jay Hodge Ford</t>
  </si>
  <si>
    <t>Mark Busha</t>
  </si>
  <si>
    <t>markbusha@hodgeauto.com</t>
  </si>
  <si>
    <t>CrossCreek</t>
  </si>
  <si>
    <t>Caitlin Bailey</t>
  </si>
  <si>
    <t>crosscreekcaitlin@gmail.com</t>
  </si>
  <si>
    <t>Ethan Barnes</t>
  </si>
  <si>
    <t>ebarnes@chambers.bank</t>
  </si>
  <si>
    <t>Car-Son Construction</t>
  </si>
  <si>
    <t>5.16.25</t>
  </si>
  <si>
    <t>Brad Fason, Brian Fason</t>
  </si>
  <si>
    <t>bfason@car-son.com; bradfason@car-son.com</t>
  </si>
  <si>
    <t>Andy Miller</t>
  </si>
  <si>
    <t>andy.miller@flywheelenergy.com</t>
  </si>
  <si>
    <t>Jakob Michaelis</t>
  </si>
  <si>
    <t>jakob@davecreekmedia.com</t>
  </si>
  <si>
    <t>Ed Clawson</t>
  </si>
  <si>
    <t>The Adkissons</t>
  </si>
  <si>
    <t>Bradford Fencing</t>
  </si>
  <si>
    <t>Lacey Strom</t>
  </si>
  <si>
    <t>lacey@bradfordfencing.net</t>
  </si>
  <si>
    <t>Las Delicias</t>
  </si>
  <si>
    <t>4.19.25</t>
  </si>
  <si>
    <t>Harps</t>
  </si>
  <si>
    <t>Donation for drinks</t>
  </si>
  <si>
    <t>BAGGO FOR BUSINESS</t>
  </si>
  <si>
    <t>2026: Rhea Lana's waive 2 teams</t>
  </si>
  <si>
    <t>AFCU</t>
  </si>
  <si>
    <t>7.28.25</t>
  </si>
  <si>
    <t>8 players</t>
  </si>
  <si>
    <t>Andy's Frozen Custard</t>
  </si>
  <si>
    <t>HD Roofing</t>
  </si>
  <si>
    <t>8.7.25</t>
  </si>
  <si>
    <t>8/15/25 GB</t>
  </si>
  <si>
    <t>Amber Watkins</t>
  </si>
  <si>
    <t>office@hdroofing-construction.com</t>
  </si>
  <si>
    <t>Rock City Outfitters</t>
  </si>
  <si>
    <t>T-Shirt</t>
  </si>
  <si>
    <t>7/17/25 GB</t>
  </si>
  <si>
    <t>Ryan Ritchie</t>
  </si>
  <si>
    <t>ryan@rockcityoutfitters.com</t>
  </si>
  <si>
    <t>Bledsoe Chiropractic</t>
  </si>
  <si>
    <t>Lunch</t>
  </si>
  <si>
    <t>12.4.24</t>
  </si>
  <si>
    <t>7.25.25</t>
  </si>
  <si>
    <t>Cross Creek Sandwich Shop</t>
  </si>
  <si>
    <t>in-kind for food</t>
  </si>
  <si>
    <t>Baggo Brews</t>
  </si>
  <si>
    <t>2 teams, 4 players total</t>
  </si>
  <si>
    <t>Rouge Roundabout</t>
  </si>
  <si>
    <t>8.21.25</t>
  </si>
  <si>
    <t>in-kind for alcohol</t>
  </si>
  <si>
    <t>Dyermark</t>
  </si>
  <si>
    <t>2.11.25</t>
  </si>
  <si>
    <t>9/16/2025, 10/13/25, 11/18/25</t>
  </si>
  <si>
    <t>Ali Dyer</t>
  </si>
  <si>
    <t>ali@dyermark.com</t>
  </si>
  <si>
    <t>7.23.25</t>
  </si>
  <si>
    <t>Sinco</t>
  </si>
  <si>
    <t>Parker Spradlin, Grey Williams, Rhonda Wilson</t>
  </si>
  <si>
    <t>Pspradlin@sincoinc.com; gwilliams@sincoinc.com; rwilson@sincoinc.com</t>
  </si>
  <si>
    <t xml:space="preserve">Region Construction team will pay for this, so invoice James Warren </t>
  </si>
  <si>
    <t>7.17.25</t>
  </si>
  <si>
    <t>Zack Hale, James Warren</t>
  </si>
  <si>
    <t>zhale@entergy.com; jwarren@entergy.com</t>
  </si>
  <si>
    <t>7.22.25</t>
  </si>
  <si>
    <t>First Security Bank</t>
  </si>
  <si>
    <t>Amanda Bledsoe, Sarah Lockard</t>
  </si>
  <si>
    <t>dramandabledsoe@gmail.com; sarah@bledsoechiropractic.com</t>
  </si>
  <si>
    <t>Stefanie Vann</t>
  </si>
  <si>
    <t>stefanie.vann@fsbank.com</t>
  </si>
  <si>
    <t xml:space="preserve">Insight </t>
  </si>
  <si>
    <t>Molex</t>
  </si>
  <si>
    <t>3.28.25</t>
  </si>
  <si>
    <t>Cory Ensley</t>
  </si>
  <si>
    <t>cory.ensley@molex.com</t>
  </si>
  <si>
    <t>Jakob Henry</t>
  </si>
  <si>
    <t>Pro-Land Title</t>
  </si>
  <si>
    <t>4.11.25</t>
  </si>
  <si>
    <t>Brooklyn Cardin</t>
  </si>
  <si>
    <t>bcardin@prolandtitle.com</t>
  </si>
  <si>
    <t>Market Place Grill</t>
  </si>
  <si>
    <t>Arkansas Federal Credit Union</t>
  </si>
  <si>
    <t>8.28.25</t>
  </si>
  <si>
    <t>One team from 10:00 - 12:00: Tiffany  Mitchell and Sidney Foltz</t>
  </si>
  <si>
    <t>9/4/25 GB</t>
  </si>
  <si>
    <t>Denise Goforth</t>
  </si>
  <si>
    <t>dgoforth@arcu.org</t>
  </si>
  <si>
    <t>Rhea Lana's</t>
  </si>
  <si>
    <t>2 Teams</t>
  </si>
  <si>
    <t>Rhea Lana Riner, Hannah Johnson, Abbie Kent</t>
  </si>
  <si>
    <t>rhealana@rhealana.com; hannahjohnson@rhealana.com; abbie@rhealana.com</t>
  </si>
  <si>
    <t>Paladino Nash</t>
  </si>
  <si>
    <t>Pro Ridge Roofing</t>
  </si>
  <si>
    <t>2 teams - one for each dealership</t>
  </si>
  <si>
    <t>Rogue Roundabout</t>
  </si>
  <si>
    <t>St. Francis Veterinary Clinic</t>
  </si>
  <si>
    <t>5 total teams</t>
  </si>
  <si>
    <t>Sharon Stone, Rachel Mears</t>
  </si>
  <si>
    <t>stfrancisvet@conwaycorp.net</t>
  </si>
  <si>
    <t>Sam's Club</t>
  </si>
  <si>
    <t>Alex Breckenridge</t>
  </si>
  <si>
    <t>a0b0q84.s04749.us@samsclub.com</t>
  </si>
  <si>
    <t>Window Depot</t>
  </si>
  <si>
    <t>4.21.25</t>
  </si>
  <si>
    <t>Zack Venable, Karen</t>
  </si>
  <si>
    <t>zack@windowdepotar.com;  office.windowdepotar@gmail.com</t>
  </si>
  <si>
    <t>Staley Electric- moving pmt to spark</t>
  </si>
  <si>
    <t>7.3.25</t>
  </si>
  <si>
    <t>Cancelled and moved money to SPARK!</t>
  </si>
  <si>
    <t>Heather Finch, Matt Benton, Troy Lampley</t>
  </si>
  <si>
    <t>heather.finch@staleyelectric.com; matt.benton@staleyelectric.com; Troy.Lampley@staleyelectric.com</t>
  </si>
  <si>
    <t>Haynes Ace Hardware</t>
  </si>
  <si>
    <t>Andrew Booth</t>
  </si>
  <si>
    <t>andrew@haynesace.com</t>
  </si>
  <si>
    <t>8.4.25</t>
  </si>
  <si>
    <t>St. Francis Vet Clinic</t>
  </si>
  <si>
    <t>Watson Homes</t>
  </si>
  <si>
    <t>8.19.25</t>
  </si>
  <si>
    <t>afternoon</t>
  </si>
  <si>
    <t>8/26/25 GB</t>
  </si>
  <si>
    <t>Lauren Watson</t>
  </si>
  <si>
    <t>StoneBridge of Conway</t>
  </si>
  <si>
    <t>The Barking Lot</t>
  </si>
  <si>
    <t>L&amp;P Construction</t>
  </si>
  <si>
    <t>8.27.25</t>
  </si>
  <si>
    <t>Morning flight</t>
  </si>
  <si>
    <t>8/29/25 GB</t>
  </si>
  <si>
    <t>claire@homewardhomes.com</t>
  </si>
  <si>
    <t xml:space="preserve">Top Notch </t>
  </si>
  <si>
    <t>9.2.25</t>
  </si>
  <si>
    <t>9/3/25 GB</t>
  </si>
  <si>
    <t>tom.nelson@cadencebank.com</t>
  </si>
  <si>
    <t>Trey White</t>
  </si>
  <si>
    <t>twhite@hsaconsultants.com</t>
  </si>
  <si>
    <t>UCA Outreach and Conference Services</t>
  </si>
  <si>
    <t>9.3.25</t>
  </si>
  <si>
    <t>BluSky</t>
  </si>
  <si>
    <t>9.4.25</t>
  </si>
  <si>
    <t>9/5/25 GB</t>
  </si>
  <si>
    <t>Lisa.graham@goblusky.com</t>
  </si>
  <si>
    <t>UCA Outreach &amp; Community Engagement</t>
  </si>
  <si>
    <t>9.8.25</t>
  </si>
  <si>
    <t>Reuel Shepherd</t>
  </si>
  <si>
    <t>rshepherd@uca.edu</t>
  </si>
  <si>
    <t>BIKETOBERFEST</t>
  </si>
  <si>
    <t>9/17/25 GB</t>
  </si>
  <si>
    <t>Caldwell Toyota</t>
  </si>
  <si>
    <t>12.20.24</t>
  </si>
  <si>
    <t>9/25/25 GB</t>
  </si>
  <si>
    <t>Jay Caldwell</t>
  </si>
  <si>
    <t>jay@caldwellcares.com</t>
  </si>
  <si>
    <t>Meridian Investment Advisors</t>
  </si>
  <si>
    <t>Pat Moon</t>
  </si>
  <si>
    <t>pmoon@meridiania.com</t>
  </si>
  <si>
    <t>Cousins' Office Furnitre</t>
  </si>
  <si>
    <t>Taco Ride</t>
  </si>
  <si>
    <t>Route</t>
  </si>
  <si>
    <t>Themed Ride #1</t>
  </si>
  <si>
    <t>Home2/Hilton Garden Inn</t>
  </si>
  <si>
    <t>Themed Ride #2</t>
  </si>
  <si>
    <t>Point Remove Brewing</t>
  </si>
  <si>
    <t>Bike, Brunch &amp; Brews</t>
  </si>
  <si>
    <t>Themed Ride #3</t>
  </si>
  <si>
    <t>Kick-off Ride</t>
  </si>
  <si>
    <t>The Ride</t>
  </si>
  <si>
    <t>Ride Partner</t>
  </si>
  <si>
    <t xml:space="preserve">Route </t>
  </si>
  <si>
    <t>Cousins'</t>
  </si>
  <si>
    <t>in-kind for hauling event materials</t>
  </si>
  <si>
    <t>Virtual Ride</t>
  </si>
  <si>
    <t>BOWLING FOR BUSINESS</t>
  </si>
  <si>
    <t xml:space="preserve">SOLD BY </t>
  </si>
  <si>
    <t>Lane</t>
  </si>
  <si>
    <t xml:space="preserve">Superior Plumbing </t>
  </si>
  <si>
    <t>4.23.25</t>
  </si>
  <si>
    <t>6.17.25</t>
  </si>
  <si>
    <t>Dustin Smith</t>
  </si>
  <si>
    <t>DUSTIN.SMITH@SUPERIORPLUMBINGAR.COM</t>
  </si>
  <si>
    <t>Alpha Countertops</t>
  </si>
  <si>
    <t>Team</t>
  </si>
  <si>
    <t>6.30.25</t>
  </si>
  <si>
    <t>Meal</t>
  </si>
  <si>
    <t>Meal sponsor + one additional team, 2 teams of 5</t>
  </si>
  <si>
    <t>Include lane signage and two teams of five</t>
  </si>
  <si>
    <t>Attorney's Title Group</t>
  </si>
  <si>
    <t>6.9.25</t>
  </si>
  <si>
    <t>Fair and Company</t>
  </si>
  <si>
    <t>5.7.25</t>
  </si>
  <si>
    <t>6.20.25</t>
  </si>
  <si>
    <t>nschroeder@fairandcompany.com</t>
  </si>
  <si>
    <t>Conway Family Dental</t>
  </si>
  <si>
    <t>5.30.25</t>
  </si>
  <si>
    <t>6.2.25</t>
  </si>
  <si>
    <t>12.19.24</t>
  </si>
  <si>
    <t>6.23.25</t>
  </si>
  <si>
    <t>Allan Gammill</t>
  </si>
  <si>
    <t>allan.gammill@hilton.com</t>
  </si>
  <si>
    <t>Conway Fire Department</t>
  </si>
  <si>
    <t>7.14.25</t>
  </si>
  <si>
    <t>6.12.25</t>
  </si>
  <si>
    <t>5.19.25</t>
  </si>
  <si>
    <t>5.27.25</t>
  </si>
  <si>
    <t>6.9.25, 8/19/25</t>
  </si>
  <si>
    <t>Region Construction team will pay for this, so invoice James Warren</t>
  </si>
  <si>
    <t>Edward Jones, Stacey Alston</t>
  </si>
  <si>
    <t>Drink</t>
  </si>
  <si>
    <t>5.21.25</t>
  </si>
  <si>
    <t>Westport Dental</t>
  </si>
  <si>
    <t>5.9.25</t>
  </si>
  <si>
    <t xml:space="preserve">Noon/lunch flight, t-shirt sizes: 1 - XL, 4 - L, 7 - M, Leo said we can charge for the additional shirts. </t>
  </si>
  <si>
    <t>Cyndi Winter</t>
  </si>
  <si>
    <t>cwinter.westport@conwaycorp.net</t>
  </si>
  <si>
    <t>Nabco</t>
  </si>
  <si>
    <t>5.29.25</t>
  </si>
  <si>
    <t>6.25.25</t>
  </si>
  <si>
    <t>Dusty Brand</t>
  </si>
  <si>
    <t>cbrand@nabco.com</t>
  </si>
  <si>
    <t>Stonebridge</t>
  </si>
  <si>
    <t>Shelley Culwell</t>
  </si>
  <si>
    <t>shelley.culwell@sbseniorliving.com</t>
  </si>
  <si>
    <t>Hampton Inn and Suites</t>
  </si>
  <si>
    <t>Honda World</t>
  </si>
  <si>
    <t>2 teams</t>
  </si>
  <si>
    <t>Integrity Insurance</t>
  </si>
  <si>
    <t>Lunch &amp; Snack</t>
  </si>
  <si>
    <t>One team per flight, and please give each player a shirt</t>
  </si>
  <si>
    <t>Megan Stewart (Pipeline)</t>
  </si>
  <si>
    <t>Melvin's Painting</t>
  </si>
  <si>
    <t>6.11.25</t>
  </si>
  <si>
    <t>NRG Insurance</t>
  </si>
  <si>
    <t>Partners Bank</t>
  </si>
  <si>
    <t>5.8.25</t>
  </si>
  <si>
    <t>Nick Rougeau</t>
  </si>
  <si>
    <t>nick@nrgins.com</t>
  </si>
  <si>
    <t>First Star Exteriors</t>
  </si>
  <si>
    <t>5.14.25</t>
  </si>
  <si>
    <t>Deric Herring</t>
  </si>
  <si>
    <t>dherring@firststarext.com</t>
  </si>
  <si>
    <t>Marketplace Grill</t>
  </si>
  <si>
    <t>Sydney Camp</t>
  </si>
  <si>
    <t>jbasey@marketplacegrill.com; sydney.camp@marketplacegrill.com</t>
  </si>
  <si>
    <t>5.20.25</t>
  </si>
  <si>
    <t>Sydney Lee</t>
  </si>
  <si>
    <t>slee@winrockautomotive.com</t>
  </si>
  <si>
    <t>Century 21 Parker &amp; Scroggins</t>
  </si>
  <si>
    <t>12:00 - 2:30 flight</t>
  </si>
  <si>
    <t>Comeatrieze Ester</t>
  </si>
  <si>
    <t>Comeatrieze.ester@gmail.com</t>
  </si>
  <si>
    <t>dgoforth@AFCU.org</t>
  </si>
  <si>
    <t>Baptist Health - Conway</t>
  </si>
  <si>
    <t>6.4.25</t>
  </si>
  <si>
    <t>Comp 2 teams per Jamie</t>
  </si>
  <si>
    <t>Summit Utilities</t>
  </si>
  <si>
    <t>7.16.25</t>
  </si>
  <si>
    <t>Superior Plumbing &amp; Rooter</t>
  </si>
  <si>
    <t>Verizon</t>
  </si>
  <si>
    <t>Mark Jones</t>
  </si>
  <si>
    <t>mark.jones@verizonwireless.com</t>
  </si>
  <si>
    <t>Little Creek Behavioral</t>
  </si>
  <si>
    <t>2:30 - 4:30 shift</t>
  </si>
  <si>
    <t>Nedra Allen-Jones</t>
  </si>
  <si>
    <t>Nedra.allen-jones@littlecreekbehavioral.com</t>
  </si>
  <si>
    <t>Tucker Creek Vet</t>
  </si>
  <si>
    <t>2:30 shift</t>
  </si>
  <si>
    <t>Sarah Shaw</t>
  </si>
  <si>
    <t>sarah.shaw@ozk.com</t>
  </si>
  <si>
    <t>12:00 - 2:00 shift</t>
  </si>
  <si>
    <t>6.13.25</t>
  </si>
  <si>
    <t>Weaver Bailey</t>
  </si>
  <si>
    <t>Beard Chiropractic</t>
  </si>
  <si>
    <t>Crosscreek</t>
  </si>
  <si>
    <t>Piraino Security</t>
  </si>
  <si>
    <t>BUSINESS EXPO &amp; TASTE OF CONWAY</t>
  </si>
  <si>
    <t>7 Brew</t>
  </si>
  <si>
    <t>Booth Space</t>
  </si>
  <si>
    <t>7/31/25 GB</t>
  </si>
  <si>
    <t>TOC Food Vendor</t>
  </si>
  <si>
    <t>Arkansas Game &amp; Fish Commission</t>
  </si>
  <si>
    <t>Spencer Griffith</t>
  </si>
  <si>
    <t>spencer.griffith@agfc.ar.gov</t>
  </si>
  <si>
    <t>Adams Pest Control</t>
  </si>
  <si>
    <t>Advance Ticket Sales</t>
  </si>
  <si>
    <t>Tickets</t>
  </si>
  <si>
    <t xml:space="preserve">Sponsor deliverables per Jamie: 1) We would host a lunch here for Expo participants well in advance of the event so you could share similar content in-person. 2) Break-out session at the Expo. 3) Video commercial that runs during Expo 4) Included in Expo promotion and Social Media. </t>
  </si>
  <si>
    <t>All Clean USA</t>
  </si>
  <si>
    <t>Premier Vendor</t>
  </si>
  <si>
    <t>9.19.25</t>
  </si>
  <si>
    <t>Will also have a breakout session.</t>
  </si>
  <si>
    <t>9/23/25 GB</t>
  </si>
  <si>
    <t>Alpha Countertops &amp; Tile</t>
  </si>
  <si>
    <t>Ambassadors</t>
  </si>
  <si>
    <t>1 Taste, 1 Breakfast OR Lunch, 1 session ticket</t>
  </si>
  <si>
    <t>Snap-on</t>
  </si>
  <si>
    <t>Scott Champlin, Lynne Sponer</t>
  </si>
  <si>
    <t>scott.l.champlin@snapon.com; lynne.sponer@snapon.com</t>
  </si>
  <si>
    <t>7.1.25</t>
  </si>
  <si>
    <t>Dylan Kelsey</t>
  </si>
  <si>
    <t>Staley Electric</t>
  </si>
  <si>
    <t>Aramark</t>
  </si>
  <si>
    <t>TGI Friday's Catering</t>
  </si>
  <si>
    <t>10.1.25</t>
  </si>
  <si>
    <t>10/2/25 GB</t>
  </si>
  <si>
    <t>Jeremy Gardner</t>
  </si>
  <si>
    <t>TGIFboss@gmail.com</t>
  </si>
  <si>
    <t>Arisa Health</t>
  </si>
  <si>
    <t>Teresa Wilson, Brad Hyde</t>
  </si>
  <si>
    <t xml:space="preserve">Teresa.wilson@arisahealth.org; brad.hyde@arisahealth.org   </t>
  </si>
  <si>
    <t>Arkansas Division of Services for the Blind</t>
  </si>
  <si>
    <t>9/3/2025, 11/19/25</t>
  </si>
  <si>
    <t>Arkansas Game &amp; Fish</t>
  </si>
  <si>
    <t>Arkansas Secretary of State</t>
  </si>
  <si>
    <t>Arkansas Spine and Pain</t>
  </si>
  <si>
    <t>Wants booth next to Rogers Group</t>
  </si>
  <si>
    <t>ARORA: Arkansas Regional Organ Recovery Agency</t>
  </si>
  <si>
    <t>RE/MAX Elite: Karen Ferguson</t>
  </si>
  <si>
    <t>Karen Ferguson</t>
  </si>
  <si>
    <t>karenferguson501@gmail.com</t>
  </si>
  <si>
    <t>ASAP Personal Services</t>
  </si>
  <si>
    <t>4.10.25</t>
  </si>
  <si>
    <t>Jessica Press</t>
  </si>
  <si>
    <t>jessica@klaasmeyer.com</t>
  </si>
  <si>
    <t>7.8.25</t>
  </si>
  <si>
    <t>Whitley Compton-Hobbs</t>
  </si>
  <si>
    <t>wcompton-hobbs@TheWilsonLawFirm.com</t>
  </si>
  <si>
    <t>Baptist Health Urgent Care</t>
  </si>
  <si>
    <t>Southern Tee's</t>
  </si>
  <si>
    <t>Sean Barber</t>
  </si>
  <si>
    <t>sotees@hotmail.com</t>
  </si>
  <si>
    <t>Ortho Arkansas</t>
  </si>
  <si>
    <t>Traci Byrd</t>
  </si>
  <si>
    <t>Traci.Byrd@orthoarkansas.com</t>
  </si>
  <si>
    <t>Blue Barn Bakery</t>
  </si>
  <si>
    <t>Bradley Barber</t>
  </si>
  <si>
    <t>bradley@arkansasspineandpain.com</t>
  </si>
  <si>
    <t>Boston Mountain Rural Health</t>
  </si>
  <si>
    <t>The Max</t>
  </si>
  <si>
    <t>9.20.25</t>
  </si>
  <si>
    <t xml:space="preserve">Wants booth 67. </t>
  </si>
  <si>
    <t>Brick and Forge</t>
  </si>
  <si>
    <t>Solid Rock</t>
  </si>
  <si>
    <t>In-kind</t>
  </si>
  <si>
    <t>Bulgogi</t>
  </si>
  <si>
    <t>Taste of Conway</t>
  </si>
  <si>
    <t>Business Ticket Purchases</t>
  </si>
  <si>
    <t>Harvest Cannabis</t>
  </si>
  <si>
    <t>Networking Game</t>
  </si>
  <si>
    <t xml:space="preserve">If they do not pay by September 1 OR confirm payment arrangements they will be removed as a sponsor for 2025. </t>
  </si>
  <si>
    <t>Robbin</t>
  </si>
  <si>
    <t>robbin@harvestcannabisarkansas.com</t>
  </si>
  <si>
    <t>Century 21 Parker and Scroggins</t>
  </si>
  <si>
    <t>Certapro</t>
  </si>
  <si>
    <t>Lane Housley Trucking</t>
  </si>
  <si>
    <t>Place booth next to Crafton Tull and Rogers Group</t>
  </si>
  <si>
    <t>Chairman's Circle</t>
  </si>
  <si>
    <t>US Bank</t>
  </si>
  <si>
    <t>9/22/25 GB</t>
  </si>
  <si>
    <t>Ciara Jackson, Garrett Cubello, Rebecca McRoberts</t>
  </si>
  <si>
    <t>ciara.browning@usbank.com; Garrett.Curbello@usbank.com; rebecca.mcroberts@usbank.com</t>
  </si>
  <si>
    <t>Chicken Salad Chick</t>
  </si>
  <si>
    <t>Networking Lounge Sponsor</t>
  </si>
  <si>
    <t>Visit with Drew to determine which dealership(s) will be incorporated and how to handle billing. + 2 Cars/booth, if desired.</t>
  </si>
  <si>
    <t>Direct Auto Insurance</t>
  </si>
  <si>
    <t>1.7.24</t>
  </si>
  <si>
    <t>Brandon Pitcock</t>
  </si>
  <si>
    <t>Brandon.pitcock@directauto.com</t>
  </si>
  <si>
    <t>Leaf Filter</t>
  </si>
  <si>
    <t>Aaron Threats</t>
  </si>
  <si>
    <t>AThreats@leaffilter.com</t>
  </si>
  <si>
    <t xml:space="preserve">Conway Financial </t>
  </si>
  <si>
    <t>WACO Title</t>
  </si>
  <si>
    <t>Transfer</t>
  </si>
  <si>
    <t>Conway Property Group</t>
  </si>
  <si>
    <t>The Pest Detective</t>
  </si>
  <si>
    <t>Westly Sullins</t>
  </si>
  <si>
    <t>westhepestdetective@gmail.com</t>
  </si>
  <si>
    <t>Plus 4 bkf and lunch tickets, 10 TOC tickets</t>
  </si>
  <si>
    <t>First community Bank</t>
  </si>
  <si>
    <t>Lori Melton, Grant Gordy</t>
  </si>
  <si>
    <t>Lori.Melton@firstcommunity.net; Grant.Gordy@firstcommunity.net</t>
  </si>
  <si>
    <t>Cracker Barrell</t>
  </si>
  <si>
    <t>6.16.25 8/20/25</t>
  </si>
  <si>
    <t>UCA Public Appearances</t>
  </si>
  <si>
    <t>Amanda Horton, Wendy Sparks</t>
  </si>
  <si>
    <t>ahorton@uca.edu; wsparks2@uca.edu</t>
  </si>
  <si>
    <t>Exhibitor Lounge</t>
  </si>
  <si>
    <t>Cuerden Sign</t>
  </si>
  <si>
    <t>Jan-Pro</t>
  </si>
  <si>
    <t>4.22.25</t>
  </si>
  <si>
    <t>Kiana Waits</t>
  </si>
  <si>
    <t>kiana.waits@jan-pro.com</t>
  </si>
  <si>
    <t xml:space="preserve">D&amp;C </t>
  </si>
  <si>
    <t>Little Rock/Conway Signs</t>
  </si>
  <si>
    <t>DROP</t>
  </si>
  <si>
    <t>Invoice Andrea@littlerockconwaysign.com</t>
  </si>
  <si>
    <t>David Glover</t>
  </si>
  <si>
    <t>David@littlerockconwaysign.com</t>
  </si>
  <si>
    <t>Owens and Parker Law Firm</t>
  </si>
  <si>
    <t>Day-of Ticket Sales</t>
  </si>
  <si>
    <t>Shadrachs Coffee</t>
  </si>
  <si>
    <t>Per Leo, Chamber will buy 200 black coffeess for the day</t>
  </si>
  <si>
    <t>Tony Pavan</t>
  </si>
  <si>
    <t>tony@shadrachscoffee.com</t>
  </si>
  <si>
    <t>Dewees HVAC</t>
  </si>
  <si>
    <t>Direct Auto Life Insurance</t>
  </si>
  <si>
    <t>Homewell Cares</t>
  </si>
  <si>
    <t>Brandon Phipps</t>
  </si>
  <si>
    <t>bphipps@homewellcares.com</t>
  </si>
  <si>
    <t>Temporary Wall Systems</t>
  </si>
  <si>
    <t>9.5.25</t>
  </si>
  <si>
    <t>Lance Wilson</t>
  </si>
  <si>
    <t>lance.wilson@tempwallsystems.com</t>
  </si>
  <si>
    <t>Eat My Catfish</t>
  </si>
  <si>
    <t>Conway Financial</t>
  </si>
  <si>
    <t>Ed Allen CPA</t>
  </si>
  <si>
    <t>D&amp;C Event Services</t>
  </si>
  <si>
    <t>Empire Training</t>
  </si>
  <si>
    <t>Modern Woodmen of America</t>
  </si>
  <si>
    <t>9.11.25</t>
  </si>
  <si>
    <t>Cubby's</t>
  </si>
  <si>
    <t>9.15.25</t>
  </si>
  <si>
    <t>Liz Starr</t>
  </si>
  <si>
    <t>lstarr@mosestucker.com</t>
  </si>
  <si>
    <t>Monarch Dental</t>
  </si>
  <si>
    <t>TRANSFER</t>
  </si>
  <si>
    <t>11.27.24</t>
  </si>
  <si>
    <t>Amber Wyatt, Elisabeth Bondoc</t>
  </si>
  <si>
    <t>amber.wyatt1@smilebrands.com; Elizabeth.bondoc@smilebrands.com</t>
  </si>
  <si>
    <t>eXp Realty</t>
  </si>
  <si>
    <t>Fairfield Bay Conference Center</t>
  </si>
  <si>
    <t>11/18/2025, 12/18/25</t>
  </si>
  <si>
    <t>Barham's Ozark Beef</t>
  </si>
  <si>
    <t>Ed Linck</t>
  </si>
  <si>
    <t>edlinck@gmail.com</t>
  </si>
  <si>
    <t>Foundation Investors</t>
  </si>
  <si>
    <t>Superior Heating and Air</t>
  </si>
  <si>
    <t>Jennifer Pettry</t>
  </si>
  <si>
    <t>Superiorhainc@gmail.com</t>
  </si>
  <si>
    <t>Fountain Bleu</t>
  </si>
  <si>
    <t>8/4/2025, 8/20/25</t>
  </si>
  <si>
    <t>Meal Sponsor</t>
  </si>
  <si>
    <t>Good Day Pottery</t>
  </si>
  <si>
    <t>Jay Bernard State Farm</t>
  </si>
  <si>
    <t>Grace &amp; Truth Books</t>
  </si>
  <si>
    <t>8/26/2025, 9/24/25</t>
  </si>
  <si>
    <t>10.3.25</t>
  </si>
  <si>
    <t>10/6/25 GB</t>
  </si>
  <si>
    <t>Pediatrics Plus</t>
  </si>
  <si>
    <t>5.15.25</t>
  </si>
  <si>
    <t>Brooke Bagley</t>
  </si>
  <si>
    <t>Restoration Health</t>
  </si>
  <si>
    <t>Samantha Newman</t>
  </si>
  <si>
    <t>Samantha.newman@exprealty.net</t>
  </si>
  <si>
    <t>Holiday Inn &amp; Suites</t>
  </si>
  <si>
    <t>Jacob Jasper</t>
  </si>
  <si>
    <t>jacob@elevatecreative.co</t>
  </si>
  <si>
    <t>Home Instead Senior Care</t>
  </si>
  <si>
    <t>Alleviant Integrated Mental Health</t>
  </si>
  <si>
    <t>Cassandra Hensley</t>
  </si>
  <si>
    <t>chensley@alleviant.com</t>
  </si>
  <si>
    <t>Homeward Realty</t>
  </si>
  <si>
    <t>Brandon Crabtree</t>
  </si>
  <si>
    <t>Brandon@ciseandys.com</t>
  </si>
  <si>
    <t>Nothing Bundt Cakes</t>
  </si>
  <si>
    <t>Shelby Hambuchen</t>
  </si>
  <si>
    <t>shelbyhambuchen@icloud.com</t>
  </si>
  <si>
    <t>Hummingbird Media</t>
  </si>
  <si>
    <t>The Lighthouse Companies</t>
  </si>
  <si>
    <t>ICU Protection</t>
  </si>
  <si>
    <t>Grifols Plasma Center</t>
  </si>
  <si>
    <t>7/17/25 JHS</t>
  </si>
  <si>
    <t>Tevin Cherry, Michelle Defort, Dontavious Gardenhire</t>
  </si>
  <si>
    <t>Tevin.cherry@grifols.com; michelle.defort@grifols.com; dontavious.gardenhire@grifols.com</t>
  </si>
  <si>
    <t>TOC Tickets</t>
  </si>
  <si>
    <t>Bell &amp; Sward</t>
  </si>
  <si>
    <t>7.18.25</t>
  </si>
  <si>
    <t>Erik Sward</t>
  </si>
  <si>
    <t>erik@bellandsward.com</t>
  </si>
  <si>
    <t>J.ws Helping Hands</t>
  </si>
  <si>
    <t>Smith Family Funeral Home</t>
  </si>
  <si>
    <t>7.30.25</t>
  </si>
  <si>
    <t>7.29.25</t>
  </si>
  <si>
    <t>Jaimey</t>
  </si>
  <si>
    <t>conway@smithfamilycares.com</t>
  </si>
  <si>
    <t>Secretary of State</t>
  </si>
  <si>
    <t>June Wood</t>
  </si>
  <si>
    <t xml:space="preserve">June.wood@sos.arkansas.gov </t>
  </si>
  <si>
    <t>Jill McCollum Catering</t>
  </si>
  <si>
    <t>Townley Pool &amp; Spa</t>
  </si>
  <si>
    <t>8.8.25</t>
  </si>
  <si>
    <t>waive two tickets to breakfast and lunch, per Jordan</t>
  </si>
  <si>
    <t>David Townley</t>
  </si>
  <si>
    <t>David@ahhtownley.com</t>
  </si>
  <si>
    <t>JTS Financial Services</t>
  </si>
  <si>
    <t>Rolling Suds</t>
  </si>
  <si>
    <t>jarret.varela@rollingsuds.com</t>
  </si>
  <si>
    <t>Karen Ferguson, RE/MAX Elite</t>
  </si>
  <si>
    <t xml:space="preserve">Create two separate invoices. One for Comeatrieze Ester and Victoria Stender. Each in the amount of $250. </t>
  </si>
  <si>
    <t>9/2/25 GB (split invoices)</t>
  </si>
  <si>
    <t>9/2/2025, 10/7/25</t>
  </si>
  <si>
    <t>Victoria Stender (paid 9/2/25), Comeatrieze Ester</t>
  </si>
  <si>
    <t>vicstenrealtor@gmail.com; Comeatrieze.ester@gmail.com</t>
  </si>
  <si>
    <t>Boston Mountain Rural Health Center</t>
  </si>
  <si>
    <t>8.20.25</t>
  </si>
  <si>
    <t>Lisa Weaver</t>
  </si>
  <si>
    <t>lisaweaver@bmrhc.net</t>
  </si>
  <si>
    <t>9/9/25 GB</t>
  </si>
  <si>
    <t>Ed Allen Consulting</t>
  </si>
  <si>
    <t>Ed Allen</t>
  </si>
  <si>
    <t>ed@edallencpa.com</t>
  </si>
  <si>
    <t>Legends Resort &amp; Casino Arkansas</t>
  </si>
  <si>
    <t>Holiday Inn Express</t>
  </si>
  <si>
    <t>Melissa Britton</t>
  </si>
  <si>
    <t>melissa.britton@conwayhospitality.com</t>
  </si>
  <si>
    <t>Piraino Security Solutions</t>
  </si>
  <si>
    <t>Robert Leach</t>
  </si>
  <si>
    <t>robert@pirainosecurity.com</t>
  </si>
  <si>
    <t>MAC Aesthetics</t>
  </si>
  <si>
    <t>Employment Solutions</t>
  </si>
  <si>
    <t>Noah Glaze</t>
  </si>
  <si>
    <t>noah@employment-solution.com</t>
  </si>
  <si>
    <t>Mainstreet Media &amp; Marketing</t>
  </si>
  <si>
    <t>PenMac Staffing</t>
  </si>
  <si>
    <t>9/11/25 GB</t>
  </si>
  <si>
    <t>Maly's</t>
  </si>
  <si>
    <t>UCA Outreach &amp; Conferences Services</t>
  </si>
  <si>
    <t>Reuel Shepherd, Melanie Watson</t>
  </si>
  <si>
    <t>rshepherd@uca.edu; melaniesw@uca.edu</t>
  </si>
  <si>
    <t>9.17.25</t>
  </si>
  <si>
    <t>Allyn Wallace</t>
  </si>
  <si>
    <t>Allyn@CuerdenSign.com</t>
  </si>
  <si>
    <t>Massage Envy</t>
  </si>
  <si>
    <t>Savvy Social Creative</t>
  </si>
  <si>
    <t>Hannah Cernal</t>
  </si>
  <si>
    <t xml:space="preserve">hannah@savvysocialcreative.com, </t>
  </si>
  <si>
    <t>Moe's Southwest Grill</t>
  </si>
  <si>
    <t>Arkansas Complete Technology &amp; Security, Inc.</t>
  </si>
  <si>
    <t>9.17.5</t>
  </si>
  <si>
    <t>Online</t>
  </si>
  <si>
    <t>Keith Van Lear</t>
  </si>
  <si>
    <t>Action Jacks</t>
  </si>
  <si>
    <t>9.18.25</t>
  </si>
  <si>
    <t>Andy Hill</t>
  </si>
  <si>
    <t>actionjacksarkansas@gmail.com</t>
  </si>
  <si>
    <t>Monster Tax</t>
  </si>
  <si>
    <t>Non-member</t>
  </si>
  <si>
    <t>G6 Security Solutions</t>
  </si>
  <si>
    <t>Shawn Fason</t>
  </si>
  <si>
    <t>My HR Pros</t>
  </si>
  <si>
    <t>Elite Floor</t>
  </si>
  <si>
    <t>9.30.25</t>
  </si>
  <si>
    <t>New House Media</t>
  </si>
  <si>
    <t>Roller McNutt Funeral Home</t>
  </si>
  <si>
    <t>Ronnie Mayall</t>
  </si>
  <si>
    <t>mayallr@citizensfidelityinsurance.com</t>
  </si>
  <si>
    <t>New Path Mental Health &amp; Wellness</t>
  </si>
  <si>
    <t>Mr. Haynie's HVAC</t>
  </si>
  <si>
    <t>Non-Member Rate</t>
  </si>
  <si>
    <t>8.18.25</t>
  </si>
  <si>
    <t>Aidan Haynie</t>
  </si>
  <si>
    <t xml:space="preserve">aidan@mrhayniehvac.com </t>
  </si>
  <si>
    <t>Renewall by Anderson</t>
  </si>
  <si>
    <t>O'Malleys</t>
  </si>
  <si>
    <t>4 TOC tickets</t>
  </si>
  <si>
    <t>On the Border</t>
  </si>
  <si>
    <t>10 tickets for TOC</t>
  </si>
  <si>
    <t>20 TOC tickets, All communications – Jamar Murchison – jamar.murchison@claytonhomes.com
All communications – Stephanie Amerson – stephanie.amerson@claytonhomes.com
Billing – Jake Turpin –  jake.turpin@claytonhomes.com</t>
  </si>
  <si>
    <t>Owens Law Firm</t>
  </si>
  <si>
    <t>25 tickets to TOC</t>
  </si>
  <si>
    <t>TOC</t>
  </si>
  <si>
    <t>Penmac Staffing</t>
  </si>
  <si>
    <t>8.14.25</t>
  </si>
  <si>
    <t>MarketPlace Grill</t>
  </si>
  <si>
    <t>Power Spine and Sport</t>
  </si>
  <si>
    <t>Round Mountain Coffee</t>
  </si>
  <si>
    <t>Brick &amp; Forge Taproom</t>
  </si>
  <si>
    <t>Renewal Ranch</t>
  </si>
  <si>
    <t>Rabbit Ridge Farms</t>
  </si>
  <si>
    <t>Outback Steakhouse</t>
  </si>
  <si>
    <t>Reynolds Performance Hall/Windgate</t>
  </si>
  <si>
    <t>B Hive Catering</t>
  </si>
  <si>
    <t>Mama and Me Acai</t>
  </si>
  <si>
    <t>Roller McNutt</t>
  </si>
  <si>
    <t>Lost Pizza</t>
  </si>
  <si>
    <t xml:space="preserve">Serv-Pro </t>
  </si>
  <si>
    <t>Shadrachs</t>
  </si>
  <si>
    <t>Las Palmas Mexican Restaurant</t>
  </si>
  <si>
    <t>Scooter's Coffee</t>
  </si>
  <si>
    <t xml:space="preserve">Stoby's </t>
  </si>
  <si>
    <t>Southern Tees</t>
  </si>
  <si>
    <t>Uncle Tim's</t>
  </si>
  <si>
    <t>Stoby's</t>
  </si>
  <si>
    <t>Tacos 4 Life</t>
  </si>
  <si>
    <t>Tim Donar - Arkansas Aerial Media</t>
  </si>
  <si>
    <t>Uncle Tims</t>
  </si>
  <si>
    <t>UniFirst</t>
  </si>
  <si>
    <t>U-Storage</t>
  </si>
  <si>
    <t>Volstead Proper</t>
  </si>
  <si>
    <t>Zaxby's</t>
  </si>
  <si>
    <t>Zuni Learning Tree</t>
  </si>
  <si>
    <t>CATFISH &amp; COLD ONES</t>
  </si>
  <si>
    <t xml:space="preserve">Award/check presentation of $1,500 to the ARcare Foundation. </t>
  </si>
  <si>
    <t>4.29.25</t>
  </si>
  <si>
    <t>Garrett Morgan, Emily Brenneman</t>
  </si>
  <si>
    <t>Garrett.Morgan@arcare.net; Emily.Brenneman@arcare.net</t>
  </si>
  <si>
    <t>Individual Ticket</t>
  </si>
  <si>
    <t>Ozark Mountain Construction</t>
  </si>
  <si>
    <t xml:space="preserve">Include Erin Long (erin@citychurch.tv) on event communication. </t>
  </si>
  <si>
    <t>Scott and Laura Pelley</t>
  </si>
  <si>
    <t>laurapelley@gmail.com; scott@ozarkmtnco.com</t>
  </si>
  <si>
    <t>Belinda Burrier</t>
  </si>
  <si>
    <t>Black Belt Media</t>
  </si>
  <si>
    <t>Fishing Derby</t>
  </si>
  <si>
    <t>T-shirt</t>
  </si>
  <si>
    <t>10 tickets</t>
  </si>
  <si>
    <t>Car-son Construction</t>
  </si>
  <si>
    <t>4 tickets to the event.</t>
  </si>
  <si>
    <t>Claire Carter Smithson, Homeward Realty</t>
  </si>
  <si>
    <t>8 tickets</t>
  </si>
  <si>
    <t>Custom Glass</t>
  </si>
  <si>
    <t>provide ability for sponsor to have display area</t>
  </si>
  <si>
    <t>2.25.24</t>
  </si>
  <si>
    <t>Plus 10 additional tickets</t>
  </si>
  <si>
    <t>Mathew Hoppis</t>
  </si>
  <si>
    <t>HoppisM@cintas.com</t>
  </si>
  <si>
    <t>Gate Sales</t>
  </si>
  <si>
    <t>Lost Forty</t>
  </si>
  <si>
    <t>Point Remoe Brewing Co.</t>
  </si>
  <si>
    <t>The Rogue Roundabout</t>
  </si>
  <si>
    <t>3.26.25</t>
  </si>
  <si>
    <t>4.1.25</t>
  </si>
  <si>
    <t>Highpoint Park Apartments (Trinity Development)</t>
  </si>
  <si>
    <t>5 tickets</t>
  </si>
  <si>
    <t>Megan Stewart</t>
  </si>
  <si>
    <t>SMC Conway, A Division of GBP</t>
  </si>
  <si>
    <t>Jimmy Toal, Sonya Griffis</t>
  </si>
  <si>
    <t>jimmy.toal@smcpackaging.com; sonya.griffis@smcpackaging.com</t>
  </si>
  <si>
    <t>Online Sales</t>
  </si>
  <si>
    <t>Morgan Drayton</t>
  </si>
  <si>
    <t>4 tickets</t>
  </si>
  <si>
    <t>Tommy's Car Wash</t>
  </si>
  <si>
    <t>3 tickets</t>
  </si>
  <si>
    <t xml:space="preserve">Kason </t>
  </si>
  <si>
    <t>P.I. Roofing and Construction</t>
  </si>
  <si>
    <t>Major A Yard Games</t>
  </si>
  <si>
    <t>Lyn Alexander</t>
  </si>
  <si>
    <t>alexanderlynbusiness@gmail.com</t>
  </si>
  <si>
    <t>Adena White</t>
  </si>
  <si>
    <t>Chamber Banks</t>
  </si>
  <si>
    <t>Superior Plumbing</t>
  </si>
  <si>
    <t>Dog Area</t>
  </si>
  <si>
    <t>Henderson</t>
  </si>
  <si>
    <t>2 tickets</t>
  </si>
  <si>
    <t>Tommy's Express and Car Wash</t>
  </si>
  <si>
    <t>2 – Youth Small
1 – Adult Small
2 – Adult Mediums
2 – Adult Large
4 – Adult XL
3 – Adult 2XL</t>
  </si>
  <si>
    <t>Greg Jumper</t>
  </si>
  <si>
    <t>greg@customglass501.com</t>
  </si>
  <si>
    <t>Top Notch</t>
  </si>
  <si>
    <t>Joey Paysoukham Tanthaphengsai</t>
  </si>
  <si>
    <t>joey.tanthaphengsai@verizonwireless.com</t>
  </si>
  <si>
    <t>Noah Clay</t>
  </si>
  <si>
    <t>Waco Title</t>
  </si>
  <si>
    <t>Storybook Renovations/Ustorage</t>
  </si>
  <si>
    <t>Wonder State</t>
  </si>
  <si>
    <t xml:space="preserve">LH-N </t>
  </si>
  <si>
    <t>6.17.25, 4/15/25</t>
  </si>
  <si>
    <t>4.16.25</t>
  </si>
  <si>
    <t>Belinda Boyd</t>
  </si>
  <si>
    <t>belinda.boyd@apmarkansas.net</t>
  </si>
  <si>
    <t>DeTASO Software</t>
  </si>
  <si>
    <t>McClurkins</t>
  </si>
  <si>
    <t>Champion Chiropractic</t>
  </si>
  <si>
    <t>Ginny Pryor</t>
  </si>
  <si>
    <t>The Studio Downtown</t>
  </si>
  <si>
    <t>4.18.25</t>
  </si>
  <si>
    <t>Becca White</t>
  </si>
  <si>
    <t>becca@homewardhomes.com</t>
  </si>
  <si>
    <t>Event Gate Sales - Adults</t>
  </si>
  <si>
    <t>Event Gate Sales - Kids</t>
  </si>
  <si>
    <t>Event Tee Sales - Adults</t>
  </si>
  <si>
    <t>Event Tee Sales - Youth</t>
  </si>
  <si>
    <t>CDC MEMBERSHIP</t>
  </si>
  <si>
    <t>MEMBERSHIP LEVEL</t>
  </si>
  <si>
    <t>Three Voting Members</t>
  </si>
  <si>
    <t>Alliance Investment Group, LLC</t>
  </si>
  <si>
    <t>One Voting Member</t>
  </si>
  <si>
    <t xml:space="preserve">Jeremy Davis, Jason Smith, </t>
  </si>
  <si>
    <t xml:space="preserve">jdavis@asiagents.com; jsmith@asiagents.com; </t>
  </si>
  <si>
    <t>Arvest Bank</t>
  </si>
  <si>
    <t>Ryan Johnson</t>
  </si>
  <si>
    <t>rjohnson@bandapm.com</t>
  </si>
  <si>
    <t>Baptist Health Medical Center, Conway</t>
  </si>
  <si>
    <t>6.3.25</t>
  </si>
  <si>
    <t xml:space="preserve">Carty, Harding &amp; Hearn, Inc. </t>
  </si>
  <si>
    <t>March</t>
  </si>
  <si>
    <t>Drew Gainor</t>
  </si>
  <si>
    <t>dgainor@financialguide.com</t>
  </si>
  <si>
    <t>Terry Kimbrow/Jeremy Langley</t>
  </si>
  <si>
    <t>tkimbrow@cbc.edu; jlangley@cbc.edu</t>
  </si>
  <si>
    <t>Brett Berry</t>
  </si>
  <si>
    <t>brettberry@chriscraingroup.com</t>
  </si>
  <si>
    <t>Conway Behavioral Health - Acadia Health Care</t>
  </si>
  <si>
    <t>Valencia.Anderson@conwaybh.com</t>
  </si>
  <si>
    <t>Five Voting Members</t>
  </si>
  <si>
    <t>per agreement</t>
  </si>
  <si>
    <t>Bret Carroll</t>
  </si>
  <si>
    <t>Rebekah Fincher, Matt Troup</t>
  </si>
  <si>
    <t>rfincher@conwayregional.org; matt.troup@conwayregional.org</t>
  </si>
  <si>
    <t>Corco Construction</t>
  </si>
  <si>
    <t>Justin Bennett, Jon Virden</t>
  </si>
  <si>
    <t>jvirden@corcoconstruction.com; jbennett@corcoconstruction.com</t>
  </si>
  <si>
    <t>Eddie Glover</t>
  </si>
  <si>
    <t xml:space="preserve">Engage Management </t>
  </si>
  <si>
    <t>2.10.25</t>
  </si>
  <si>
    <t>drew.spurgers@eosworldwide.com </t>
  </si>
  <si>
    <t>ERA Team</t>
  </si>
  <si>
    <t>Faulkner County Title Company</t>
  </si>
  <si>
    <t>John Simmons,  Mark Wilson</t>
  </si>
  <si>
    <t>mwilson@fabandt.bank; jsimmons@fabandt.bank</t>
  </si>
  <si>
    <t xml:space="preserve">Payment split between Crews and FSB. </t>
  </si>
  <si>
    <t xml:space="preserve">3.12.25 </t>
  </si>
  <si>
    <t>Fureigh Electric</t>
  </si>
  <si>
    <t>Ben Fureigh</t>
  </si>
  <si>
    <t>ben@fureighinc.com</t>
  </si>
  <si>
    <t>Liz Hamilton, Joanna Nabholz</t>
  </si>
  <si>
    <t>liz@hnarch.com; joanna@hnarch.com</t>
  </si>
  <si>
    <t>Hart Construction</t>
  </si>
  <si>
    <t>9.25.25</t>
  </si>
  <si>
    <t>Billing contact: Kayla Hargrove: khargrove@hartconllc.com</t>
  </si>
  <si>
    <t>Hudson Jones</t>
  </si>
  <si>
    <t>hjones@hartconllc.com</t>
  </si>
  <si>
    <t>Harvest Cannabis Dispensary</t>
  </si>
  <si>
    <t>HCJ CPA's &amp; Advisors</t>
  </si>
  <si>
    <t>Hendrix College</t>
  </si>
  <si>
    <t>12.17.24</t>
  </si>
  <si>
    <t>Karen Petersen</t>
  </si>
  <si>
    <t>petersen@hendrix.edu</t>
  </si>
  <si>
    <t>International Paper</t>
  </si>
  <si>
    <t>5.2.25</t>
  </si>
  <si>
    <t>Jeff Standridge Innovation Partners</t>
  </si>
  <si>
    <t>Jerry Adams</t>
  </si>
  <si>
    <t>Johnny Adams</t>
  </si>
  <si>
    <t>Setup for membership 1/2026</t>
  </si>
  <si>
    <t>Kinco</t>
  </si>
  <si>
    <t>Klaasmeyer Construction</t>
  </si>
  <si>
    <t>6.6.25</t>
  </si>
  <si>
    <t>Lenders Title Company</t>
  </si>
  <si>
    <t>Lewis Ranch</t>
  </si>
  <si>
    <t>Lumber One</t>
  </si>
  <si>
    <t>Andy Harris</t>
  </si>
  <si>
    <t>aharris@mnbbank.com</t>
  </si>
  <si>
    <t>McGeorge Contracting</t>
  </si>
  <si>
    <t>8.26.25</t>
  </si>
  <si>
    <t>Brian McMillian</t>
  </si>
  <si>
    <t>brian.mcmillian@mcgeorgecontracting.com</t>
  </si>
  <si>
    <t>Mike's Place</t>
  </si>
  <si>
    <t>MSC Eye Associates</t>
  </si>
  <si>
    <t>Nabholz Properties</t>
  </si>
  <si>
    <t>Nativ State</t>
  </si>
  <si>
    <t>Stuart Allen</t>
  </si>
  <si>
    <t>stuart@nativstate.com</t>
  </si>
  <si>
    <t>Oaks Brothers</t>
  </si>
  <si>
    <t>Greg Oaks</t>
  </si>
  <si>
    <t>Preferred Medical</t>
  </si>
  <si>
    <t>Pumpcon</t>
  </si>
  <si>
    <t>Reliance Health Care, Incite Rehab, Heartland Pharmacy, Heritage Living Center</t>
  </si>
  <si>
    <t>Riddle &amp; Associates</t>
  </si>
  <si>
    <t>Jeremy Riddle</t>
  </si>
  <si>
    <t>springhillstorage@gmail.com</t>
  </si>
  <si>
    <t>SFI of Arkansas</t>
  </si>
  <si>
    <t xml:space="preserve">4.8.25 </t>
  </si>
  <si>
    <t>Snap-on Equipment</t>
  </si>
  <si>
    <t>Steve Goode Associated Businesses</t>
  </si>
  <si>
    <t xml:space="preserve">See Jamie on how to invoice. </t>
  </si>
  <si>
    <t>Summit Utilities - Arkansas</t>
  </si>
  <si>
    <t>3.20.25</t>
  </si>
  <si>
    <t>Tanya Malcolm</t>
  </si>
  <si>
    <t>tmalcolm@summitutilities.com</t>
  </si>
  <si>
    <t>Turbure</t>
  </si>
  <si>
    <t>Laura Martin, Andria White, Cherelle Hunter</t>
  </si>
  <si>
    <t>University of Central Arkansas</t>
  </si>
  <si>
    <t>Amy Whitehead, Mary Lackie, Houston Davis</t>
  </si>
  <si>
    <t>1.29.25</t>
  </si>
  <si>
    <t>Waco Title Services</t>
  </si>
  <si>
    <t>Weaver-Bailey Contractors</t>
  </si>
  <si>
    <t>WER Architects</t>
  </si>
  <si>
    <t>Kate Dimitrova</t>
  </si>
  <si>
    <t>kdimitrova@werarch.com</t>
  </si>
  <si>
    <t>Will Ford</t>
  </si>
  <si>
    <t>will.ford@westrockcoffee.com&gt;</t>
  </si>
  <si>
    <t>William C. Adkisson</t>
  </si>
  <si>
    <t>Williow Bayou</t>
  </si>
  <si>
    <t>Wonderstate Box</t>
  </si>
  <si>
    <t>Jimmy Toal</t>
  </si>
  <si>
    <t>CDP ANNUAL MEETING</t>
  </si>
  <si>
    <t>CDP Annual Meeting</t>
  </si>
  <si>
    <t>Table</t>
  </si>
  <si>
    <t>9/15/25 GB</t>
  </si>
  <si>
    <t>Angie Davis</t>
  </si>
  <si>
    <t>B&amp;A Properties</t>
  </si>
  <si>
    <t>Main Street Arkansas</t>
  </si>
  <si>
    <t xml:space="preserve">This is coming from the CDP grant. Provide same benefits as a presenting sponsor. </t>
  </si>
  <si>
    <t>Laura will handle</t>
  </si>
  <si>
    <t>Greg Phillips</t>
  </si>
  <si>
    <t>greg.phillips@arkansas.gov</t>
  </si>
  <si>
    <t>Rep participates and speaks at event</t>
  </si>
  <si>
    <t>Speaker</t>
  </si>
  <si>
    <t>Fair &amp; Company CPAs</t>
  </si>
  <si>
    <t>Natural State Consulting and Strategies</t>
  </si>
  <si>
    <t>9.14.25</t>
  </si>
  <si>
    <t>Scott Schwartz</t>
  </si>
  <si>
    <t>dschwartz@my100bank.com</t>
  </si>
  <si>
    <t>9.24.25</t>
  </si>
  <si>
    <t>CEO LUNCHEONS</t>
  </si>
  <si>
    <t xml:space="preserve">Add Tim Donar (tdonar@me.com) for 1 ticket at each 2026 CEO Luncheon. </t>
  </si>
  <si>
    <t>American Heart Association</t>
  </si>
  <si>
    <t>3.20.25, 8/18/25</t>
  </si>
  <si>
    <t>Arkansas Aerial Media</t>
  </si>
  <si>
    <t>Arkansas Med</t>
  </si>
  <si>
    <t>Executive Pass</t>
  </si>
  <si>
    <t>Host</t>
  </si>
  <si>
    <t>in-kind (see shared drive for breakdown)</t>
  </si>
  <si>
    <t>NA</t>
  </si>
  <si>
    <t>Speaker #1</t>
  </si>
  <si>
    <t>Coldwell Banker RPM: Velda Lueders</t>
  </si>
  <si>
    <t>Speaker #2</t>
  </si>
  <si>
    <t>2.5.25</t>
  </si>
  <si>
    <t>Velda Lueders</t>
  </si>
  <si>
    <t>velda@veldalueders.com</t>
  </si>
  <si>
    <t>Speaker #3</t>
  </si>
  <si>
    <t>Speaker #4</t>
  </si>
  <si>
    <t>DKM</t>
  </si>
  <si>
    <t>CEO LUNCHEON #1 - INDIVIDUAL TICKETS</t>
  </si>
  <si>
    <t>Edward Jones, Chris Masters</t>
  </si>
  <si>
    <t>Independent Living Services</t>
  </si>
  <si>
    <t xml:space="preserve">Ticket </t>
  </si>
  <si>
    <t>Edward Jones, Matthew Carpenter</t>
  </si>
  <si>
    <t>Arkansas Medicare Resource Center</t>
  </si>
  <si>
    <t>Merrill Lynch Wealth Management</t>
  </si>
  <si>
    <t>Renewal ranch</t>
  </si>
  <si>
    <t>Faulkner County Democratic Party</t>
  </si>
  <si>
    <t>Faulkner County Title</t>
  </si>
  <si>
    <t>Cadron Creek Play</t>
  </si>
  <si>
    <t>First National Title</t>
  </si>
  <si>
    <t>Creative Institute</t>
  </si>
  <si>
    <t xml:space="preserve">First Security </t>
  </si>
  <si>
    <t>House Doctor</t>
  </si>
  <si>
    <t>Scott Trafford, McDonald Companies</t>
  </si>
  <si>
    <t>Lindsay Immel</t>
  </si>
  <si>
    <t>lindsay.immel@cmmcdonald.com</t>
  </si>
  <si>
    <t>In Sync Counseling</t>
  </si>
  <si>
    <t>Merrill Lynch Management</t>
  </si>
  <si>
    <t>CEO LUNCHEON #2 - INDIVIDUAL TICKETS</t>
  </si>
  <si>
    <t>2 tickets, All communications – Jamar Murchison – jamar.murchison@claytonhomes.com
All communications – Stephanie Amerson – stephanie.amerson@claytonhomes.com
Billing – Jake Turpin –  jake.turpin@claytonhomes.com</t>
  </si>
  <si>
    <t>Jake Turprin</t>
  </si>
  <si>
    <t>PI Roofing</t>
  </si>
  <si>
    <t>Senator Mark Johnson</t>
  </si>
  <si>
    <t>April</t>
  </si>
  <si>
    <t>Windown Depot</t>
  </si>
  <si>
    <t>New Life Church</t>
  </si>
  <si>
    <t>B&amp;B Safety Training</t>
  </si>
  <si>
    <t>Staffmark</t>
  </si>
  <si>
    <t>Blackbelt Media</t>
  </si>
  <si>
    <t>Riggs Cat</t>
  </si>
  <si>
    <t>Terry Fiddler</t>
  </si>
  <si>
    <t>Bill Adkisson</t>
  </si>
  <si>
    <t>Kirk Netherton</t>
  </si>
  <si>
    <t>Malys Entertainment</t>
  </si>
  <si>
    <t>CEO LUNCHEON #3 - INDIVIDUAL TICKETS</t>
  </si>
  <si>
    <t>Arkansas Single Parent Scholarship</t>
  </si>
  <si>
    <t>Onsite</t>
  </si>
  <si>
    <t>Terry Kimbrow</t>
  </si>
  <si>
    <t>Edward Jones</t>
  </si>
  <si>
    <t>Zee Barfoot CPA</t>
  </si>
  <si>
    <t>CEO LUNCHEON #4 - INDIVIDUAL TICKETS</t>
  </si>
  <si>
    <t>Luke Irvin</t>
  </si>
  <si>
    <t>Home2 Suites by Hilton</t>
  </si>
  <si>
    <t>Level Up Accounting</t>
  </si>
  <si>
    <t>Arkansas Manufactured Housing Association</t>
  </si>
  <si>
    <t>Wendy Francis</t>
  </si>
  <si>
    <t>Shannan Knudsen</t>
  </si>
  <si>
    <t>CONWAY+</t>
  </si>
  <si>
    <t>Anonymous</t>
  </si>
  <si>
    <t>Gift</t>
  </si>
  <si>
    <t xml:space="preserve">13th Barber Co. </t>
  </si>
  <si>
    <t>1/2 Page Vertical/Horizontal</t>
  </si>
  <si>
    <t>Meet Your Neighbor</t>
  </si>
  <si>
    <t>8/18/25 GB</t>
  </si>
  <si>
    <t>Lindsay Hammers</t>
  </si>
  <si>
    <t>lhammers@cbrpm.com</t>
  </si>
  <si>
    <t>Cherokee Casino and Hotel Roland</t>
  </si>
  <si>
    <t>Center Spread</t>
  </si>
  <si>
    <t>Hayley Bell, Teesha Richardson, Samantha Fourkiller</t>
  </si>
  <si>
    <t>hayley.bell@cnent.com; TEESHA.RICHARDSON@CNENT.COM;SAMANTHA.FOURKILLER@CNENT.COM</t>
  </si>
  <si>
    <t>Full Page</t>
  </si>
  <si>
    <t>Back Cover</t>
  </si>
  <si>
    <t>General Spread</t>
  </si>
  <si>
    <t>Full Page (facing inside front cover)</t>
  </si>
  <si>
    <t>2-page spread</t>
  </si>
  <si>
    <t>Braswell &amp; Son</t>
  </si>
  <si>
    <t>Inside Front Cover</t>
  </si>
  <si>
    <t>Douglas Braswell</t>
  </si>
  <si>
    <t>douglas@braswellandson.com</t>
  </si>
  <si>
    <t>Full Page (facing Table of Contents)</t>
  </si>
  <si>
    <t>Cherokee Casino &amp; Hotel Roland</t>
  </si>
  <si>
    <t>Inside Back Cover + Full Page Advertorial</t>
  </si>
  <si>
    <t>Full Page Advertorial</t>
  </si>
  <si>
    <t>Coldwell Banker RPM Group</t>
  </si>
  <si>
    <t>Meet Your Neighbor Section</t>
  </si>
  <si>
    <t>Beth Jimmerson</t>
  </si>
  <si>
    <t>Beth.Jimmerson@ConwayCorp.com</t>
  </si>
  <si>
    <t>Conway Hospitality/Holiday Inn Express &amp; Suites</t>
  </si>
  <si>
    <t>8/21/25 GB</t>
  </si>
  <si>
    <t>10/27/2025, 11/24/25</t>
  </si>
  <si>
    <t xml:space="preserve">Melvin has a credit of $505. Please apply to this invoice and pull the $505 from the blueprint. </t>
  </si>
  <si>
    <t>Melvin Gonzalez</t>
  </si>
  <si>
    <t>501.514.2570</t>
  </si>
  <si>
    <t>Patti Stobaugh</t>
  </si>
  <si>
    <t>Elizabeth Bondoc; Amber Wyatt</t>
  </si>
  <si>
    <t>elizabeth.bondoc@smilebrands.com; amber.wyatt@smilebrands.com</t>
  </si>
  <si>
    <t>Crosscreek Sandwich Shop</t>
  </si>
  <si>
    <t>Family feature: John Scherrey and family</t>
  </si>
  <si>
    <t>John Scherrey</t>
  </si>
  <si>
    <t>jscherrey@my100bank.com</t>
  </si>
  <si>
    <t>Visit Conway</t>
  </si>
  <si>
    <t>Rachel Shaw</t>
  </si>
  <si>
    <t>9.29.25</t>
  </si>
  <si>
    <t>TJ Johnston will be the feature family. Invoice Amy Meins after 1/1/26</t>
  </si>
  <si>
    <t>Amy Meins, TJ Johnson</t>
  </si>
  <si>
    <t>Amy.Meins@ar.colliers.com;  tj.johnston@ar.colliers.com</t>
  </si>
  <si>
    <t>1/3 Page Vertical/Horizontal</t>
  </si>
  <si>
    <t>Leah Brown</t>
  </si>
  <si>
    <t>Legends Resort &amp; Casino</t>
  </si>
  <si>
    <t>Brooks Davis, Maret Cahill Wicks, Brooke Hamilton</t>
  </si>
  <si>
    <t>mcahillwicks@arvest.com; bdavis3@arvest.com; bahamilton@arvest.com</t>
  </si>
  <si>
    <t>Lenders Title</t>
  </si>
  <si>
    <t>Little Rock Zoo</t>
  </si>
  <si>
    <t>Melvin's Painting/MK Events Center</t>
  </si>
  <si>
    <t>St Joseph School</t>
  </si>
  <si>
    <t>Meet the Neighbors</t>
  </si>
  <si>
    <t>Teri Breeding</t>
  </si>
  <si>
    <t>tbreeding@sjbulldogs.org</t>
  </si>
  <si>
    <t>Leah Brown, ERA Team</t>
  </si>
  <si>
    <t>leahbrownera@gmail.com</t>
  </si>
  <si>
    <t>Reynolds Performance Hall /Windgate</t>
  </si>
  <si>
    <t>dgoforth@afcu.org </t>
  </si>
  <si>
    <t>Second Baptist Church</t>
  </si>
  <si>
    <t>UCA Athletics</t>
  </si>
  <si>
    <t>6.19.25</t>
  </si>
  <si>
    <t>Matt Whiting</t>
  </si>
  <si>
    <t>mwhiting@uca.edu</t>
  </si>
  <si>
    <t>Shawn Evans Agency</t>
  </si>
  <si>
    <t>8.17.25</t>
  </si>
  <si>
    <t>Sarah Thacker</t>
  </si>
  <si>
    <t>sthacker@harpsfood.com</t>
  </si>
  <si>
    <t>Huskey Heating and Cooling</t>
  </si>
  <si>
    <t>David Freyaldenhoven</t>
  </si>
  <si>
    <t>huskyhvacr@gmail.com</t>
  </si>
  <si>
    <t>Whole Hog</t>
  </si>
  <si>
    <t>Kent Justus</t>
  </si>
  <si>
    <t>kent@wholehogconway.com</t>
  </si>
  <si>
    <t>SpaAh</t>
  </si>
  <si>
    <t>Island</t>
  </si>
  <si>
    <t>Superior Health and Rehab</t>
  </si>
  <si>
    <t>Vickey Kirkemier</t>
  </si>
  <si>
    <t>admin@superiorhrc.com</t>
  </si>
  <si>
    <t>St. Joseph School</t>
  </si>
  <si>
    <t>Conway Management (Holiday Inn Express)</t>
  </si>
  <si>
    <t xml:space="preserve">They will receive 2, 1/2 page ads, advertising the same property in two different sections of the book with some changed up copy. </t>
  </si>
  <si>
    <t>Matthew Carpenter, Edward Jones</t>
  </si>
  <si>
    <t>10/16/25 GB</t>
  </si>
  <si>
    <t>Matthew Carpenter</t>
  </si>
  <si>
    <t>matthew.carpenter@edwardjones.com</t>
  </si>
  <si>
    <t>11.26.25</t>
  </si>
  <si>
    <t xml:space="preserve">Repeat what they did in last year's guide. </t>
  </si>
  <si>
    <t>12/2/25 GB</t>
  </si>
  <si>
    <t>Joy Matlock</t>
  </si>
  <si>
    <t>jmatlock@littlerock.gov</t>
  </si>
  <si>
    <t>Superior Health &amp; Rehab</t>
  </si>
  <si>
    <t>1/6 Page</t>
  </si>
  <si>
    <t>Single Column</t>
  </si>
  <si>
    <t>CONWAY AREA HEALTHCARE AWARDS</t>
  </si>
  <si>
    <t>Alzheimer's Arkansas</t>
  </si>
  <si>
    <t>Stefanie.Vann@fsbank.com</t>
  </si>
  <si>
    <t>Arkansas Blue Cross and Blue Shield</t>
  </si>
  <si>
    <t>Awards: Mental Health Professional of the Year</t>
  </si>
  <si>
    <t>Emerging Healthcare Professionals</t>
  </si>
  <si>
    <t>Stephens Insurance</t>
  </si>
  <si>
    <t xml:space="preserve">Keynote </t>
  </si>
  <si>
    <t>Will introduce Adam Head</t>
  </si>
  <si>
    <t>Tom Kane</t>
  </si>
  <si>
    <t>tkane@stephens.com&gt;</t>
  </si>
  <si>
    <t>Birchtree Communities</t>
  </si>
  <si>
    <t>Conway Regional PHO</t>
  </si>
  <si>
    <t xml:space="preserve">Physician of the Year </t>
  </si>
  <si>
    <t>Bobby Riggs</t>
  </si>
  <si>
    <t>briggsjr@conwaycorp.net</t>
  </si>
  <si>
    <t xml:space="preserve">Administrator of the Year </t>
  </si>
  <si>
    <t xml:space="preserve">This is what they did last year, however, if we see we need to move them to an award that makes more sense - that is fine. </t>
  </si>
  <si>
    <t xml:space="preserve">Healthcare Professional of the Year </t>
  </si>
  <si>
    <t>7.11.25</t>
  </si>
  <si>
    <t>Awards: Healthcare Professional of the Year</t>
  </si>
  <si>
    <t>Health Promotion Specialist of the Year</t>
  </si>
  <si>
    <t>Chamber Prospects</t>
  </si>
  <si>
    <t>Nurse of the Year</t>
  </si>
  <si>
    <t>Delta Dental of Arkansas</t>
  </si>
  <si>
    <t>Dental Professional of the Year</t>
  </si>
  <si>
    <t>Dave Hawsey</t>
  </si>
  <si>
    <t>dhawsey@deltadentalar.com</t>
  </si>
  <si>
    <t>Awards: Community Impact</t>
  </si>
  <si>
    <t>Optical Professional of the Year</t>
  </si>
  <si>
    <t>7.7.25, 12/17/25</t>
  </si>
  <si>
    <t>Awards: Optical Professional of the Year</t>
  </si>
  <si>
    <t>Little Creek Behavioral Health</t>
  </si>
  <si>
    <t>Mental Health Professional of the Year</t>
  </si>
  <si>
    <t>Let's confirm that we can have two sponsors</t>
  </si>
  <si>
    <t>Nedra Jones</t>
  </si>
  <si>
    <t>nedra.allen-jones@littlecreekbehavioral.com</t>
  </si>
  <si>
    <t>Awards: Physician of the Year</t>
  </si>
  <si>
    <t>Community Impact Award</t>
  </si>
  <si>
    <t>Rebecca Pittillo</t>
  </si>
  <si>
    <t>rapittillo@arkbluecross.com</t>
  </si>
  <si>
    <t>Delta Dental</t>
  </si>
  <si>
    <t>Awards: Dental Professional of the Year</t>
  </si>
  <si>
    <t>12.30.25</t>
  </si>
  <si>
    <t>Faulkner County Alzheimer's</t>
  </si>
  <si>
    <t>Immerse AR</t>
  </si>
  <si>
    <t>Ridgemere Senior Living</t>
  </si>
  <si>
    <t>7.2.25</t>
  </si>
  <si>
    <t>Brandy Herrin</t>
  </si>
  <si>
    <t>bherrin@abbysl.com</t>
  </si>
  <si>
    <t>Awards: Health Promotion Specialist of the Year</t>
  </si>
  <si>
    <t>Awards: Nurse of the Year</t>
  </si>
  <si>
    <t>Melissa Longing</t>
  </si>
  <si>
    <t>Awards: Administrator of the Year</t>
  </si>
  <si>
    <t>CALI TUTION</t>
  </si>
  <si>
    <t>CALI TUITION</t>
  </si>
  <si>
    <t>2026 Prospects: Marcus Arnold (Summit Utilities), Joyia Yorgey (AR Asset Builders), Katie Wilson (Create Conway), Broc Hart (Thrivent)</t>
  </si>
  <si>
    <t>TUITION</t>
  </si>
  <si>
    <t>Tuition</t>
  </si>
  <si>
    <t>Bl-N</t>
  </si>
  <si>
    <t>Bbsafetytraining Com</t>
  </si>
  <si>
    <t>Cadron Creek Play (Conway Mfg.)</t>
  </si>
  <si>
    <t>Conway Corp</t>
  </si>
  <si>
    <t xml:space="preserve">Conway Corp. </t>
  </si>
  <si>
    <t>CPSD</t>
  </si>
  <si>
    <t>Dillard's</t>
  </si>
  <si>
    <t>Halff Associates</t>
  </si>
  <si>
    <t>K&amp;K Tree Service</t>
  </si>
  <si>
    <t>Keathly Patterson</t>
  </si>
  <si>
    <t>Healing Path Counseling</t>
  </si>
  <si>
    <t>Leather Brothers</t>
  </si>
  <si>
    <t>McClelland Consulting Engineers</t>
  </si>
  <si>
    <t>KIDS ABA Services</t>
  </si>
  <si>
    <t>Mercer Conway</t>
  </si>
  <si>
    <t>Microsoft Corporation</t>
  </si>
  <si>
    <t>Living Stone Lutheran Church</t>
  </si>
  <si>
    <t>Moore and Co.</t>
  </si>
  <si>
    <t>Nabholz Construction</t>
  </si>
  <si>
    <t>Peace Luthern</t>
  </si>
  <si>
    <t>Natural State Recovery Centers</t>
  </si>
  <si>
    <t>SBW Wealth Management</t>
  </si>
  <si>
    <t>8/20/2025, 9/16/25, 10/13/25, 11/18/25, 12/18/25</t>
  </si>
  <si>
    <t>Ott Insurance Agency</t>
  </si>
  <si>
    <t>RE/MAX Elite</t>
  </si>
  <si>
    <t>Textbook Brokers</t>
  </si>
  <si>
    <t>Rogers Group Inc.</t>
  </si>
  <si>
    <t>Tokusen</t>
  </si>
  <si>
    <t>Salter Construction</t>
  </si>
  <si>
    <t>Krispy Kreme</t>
  </si>
  <si>
    <t>Turbare Manufacturing</t>
  </si>
  <si>
    <t xml:space="preserve">Turbare Manufacturing </t>
  </si>
  <si>
    <t>University of Arkansas Pulaski Tech College</t>
  </si>
  <si>
    <t>Only one participant per Corey</t>
  </si>
  <si>
    <t xml:space="preserve">Winthrop Rockefeller Institute </t>
  </si>
  <si>
    <t>CALI</t>
  </si>
  <si>
    <t>CALI Sponsorships</t>
  </si>
  <si>
    <t>Graduation Tables/Tickets</t>
  </si>
  <si>
    <t>Total Graduation Table Sold</t>
  </si>
  <si>
    <t>Total Sponsorship + Tables</t>
  </si>
  <si>
    <t>2 waived tuitions + various opportunities for rep to address class. Corey to work out details with sponsor</t>
  </si>
  <si>
    <t>Session Underwriter</t>
  </si>
  <si>
    <t>Program Underwriter</t>
  </si>
  <si>
    <t>Community Foundation</t>
  </si>
  <si>
    <t>Program Sponsor</t>
  </si>
  <si>
    <t xml:space="preserve">1.30.25 </t>
  </si>
  <si>
    <t>CALI Reception Venue Sponsor</t>
  </si>
  <si>
    <t>1.22.25</t>
  </si>
  <si>
    <t xml:space="preserve">Sponsoring Community Leadership session. </t>
  </si>
  <si>
    <t>in-kind for hosting/providing class lunch on campus</t>
  </si>
  <si>
    <t>Community Leadership Underwriter session</t>
  </si>
  <si>
    <t>Jessica Clawson</t>
  </si>
  <si>
    <t>j.clawson@uwcark.org</t>
  </si>
  <si>
    <t>S7 Tactical and Gray Beard Ammo</t>
  </si>
  <si>
    <t>Session Underwriter: Public Safety Session</t>
  </si>
  <si>
    <t>Tyler Lachowsky</t>
  </si>
  <si>
    <t>tylerlachowsky@naturalstatestrategies.com</t>
  </si>
  <si>
    <t>United Way of Central Arkansas</t>
  </si>
  <si>
    <t>Reception</t>
  </si>
  <si>
    <t>Graduation Table</t>
  </si>
  <si>
    <t>Hospitality</t>
  </si>
  <si>
    <t>Graduation Ticket</t>
  </si>
  <si>
    <t>GRADUATE TABLE</t>
  </si>
  <si>
    <t>Crystalk Kemp</t>
  </si>
  <si>
    <t>DIVERSITY IN BUSINESS</t>
  </si>
  <si>
    <t>Follow-up with Jake Nabholz closer to the event, re: involvement</t>
  </si>
  <si>
    <t>Follow-up with Southern Tee's: pending date they may join as an Advocate $1,000</t>
  </si>
  <si>
    <t>9/24/2025, 12/2/25</t>
  </si>
  <si>
    <t>Advocate</t>
  </si>
  <si>
    <t>Arkansas Heart Association</t>
  </si>
  <si>
    <t>10/23/25 GB</t>
  </si>
  <si>
    <t>Feature</t>
  </si>
  <si>
    <t>UCA Foundation</t>
  </si>
  <si>
    <t>15 seats</t>
  </si>
  <si>
    <t>4 tickets, All communications – Jamar Murchison – jamar.murchison@claytonhomes.com
All communications – Stephanie Amerson – stephanie.amerson@claytonhomes.com
Billing – Jake Turpin –  jake.turpin@claytonhomes.com</t>
  </si>
  <si>
    <t>GOVERNMENT AFFAIRS</t>
  </si>
  <si>
    <t>UNDERWRITER</t>
  </si>
  <si>
    <t>Jamar Murchison</t>
  </si>
  <si>
    <t>jamar.murchison@claytonhomes.com</t>
  </si>
  <si>
    <t>5.4.25</t>
  </si>
  <si>
    <t>8/25/2025, 9/29/25</t>
  </si>
  <si>
    <t>michelle.mckown@ensono.com &lt;Michelle.McKown@Ensono.com&gt;</t>
  </si>
  <si>
    <t>John Simmons, Mark Wilson</t>
  </si>
  <si>
    <t>jsimmons@fabandt.bank; mwilson@fabandt.bank</t>
  </si>
  <si>
    <t xml:space="preserve">Invoice Carrie Price: Carrie.Price@firstcommunity.net </t>
  </si>
  <si>
    <t>Grant Gordy, Dale Cole, Boris Dover</t>
  </si>
  <si>
    <t>Grant.Gordy@firstcommunity.net; Dale.Cole@firstcommunity.net
Boris.Dover@firstcommunity.net</t>
  </si>
  <si>
    <t>Tom Grumbles</t>
  </si>
  <si>
    <t>870.866.9232</t>
  </si>
  <si>
    <t>tom.grumbles@firstservicebank.com</t>
  </si>
  <si>
    <t>Hendrix</t>
  </si>
  <si>
    <t>will.ford@westrockcoffee.com</t>
  </si>
  <si>
    <t>HAPPY BIRTHDAY CONWAY</t>
  </si>
  <si>
    <t>8/19/25 GB</t>
  </si>
  <si>
    <t xml:space="preserve">Will donate space to a local business. Provide a blend of Large, XL and XXL shirts. </t>
  </si>
  <si>
    <t>Scott Champlin</t>
  </si>
  <si>
    <t>Scott.L.Champlin@snapon.com</t>
  </si>
  <si>
    <t>Carty, Harding &amp; Hearn</t>
  </si>
  <si>
    <t>Edmond Hurst</t>
  </si>
  <si>
    <t>ehurst@cartyco.com</t>
  </si>
  <si>
    <t>9.9.25</t>
  </si>
  <si>
    <t>9/16/25 GB</t>
  </si>
  <si>
    <t>Jon Stalnaker</t>
  </si>
  <si>
    <t xml:space="preserve">jstalnaker@weaverbailey.com </t>
  </si>
  <si>
    <t>9.12.25</t>
  </si>
  <si>
    <t>8/19/2025, 11/18/25</t>
  </si>
  <si>
    <t>in-kind for production</t>
  </si>
  <si>
    <t>9.10.25</t>
  </si>
  <si>
    <t>Smurfit Westrock</t>
  </si>
  <si>
    <t>Rickey Reynolds, Austin Tiner</t>
  </si>
  <si>
    <t>rickey.reynolds@smurfitwestrock.com; austin.tiner@smurfitwestrock.com</t>
  </si>
  <si>
    <t>9/29/25 GB</t>
  </si>
  <si>
    <t>Scotty Bell</t>
  </si>
  <si>
    <t>scottybell@virco.com</t>
  </si>
  <si>
    <t>9.22.25</t>
  </si>
  <si>
    <t>Please add an additional 2 shirts.</t>
  </si>
  <si>
    <t>Jennifer Mouser</t>
  </si>
  <si>
    <t>jmouser@salterconst.com</t>
  </si>
  <si>
    <t>Malys Family Entertainment Center</t>
  </si>
  <si>
    <t>Bailey Webb</t>
  </si>
  <si>
    <t>bailey@malys-entertainment.com</t>
  </si>
  <si>
    <t>Blair Peterson, Melissa Mackay</t>
  </si>
  <si>
    <t>blair.peterson@westrockcoffee.com; melissa.mackay@westrockcoffee.com</t>
  </si>
  <si>
    <t>8.29.25</t>
  </si>
  <si>
    <t>Christina Horn (Invoice), Travis Mulhearn, Alan White</t>
  </si>
  <si>
    <t>christina@farrisagency.com; travis@farrisagency.com; alan@farrisagency.com</t>
  </si>
  <si>
    <t>Brad Hyde</t>
  </si>
  <si>
    <t>brad.hyde@arisahealth.org</t>
  </si>
  <si>
    <t>RE/MAX Elite, The Emily Walter Team</t>
  </si>
  <si>
    <t>RE/MAX Elite, Karen Ferguson</t>
  </si>
  <si>
    <t>Claire Carter Smithson</t>
  </si>
  <si>
    <t>Interstate Group LLC</t>
  </si>
  <si>
    <t xml:space="preserve">Jennifer to complete vendor setup form and return to Leslie. </t>
  </si>
  <si>
    <t>Richard Asbell, Leslie Schreckhise</t>
  </si>
  <si>
    <t>asbellr@interstatecargo.com; lschreckhise@trailersplus.com</t>
  </si>
  <si>
    <t>Crosscreek Sandwich Shoppe</t>
  </si>
  <si>
    <t>Bell &amp; Company</t>
  </si>
  <si>
    <t>9.16.25</t>
  </si>
  <si>
    <t>small t-shirt</t>
  </si>
  <si>
    <t>Freyaldenhoven Heating and Cooling</t>
  </si>
  <si>
    <t>John Freyaldenhoven</t>
  </si>
  <si>
    <t>john@freyaldenhoven.com</t>
  </si>
  <si>
    <t>Brittany Gwatney, Jeremy Davis, Jason Smith</t>
  </si>
  <si>
    <t>bgwatney@asiagents.com; jdavis@asiagents.com; jsmith@asiagents.com</t>
  </si>
  <si>
    <t>Kason</t>
  </si>
  <si>
    <t>Cherokee Roland</t>
  </si>
  <si>
    <t>Allie Ornelas</t>
  </si>
  <si>
    <t>allison.ornelas@cnent.com</t>
  </si>
  <si>
    <t>HCJ CPAs and Advisors</t>
  </si>
  <si>
    <t>9.23.25</t>
  </si>
  <si>
    <t xml:space="preserve">KGarrett@hcjcpa.com&gt; </t>
  </si>
  <si>
    <t>La Pista, Los 3 Potrillos, Don Pepes</t>
  </si>
  <si>
    <t xml:space="preserve">When invoice is ready, email to Lindsay. </t>
  </si>
  <si>
    <t>Ernesto Castro, Jose Castro</t>
  </si>
  <si>
    <t>Ernesto: 501-733-0217; Jose: 501-472.7615</t>
  </si>
  <si>
    <t>Crews &amp; Associates</t>
  </si>
  <si>
    <t>Paul Phillips</t>
  </si>
  <si>
    <t>pphillips@crewsfs.com</t>
  </si>
  <si>
    <t>patti@stobys.com</t>
  </si>
  <si>
    <t>Pafford Medical Services</t>
  </si>
  <si>
    <t>Suzie Gresham</t>
  </si>
  <si>
    <t>suzie@paffordems.com; jamie@paffordems.com</t>
  </si>
  <si>
    <t>Rita Stapleton</t>
  </si>
  <si>
    <t>rita@conwaywm.com</t>
  </si>
  <si>
    <t>ILLUMINATE</t>
  </si>
  <si>
    <t>10/15/25 GB</t>
  </si>
  <si>
    <t>#HaynesHolidayMakeover</t>
  </si>
  <si>
    <t>Photo Contest</t>
  </si>
  <si>
    <t>Rep participates in event + 10 VIP passes</t>
  </si>
  <si>
    <t>10/6/2025, 11/24/25</t>
  </si>
  <si>
    <t>Light Up Conway</t>
  </si>
  <si>
    <t>10.29.25</t>
  </si>
  <si>
    <t>10/30/25 GB</t>
  </si>
  <si>
    <t>Destiny Lankford, Justin Welter</t>
  </si>
  <si>
    <t>Destiny.Lankford@firstservicebank.com; Justin.Welter@firstservicebank.com&gt;</t>
  </si>
  <si>
    <t>Smile with Santa</t>
  </si>
  <si>
    <t>Letters to Santa</t>
  </si>
  <si>
    <t>8/19/2025, 11/25/25</t>
  </si>
  <si>
    <t xml:space="preserve">Plus $1,500 giftcard. Keep structure same as last year. </t>
  </si>
  <si>
    <t>Brian Porerfield</t>
  </si>
  <si>
    <t>brian@haynesace.com</t>
  </si>
  <si>
    <t>Smith Family Pharmacy</t>
  </si>
  <si>
    <t>Holiday Glasses</t>
  </si>
  <si>
    <t>Blake Johnson</t>
  </si>
  <si>
    <t>blake@smithfamilypharmacy.com</t>
  </si>
  <si>
    <t>10.27.25</t>
  </si>
  <si>
    <t>10/28/25 GB</t>
  </si>
  <si>
    <t>Leslie Gordy</t>
  </si>
  <si>
    <t>lesliegordy@gmail.com</t>
  </si>
  <si>
    <t>Lighting Contest</t>
  </si>
  <si>
    <t>Central Cold Solutions</t>
  </si>
  <si>
    <t>Snow Zone</t>
  </si>
  <si>
    <t xml:space="preserve">See sponsor agreement on the shared drive. </t>
  </si>
  <si>
    <t>Shane Dickson</t>
  </si>
  <si>
    <t>shane@ccstrans.com</t>
  </si>
  <si>
    <t>Oral Surgery of Central Arkansas</t>
  </si>
  <si>
    <t>John Mark Johnson</t>
  </si>
  <si>
    <t>john.mark.johnson@gmail.com</t>
  </si>
  <si>
    <t>Frost Your Cake Studio</t>
  </si>
  <si>
    <t>Will provide other materials for attendees to create their own cookies.</t>
  </si>
  <si>
    <t>9/29/2025, 10/14/25, 11/5/25</t>
  </si>
  <si>
    <t>Dustin Wear</t>
  </si>
  <si>
    <t>frostyourcakestudio@gmail.com</t>
  </si>
  <si>
    <t>The Summit Church</t>
  </si>
  <si>
    <t>The Home Depot</t>
  </si>
  <si>
    <t>Santa's Workshop</t>
  </si>
  <si>
    <t xml:space="preserve">Will provide building kits for attendees, locate them in east parking lot. PDF of deliverables are on the shared drive, will receive 10 tickets to private santa meet 'n' greet.  </t>
  </si>
  <si>
    <t>Ireyonia Felix</t>
  </si>
  <si>
    <t>ireyonia_n_felix@homedepot.com</t>
  </si>
  <si>
    <t>Wonder State Box</t>
  </si>
  <si>
    <t>TRADE</t>
  </si>
  <si>
    <t>Trade for 75 free train ride tickets</t>
  </si>
  <si>
    <t>LAUNCH CONWAY</t>
  </si>
  <si>
    <t>Follow-up w/ on participation: Molex (BL)</t>
  </si>
  <si>
    <t>Mary Clark</t>
  </si>
  <si>
    <t xml:space="preserve">We need to work with Jamie on sponsorship. </t>
  </si>
  <si>
    <t>DLTackett@GarverUSA.com&gt;</t>
  </si>
  <si>
    <t>Arkansas Center for Data Sciences</t>
  </si>
  <si>
    <t>9/8/2025, 10/20/25</t>
  </si>
  <si>
    <t>Arkansas Tech. University</t>
  </si>
  <si>
    <t>Arkansas Trucking Association</t>
  </si>
  <si>
    <t>booth at event</t>
  </si>
  <si>
    <t>CAT2</t>
  </si>
  <si>
    <t>Conway Airport</t>
  </si>
  <si>
    <t>4.8.25, 9/24/25</t>
  </si>
  <si>
    <t>Ability to include item in welcome packet, All communications – Jamar Murchison – jamar.murchison@claytonhomes.com
All communications – Stephanie Amerson – stephanie.amerson@claytonhomes.com
Billing – Jake Turpin –  jake.turpin@claytonhomes.com</t>
  </si>
  <si>
    <t>Conway Police Department</t>
  </si>
  <si>
    <t>First Responders Pavilion</t>
  </si>
  <si>
    <t>Corey to contact Brandi Hinkle about grant submittal</t>
  </si>
  <si>
    <t>HCJ</t>
  </si>
  <si>
    <t>Tanya Malcolm, Marcus Arnold</t>
  </si>
  <si>
    <t xml:space="preserve">tmalcolm@summitutilities.com; marnold@summitutilities.com </t>
  </si>
  <si>
    <t>Keathley Patterson</t>
  </si>
  <si>
    <t>Sector</t>
  </si>
  <si>
    <t>SFI</t>
  </si>
  <si>
    <t>Workforce Sessions</t>
  </si>
  <si>
    <t>Destiny Lankford</t>
  </si>
  <si>
    <t>destiny.lankford@firstservicebank.com</t>
  </si>
  <si>
    <t>UAMS Division for Academic Pathways and Workforce Partnerships</t>
  </si>
  <si>
    <t>UCA College of Education</t>
  </si>
  <si>
    <t>UCA School of Nursing</t>
  </si>
  <si>
    <t>University of Arkansas Pulaski Technical College</t>
  </si>
  <si>
    <t>OFF THE CLOCKS</t>
  </si>
  <si>
    <t xml:space="preserve">Off the Clock: UCA Men's Basketball </t>
  </si>
  <si>
    <t xml:space="preserve">Add First Service Bank for $1,000 for an OTC. </t>
  </si>
  <si>
    <t>Off the Clock: Conway Community Center</t>
  </si>
  <si>
    <t>Off the Clock: Get Cozy with Central Cold</t>
  </si>
  <si>
    <t>Off the Clock: Clayton Homes</t>
  </si>
  <si>
    <t>OTC UCA Men's Basketball</t>
  </si>
  <si>
    <t>Drew will provide a new logo that includes both dealerships to be used in all 4 OTCs. Visit with Drew to determine which dealership(s) will be incorporated and how to handle billing.</t>
  </si>
  <si>
    <t>Cache</t>
  </si>
  <si>
    <t>Courtney</t>
  </si>
  <si>
    <t>courtney@cachelittlerock.com</t>
  </si>
  <si>
    <t>Check-in</t>
  </si>
  <si>
    <t>Logo included on back drop w/Title Sponsors, table at each event, if they want.</t>
  </si>
  <si>
    <t>Confirm with NK/BB which Chris Crain Enterprises company/companies will be featured on event. PLUS: CCE will provide promotional activity (ex: free car for half court shot)</t>
  </si>
  <si>
    <t>Aramark, Marketplace Grill, Moe's, Shadrach's</t>
  </si>
  <si>
    <t>John Basey, Sydney Camp</t>
  </si>
  <si>
    <t>OTC Conway Community Center</t>
  </si>
  <si>
    <t xml:space="preserve">Drew will provide a new logo that includes both dealerships to be used in all 4 OTCs. Visit with Drew to determine which dealership(s) will be incorporated and how to handle billing. </t>
  </si>
  <si>
    <t>Will also provide custard during event</t>
  </si>
  <si>
    <t>Soiree Rentals</t>
  </si>
  <si>
    <t>OTC Get Cozy with Central Cold</t>
  </si>
  <si>
    <t xml:space="preserve">Hold on invoicing till you hear otherwise from Brad. </t>
  </si>
  <si>
    <t>Centennial</t>
  </si>
  <si>
    <t>DSchwartz@my100bank.com&gt;</t>
  </si>
  <si>
    <t>TiCOLD</t>
  </si>
  <si>
    <t>Gabbie Cronkhite</t>
  </si>
  <si>
    <t>gcronkhite@ticold.com</t>
  </si>
  <si>
    <t>Chicken Salad Chick, Cross Creek, Marketplace, Moe's, Shadrach's, Rogue, The Purple Cow</t>
  </si>
  <si>
    <t>OTC Clayton Homes</t>
  </si>
  <si>
    <t>OUTLOOK CONWAY</t>
  </si>
  <si>
    <t>Alan White</t>
  </si>
  <si>
    <t>Individual</t>
  </si>
  <si>
    <t>Brecham Group</t>
  </si>
  <si>
    <t>Economic</t>
  </si>
  <si>
    <t>Robbin Rahman</t>
  </si>
  <si>
    <t>Andy.Miller@flywheelenergy.com</t>
  </si>
  <si>
    <t>Speaker Panel</t>
  </si>
  <si>
    <t>Colonial Life</t>
  </si>
  <si>
    <t>Speaker Panel: Energy</t>
  </si>
  <si>
    <t>Conway by the Numbers sponsor</t>
  </si>
  <si>
    <t>Colliers State of the Market</t>
  </si>
  <si>
    <t>Combine their State of the Market with our Conway by the Numbers and call it Colliers State of the Market. We can still find a sponsor. Isaac Smith will be on the panel with Brad/Jamie.</t>
  </si>
  <si>
    <t>David McClain, Express Employment</t>
  </si>
  <si>
    <t>Jon Ross will likely want to be involved with the panel associated with Stuart.</t>
  </si>
  <si>
    <t xml:space="preserve">Check with Laura/Corey on payment. I believe it will be paid through a grant? </t>
  </si>
  <si>
    <t>Brandi Hinkle</t>
  </si>
  <si>
    <t>bhinkle@entergy.com</t>
  </si>
  <si>
    <t>B&amp;A Property</t>
  </si>
  <si>
    <t>Kelley Erstine</t>
  </si>
  <si>
    <t>8/18/2025, 10/1/25</t>
  </si>
  <si>
    <t>Arkansas Game &amp; Fish Foundation</t>
  </si>
  <si>
    <t>Deke Whitbeck, Jibbie Tyler</t>
  </si>
  <si>
    <t>deke@agff.org; jibbie@agff.org</t>
  </si>
  <si>
    <t>APPA</t>
  </si>
  <si>
    <t>Include APPA in printed signage. They will not use their tickets</t>
  </si>
  <si>
    <t>Jeff Haas</t>
  </si>
  <si>
    <t>jhaas@publicpower.org</t>
  </si>
  <si>
    <t>NBMC General Contractors</t>
  </si>
  <si>
    <t>Rockefeller Institute</t>
  </si>
  <si>
    <t xml:space="preserve">Instead of the complimentary 2 for CC investors, please give 4. </t>
  </si>
  <si>
    <t>Charge per budget</t>
  </si>
  <si>
    <t>Tim Brown</t>
  </si>
  <si>
    <t>CHAIRMAN'S CIRCLE</t>
  </si>
  <si>
    <t># OF TICKETS OFFERED</t>
  </si>
  <si>
    <t>CONFIRMED TICKETS</t>
  </si>
  <si>
    <t>Jason Smith, Jeremy Davis</t>
  </si>
  <si>
    <t>Invited</t>
  </si>
  <si>
    <t>Garrett Morgan, Emily Breneman</t>
  </si>
  <si>
    <t>RSVP'D Yes</t>
  </si>
  <si>
    <t>Arkansas Blue Cross Blue Shield</t>
  </si>
  <si>
    <t>Alison Melson, Rebecca Pittillo</t>
  </si>
  <si>
    <t>Candy Turpin</t>
  </si>
  <si>
    <t>candyturpin.ark@gmail.com</t>
  </si>
  <si>
    <t>Jacob Garrett</t>
  </si>
  <si>
    <t>B and A Property Maintenance</t>
  </si>
  <si>
    <t>Ryan Johnson, Brent Treece, Stefan Booy, Ben Gipson</t>
  </si>
  <si>
    <t>Baptist Health Medical Center - Conway</t>
  </si>
  <si>
    <t>Amanda Bledsoe</t>
  </si>
  <si>
    <t>douglas@braswellandson.com; achapman@shopbraswell.com</t>
  </si>
  <si>
    <t>Brian Fason</t>
  </si>
  <si>
    <t>Scott Schwartz, John Scherrey</t>
  </si>
  <si>
    <t>Jennifer McGill, Stacey Buckholtz, Travis Noland</t>
  </si>
  <si>
    <t>Alan Kizer</t>
  </si>
  <si>
    <t>Nita Kay Freeman, Brett Berry</t>
  </si>
  <si>
    <t>David Grimes, Andy Hawkins</t>
  </si>
  <si>
    <t>Greg Pillow</t>
  </si>
  <si>
    <t>George Covington</t>
  </si>
  <si>
    <t>Cowboy Church</t>
  </si>
  <si>
    <t>Crain Automotive</t>
  </si>
  <si>
    <t>Christian Crain, Drew Dees</t>
  </si>
  <si>
    <t>christiancrian@crainteam.net; ddees@ltdconnect.com</t>
  </si>
  <si>
    <t>Kimberly Morehart, Daniel Morehart</t>
  </si>
  <si>
    <t>Dr. Anthony and Hanna Manning // Conway Regional Surgical Associates</t>
  </si>
  <si>
    <t>Tony Manning, Hanna Manning</t>
  </si>
  <si>
    <t>Stella Prather</t>
  </si>
  <si>
    <t>Engage Management &amp; Salter Construction</t>
  </si>
  <si>
    <t>Brent Salter</t>
  </si>
  <si>
    <t>Express Employment Professionals</t>
  </si>
  <si>
    <t>David McClain</t>
  </si>
  <si>
    <t>Alan White, Travis Mulhearn</t>
  </si>
  <si>
    <t>Grant Gordy, Lori Melton, Jackie Bennett, Jerry Harrison</t>
  </si>
  <si>
    <t>Kevin Wish</t>
  </si>
  <si>
    <t>Gratus Wealth Management, Northwestern Mutual</t>
  </si>
  <si>
    <t>Osmar Garcia, Gilberto Garcia</t>
  </si>
  <si>
    <t>HD Roofing and Construction</t>
  </si>
  <si>
    <t>Heartland Pharmacy</t>
  </si>
  <si>
    <t>Karen Peterson</t>
  </si>
  <si>
    <t>Heritage Living Center</t>
  </si>
  <si>
    <t>Incite Rehab</t>
  </si>
  <si>
    <t>Insight Enterprises</t>
  </si>
  <si>
    <t>joey@integrityinsurancear.com</t>
  </si>
  <si>
    <t>Sharon Harmon</t>
  </si>
  <si>
    <t>Jason Polk</t>
  </si>
  <si>
    <t>Andy Harris, Alexander Baney, Alica Brown</t>
  </si>
  <si>
    <t>Melvin's Painting / MK Events Center</t>
  </si>
  <si>
    <t>Pat Mood</t>
  </si>
  <si>
    <t>Pafford Medica Services</t>
  </si>
  <si>
    <t>Paladino Nash Construction</t>
  </si>
  <si>
    <t>Colby Nash, Jake Paladino</t>
  </si>
  <si>
    <t>Hollie Odom</t>
  </si>
  <si>
    <t>Reliance Health Care</t>
  </si>
  <si>
    <t>Tobey Koehler</t>
  </si>
  <si>
    <t>Rush and Linda Harding</t>
  </si>
  <si>
    <t>SMC Conway</t>
  </si>
  <si>
    <t>Marcus Arnold</t>
  </si>
  <si>
    <t>Howard Hurst</t>
  </si>
  <si>
    <t>Tommy's Express Car Wash</t>
  </si>
  <si>
    <t>Jim Rankin, Courtnie Pledger</t>
  </si>
  <si>
    <t>University of Arkansas Community College at Morrilton</t>
  </si>
  <si>
    <t>Clark@uaccm.edu</t>
  </si>
  <si>
    <t>Wes Pruitt</t>
  </si>
  <si>
    <t>wesley.paul.pruitt@gmail.com</t>
  </si>
  <si>
    <t>Walmart</t>
  </si>
  <si>
    <t>SPECIAL GUESTS</t>
  </si>
  <si>
    <t>The Hatcher Agency</t>
  </si>
  <si>
    <t>Kelley Bass</t>
  </si>
  <si>
    <t>kbass@acrisure.com</t>
  </si>
  <si>
    <t>ONLINE (The Chamber Report, PulseofConway.org, Sponsored Content)</t>
  </si>
  <si>
    <t>POC THEME</t>
  </si>
  <si>
    <t>January</t>
  </si>
  <si>
    <t>Banner Ad</t>
  </si>
  <si>
    <t>February</t>
  </si>
  <si>
    <t>May</t>
  </si>
  <si>
    <t>June</t>
  </si>
  <si>
    <t>July</t>
  </si>
  <si>
    <t>August</t>
  </si>
  <si>
    <t>September</t>
  </si>
  <si>
    <t>October</t>
  </si>
  <si>
    <t>November</t>
  </si>
  <si>
    <t>December</t>
  </si>
  <si>
    <t>Sponsored Content</t>
  </si>
  <si>
    <t>PULSE OF CONWAY</t>
  </si>
  <si>
    <t>SOLDY BY</t>
  </si>
  <si>
    <t>Blue Ribbon Workforce Awards Title</t>
  </si>
  <si>
    <t xml:space="preserve">Let's discuss logo before promo goes out. </t>
  </si>
  <si>
    <t>7.28.25, 10/3/25</t>
  </si>
  <si>
    <t xml:space="preserve">Blue Ribbon Workforce Awards Presenting </t>
  </si>
  <si>
    <t>7 Oaks</t>
  </si>
  <si>
    <t>NewLakeConway.com &amp; Lake Conway Outreach</t>
  </si>
  <si>
    <t>Full Page: June</t>
  </si>
  <si>
    <t>COVER STORY</t>
  </si>
  <si>
    <t>NewLakeConway.com</t>
  </si>
  <si>
    <t>Downtown</t>
  </si>
  <si>
    <t>Quality of Place</t>
  </si>
  <si>
    <t>February (AM)</t>
  </si>
  <si>
    <t>Full Page: February</t>
  </si>
  <si>
    <t>Real Estate</t>
  </si>
  <si>
    <t>andy.miller@flywheelenergy.com &lt;Andy.Miller@flywheelenergy.com&gt;</t>
  </si>
  <si>
    <t>Inside Back Cover: May</t>
  </si>
  <si>
    <t>Full Page: April</t>
  </si>
  <si>
    <t>Economic Development</t>
  </si>
  <si>
    <t>Half Page Annual</t>
  </si>
  <si>
    <t>Healthcare</t>
  </si>
  <si>
    <t>June (Healthcare Awards)</t>
  </si>
  <si>
    <t>B&amp;S Memorial</t>
  </si>
  <si>
    <t>Half Page July</t>
  </si>
  <si>
    <t>Aviation &amp; Transportation</t>
  </si>
  <si>
    <t>July (largest transportation projects)</t>
  </si>
  <si>
    <t>04.10.25</t>
  </si>
  <si>
    <t>Lani Jennings-Hall</t>
  </si>
  <si>
    <t>Lani.Jennings-Hall@bellandcompany.net</t>
  </si>
  <si>
    <t xml:space="preserve">December </t>
  </si>
  <si>
    <t>Construction</t>
  </si>
  <si>
    <t>August (largest commercial construction projects)</t>
  </si>
  <si>
    <t>Blue Ribbon</t>
  </si>
  <si>
    <t xml:space="preserve">September (Blue Ribbon Reception) </t>
  </si>
  <si>
    <t xml:space="preserve">Full Page: May - December </t>
  </si>
  <si>
    <t>Pinnacle Refreshment</t>
  </si>
  <si>
    <t>Education</t>
  </si>
  <si>
    <t>Taylor Douglas</t>
  </si>
  <si>
    <t>Banking &amp; Finance</t>
  </si>
  <si>
    <t>Full Page: September</t>
  </si>
  <si>
    <t>Retail</t>
  </si>
  <si>
    <t>Full Page: November</t>
  </si>
  <si>
    <t>Half Page: October</t>
  </si>
  <si>
    <t>POC PUBLICATION</t>
  </si>
  <si>
    <t>ANNUAL</t>
  </si>
  <si>
    <t>MONTHLY RATE</t>
  </si>
  <si>
    <t>Conway Downtown Partnership</t>
  </si>
  <si>
    <t>Full Page (facing inside front cover): January</t>
  </si>
  <si>
    <t>POC Back Cover: January</t>
  </si>
  <si>
    <t>POC Back Cover: February</t>
  </si>
  <si>
    <t xml:space="preserve">If they renew for 2026 the price is $22,000. Also add "Presented by Arvest" to the economy at a glance section. Get Maret's approval for the way the page will look with the Arvest logo, do a monthly social media post directing followers to the newest Economy at a Glance and discuss with Maret how they want to incorporate Arvest into the monthly post. On the invoice, consider this an economic membership. Bill all now. </t>
  </si>
  <si>
    <t>02.24.25</t>
  </si>
  <si>
    <t>Brooks Davis, Maret Cahill-Wicks</t>
  </si>
  <si>
    <t xml:space="preserve">Conway Regional </t>
  </si>
  <si>
    <t>February (Annual Meeting issue)</t>
  </si>
  <si>
    <t>POC Back Cover: March</t>
  </si>
  <si>
    <t>Conway Regional Airport</t>
  </si>
  <si>
    <t>Half Page: September</t>
  </si>
  <si>
    <t>POC Back Cover: April</t>
  </si>
  <si>
    <t>POC Back Cover: May</t>
  </si>
  <si>
    <t>Half Page: December</t>
  </si>
  <si>
    <t>POC Back Cover: June</t>
  </si>
  <si>
    <t>POC Back Cover: July</t>
  </si>
  <si>
    <t>POC Back Cover: August</t>
  </si>
  <si>
    <t>POC Back Cover: September</t>
  </si>
  <si>
    <t>Full Page (facing inside front cover): August</t>
  </si>
  <si>
    <t>POC Back Cover: October</t>
  </si>
  <si>
    <t>POC Back Cover: November</t>
  </si>
  <si>
    <t>POC Back Cover: December</t>
  </si>
  <si>
    <t>Half Page January</t>
  </si>
  <si>
    <t>POC Inside Front Cover: January</t>
  </si>
  <si>
    <t>POC Inside Front Cover: February</t>
  </si>
  <si>
    <t>POC Inside Front Cover: March</t>
  </si>
  <si>
    <t>POC Inside Front Cover: April</t>
  </si>
  <si>
    <t>POC Inside Front Cover: May</t>
  </si>
  <si>
    <t>POC Inside Front Cover: June</t>
  </si>
  <si>
    <t>POC Inside Front Cover: July</t>
  </si>
  <si>
    <t>Karen Ferguson Team, RE/MAX Elite</t>
  </si>
  <si>
    <t>Half Page April</t>
  </si>
  <si>
    <t>POC Inside Front Cover: August</t>
  </si>
  <si>
    <t>POC Inside Front Cover: September</t>
  </si>
  <si>
    <t>POC Inside Front Cover: October</t>
  </si>
  <si>
    <t>Little Rock/Conway Sign</t>
  </si>
  <si>
    <t>POC Inside Front Cover: November</t>
  </si>
  <si>
    <t>Half Page: November</t>
  </si>
  <si>
    <t>POC Inside Front Cover: December</t>
  </si>
  <si>
    <t>POC Inside Back Cover: January</t>
  </si>
  <si>
    <t>POC Inside Back Cover: February</t>
  </si>
  <si>
    <t>Half Page February</t>
  </si>
  <si>
    <t>POC Inside Back Cover: March</t>
  </si>
  <si>
    <t>Half Page May</t>
  </si>
  <si>
    <t>POC Inside Back Cover: April</t>
  </si>
  <si>
    <t>Half Page: August</t>
  </si>
  <si>
    <t>POC Inside Back Cover: May</t>
  </si>
  <si>
    <t>POC Inside Back Cover: June</t>
  </si>
  <si>
    <t xml:space="preserve">October </t>
  </si>
  <si>
    <t>POC Inside Back Cover: July</t>
  </si>
  <si>
    <t>PattiCakes Downtown</t>
  </si>
  <si>
    <t>Inside Back Cover: January</t>
  </si>
  <si>
    <t>POC Inside Back Cover: August</t>
  </si>
  <si>
    <t>POC Inside Back Cover: September</t>
  </si>
  <si>
    <t>POC Inside Back Cover: October</t>
  </si>
  <si>
    <t>Full Page (facing inside front cover): July</t>
  </si>
  <si>
    <t>POC Inside Back Cover: November</t>
  </si>
  <si>
    <t>Full Page (facing inside front cover): June</t>
  </si>
  <si>
    <t>POC Inside Back Cover: December</t>
  </si>
  <si>
    <t>Full Page (facing inside front cover): May</t>
  </si>
  <si>
    <t>POC Full Page (facing inside front cover): January</t>
  </si>
  <si>
    <t>Rogue  Roundabout</t>
  </si>
  <si>
    <t>POC Full Page (facing inside front cover): February</t>
  </si>
  <si>
    <t>11.18.24</t>
  </si>
  <si>
    <t>Lane.Housley@craftontull.com</t>
  </si>
  <si>
    <t>Salter Construction, Inc.</t>
  </si>
  <si>
    <t>POC Full Page (facing inside front cover): March</t>
  </si>
  <si>
    <t>The Edge Apartments</t>
  </si>
  <si>
    <t>Digital article in Pulseofconway.com</t>
  </si>
  <si>
    <t>POC Full Page (facing inside front cover): April</t>
  </si>
  <si>
    <t>POC Full Page (facing inside front cover): May</t>
  </si>
  <si>
    <t>POC Full Page (facing inside front cover): June</t>
  </si>
  <si>
    <t>UCA Aviation Academy</t>
  </si>
  <si>
    <t>POC Full Page (facing inside front cover): July</t>
  </si>
  <si>
    <t>This is a full page advertorial/Q&amp;A with Brad Teague + photos.</t>
  </si>
  <si>
    <t>Brad Teague</t>
  </si>
  <si>
    <t>bteague@uca.edu</t>
  </si>
  <si>
    <t>POC Full Page (facing inside front cover): August</t>
  </si>
  <si>
    <t xml:space="preserve">This will be a 2-page general spread Q&amp;A feature to highlight H+N's work on Nabholz Headquarters, First Service Bank and UCA Aviation Hangar. Send them a series of questions to answer centered around each project. Work with them on whether we need to photograph and/or them provide  renderings/other images. Publications will design, include their logo in the spread please. </t>
  </si>
  <si>
    <t>POC Full Page (facing inside front cover): September</t>
  </si>
  <si>
    <t>POC Full Page (facing inside front cover): October</t>
  </si>
  <si>
    <t>POC Full Page (facing inside front cover): November</t>
  </si>
  <si>
    <t>POC Full Page (facing inside front cover): December</t>
  </si>
  <si>
    <t>11.21.25</t>
  </si>
  <si>
    <t>POC Full Page: January</t>
  </si>
  <si>
    <t>POC Full Page: February</t>
  </si>
  <si>
    <t>Amber Helms</t>
  </si>
  <si>
    <t>Amber.Helms@orthoarkansas.com</t>
  </si>
  <si>
    <t>POC Full Page: March-December</t>
  </si>
  <si>
    <t>Invoice now - 2.11.25</t>
  </si>
  <si>
    <t>Andria Otto, Brooke Huffenberger</t>
  </si>
  <si>
    <t>aotto@my100bank; bhuffenberger@my100bank.com</t>
  </si>
  <si>
    <t>POC Full Page: March</t>
  </si>
  <si>
    <t>POC Full Page: April</t>
  </si>
  <si>
    <t>POC Full Page: May</t>
  </si>
  <si>
    <t>Tokusen/Binswanger</t>
  </si>
  <si>
    <t>10/20/25 GB</t>
  </si>
  <si>
    <t>Holmes Davis, Chris Opdyke</t>
  </si>
  <si>
    <t>hdavis@binswanger.com; copdyke@binswanger.com </t>
  </si>
  <si>
    <t>POC Full Page: June</t>
  </si>
  <si>
    <t>Amber Wyatt, Elizabeth Bondoc</t>
  </si>
  <si>
    <t>amber.wyatt1@smilebrands.com; elizabeth.bondoc@smilebrands.com</t>
  </si>
  <si>
    <t>POC Full Page: July</t>
  </si>
  <si>
    <t>Changed from June to July per Wendy: 5.27.25</t>
  </si>
  <si>
    <t>POC Full Page: August</t>
  </si>
  <si>
    <t xml:space="preserve">SHARE W/lEE: We would use the Pulse of Conway Full-Page to talk about how to make the most out of Trade Show/Expo experience using digital targeting/retargeting/geofence insights/etc. We would do the print and online. </t>
  </si>
  <si>
    <t xml:space="preserve">Publications to design. Full page Q&amp;A w/Bart, re: questions related to commercial closings. They specifically helped close Conway Christian. </t>
  </si>
  <si>
    <t>10/17/2025, 12/15/25</t>
  </si>
  <si>
    <t>Bart Shaw</t>
  </si>
  <si>
    <t>bshaw@lenderstitle.com</t>
  </si>
  <si>
    <t xml:space="preserve">Crist Engineers, Inc. </t>
  </si>
  <si>
    <t>8.6.25</t>
  </si>
  <si>
    <t xml:space="preserve">To accompany the RQMWTP project. </t>
  </si>
  <si>
    <t>Craig Johnson</t>
  </si>
  <si>
    <t>cjohnson@cristengineers.com</t>
  </si>
  <si>
    <t>POC Full Page: September</t>
  </si>
  <si>
    <t>POC Full Page: October</t>
  </si>
  <si>
    <t>7.21.25</t>
  </si>
  <si>
    <t xml:space="preserve">This is a paid advertorial on behalf of FSB (not sure how we want to "brand" that). I'd like to see it before it goes to print please. I'll be selling more like this. It will be a Q&amp;A with Jason Carson on school growth of Conway Christian and looking to the future. Jason doesn't know this will be happening so I'm not sure if you'd like to email him and copy Jon Ross with what you are doing. Let me know how I can help. </t>
  </si>
  <si>
    <t>Jon Ross Henderson</t>
  </si>
  <si>
    <t>jon.henderson@fsbank.com</t>
  </si>
  <si>
    <t>Q&amp;A re: history with education in Conway/recent Conway work.</t>
  </si>
  <si>
    <t>POC Full Page: November</t>
  </si>
  <si>
    <t>Publications to design. Full page Q&amp;A w/Bart, re: questions related to commercial closings.</t>
  </si>
  <si>
    <t>9/8/2025, 10/27/25</t>
  </si>
  <si>
    <t>POC Full Page: December</t>
  </si>
  <si>
    <t>Q&amp;A</t>
  </si>
  <si>
    <t xml:space="preserve"> Invoice Amy Meins after 1/1/26</t>
  </si>
  <si>
    <t>Amy Meins</t>
  </si>
  <si>
    <t>Amy.Meins@ar.colliers.com</t>
  </si>
  <si>
    <t>POC Half Page: January</t>
  </si>
  <si>
    <t>PAID in 2024</t>
  </si>
  <si>
    <t>Wendy Sparks</t>
  </si>
  <si>
    <t>11.19.24</t>
  </si>
  <si>
    <t>POC Half Page: February</t>
  </si>
  <si>
    <t>Lori Quinn</t>
  </si>
  <si>
    <t>POC Half Page: March</t>
  </si>
  <si>
    <t xml:space="preserve">Will need to design ad, Lori will provide pics/info. </t>
  </si>
  <si>
    <t>POC Half Page: April</t>
  </si>
  <si>
    <t>POC  Half Page: May</t>
  </si>
  <si>
    <t xml:space="preserve">5.27.25 </t>
  </si>
  <si>
    <t>POC Half Page: May</t>
  </si>
  <si>
    <t>Ronie Sparkman</t>
  </si>
  <si>
    <t>Ronie.Sparkman@nabholz.com</t>
  </si>
  <si>
    <t>Brad will ask if they want to use the same ad as prior issues.</t>
  </si>
  <si>
    <t>POC Half Page: June</t>
  </si>
  <si>
    <t>POC  Half Page: July</t>
  </si>
  <si>
    <t>10/21/25 GB</t>
  </si>
  <si>
    <t>POC  Half Page: August</t>
  </si>
  <si>
    <t>POC Half Page: August</t>
  </si>
  <si>
    <t>Rachael McGrew</t>
  </si>
  <si>
    <t>RMcGrew@landmarkcpas.com</t>
  </si>
  <si>
    <t>POC Half Page: September</t>
  </si>
  <si>
    <t>8.13.25</t>
  </si>
  <si>
    <t>Stan Foster</t>
  </si>
  <si>
    <t>stanfoster@virco.com</t>
  </si>
  <si>
    <t>NativState</t>
  </si>
  <si>
    <t>Mark Fortune</t>
  </si>
  <si>
    <t>mfortune@nativstate.com</t>
  </si>
  <si>
    <t>Car-son Cosntruction</t>
  </si>
  <si>
    <t>Follow-up with Brian, but I'm sure you will need to create. This is a congratulatory ad for Greg Matthews</t>
  </si>
  <si>
    <t>bfason@car-son.com</t>
  </si>
  <si>
    <t>8.22.25</t>
  </si>
  <si>
    <t xml:space="preserve">tmalcolm@summitutilities.com </t>
  </si>
  <si>
    <t>POC Half Page: October</t>
  </si>
  <si>
    <t>9/10, 10/16</t>
  </si>
  <si>
    <t>POC Half Page: November</t>
  </si>
  <si>
    <t>8.11.25</t>
  </si>
  <si>
    <t>Jessica Pint</t>
  </si>
  <si>
    <t>jpint@fabandt.bank</t>
  </si>
  <si>
    <t>POC Half Page: December</t>
  </si>
  <si>
    <t>POC Half Page</t>
  </si>
  <si>
    <r>
      <rPr>
        <b/>
        <sz val="11"/>
        <color rgb="FFFF0000"/>
        <rFont val="Aptos Narrow"/>
        <family val="2"/>
        <scheme val="minor"/>
      </rPr>
      <t>Invoice Andrea@littlerockconwaysign.com</t>
    </r>
    <r>
      <rPr>
        <sz val="11"/>
        <color theme="1"/>
        <rFont val="Aptos Narrow"/>
        <family val="2"/>
        <scheme val="minor"/>
      </rPr>
      <t xml:space="preserve"> They will receive 2, 1/2 page ads, please follow-up on whether those are for healthcare (June), Construction (August) and/or Retail (December). </t>
    </r>
  </si>
  <si>
    <t>Luxury Pool &amp; Spa</t>
  </si>
  <si>
    <t>Andrea Lawson</t>
  </si>
  <si>
    <t>luxurypool@gmail.com</t>
  </si>
  <si>
    <t>POC Half Page: Annual</t>
  </si>
  <si>
    <t>1.27.25</t>
  </si>
  <si>
    <t>Beth.Jimmerson@ConwayCorp.com&gt;</t>
  </si>
  <si>
    <t>11.25.24</t>
  </si>
  <si>
    <t>Fredricka Sharkey, Amy Whitehead</t>
  </si>
  <si>
    <t>fsharkey@uca.edu; amyw@uca.edu</t>
  </si>
  <si>
    <t>PURPLE PASSION</t>
  </si>
  <si>
    <t>UCA PURPLE PASSION</t>
  </si>
  <si>
    <t>Follow-up with Wes Dyson, Williamson Insurance for 2026. (LH)</t>
  </si>
  <si>
    <t>Andy's</t>
  </si>
  <si>
    <t>10/20/2025, 11/7/25, 12/8/25</t>
  </si>
  <si>
    <t>6/6/25 GB</t>
  </si>
  <si>
    <t>Tailgate Zone</t>
  </si>
  <si>
    <t>Beer Garden</t>
  </si>
  <si>
    <t>Cooling Zone</t>
  </si>
  <si>
    <t xml:space="preserve">Display area at event: Turbare has a fan giveaway they mentioned they may want to provide for attendees. </t>
  </si>
  <si>
    <t>Cross Creek</t>
  </si>
  <si>
    <t xml:space="preserve">3.28.25 </t>
  </si>
  <si>
    <t>ESS</t>
  </si>
  <si>
    <t>Photobooth</t>
  </si>
  <si>
    <t>Red Zone Football Toss</t>
  </si>
  <si>
    <t>Booth setup on field</t>
  </si>
  <si>
    <t>kasonk@advancedwashnetwork.com
jenellet@advancedwashnetwork.com</t>
  </si>
  <si>
    <t>Exclusive dealership</t>
  </si>
  <si>
    <t>Lost40</t>
  </si>
  <si>
    <t>Gold: Rally Ready Zone</t>
  </si>
  <si>
    <t>8/8/2025, 11/24/25</t>
  </si>
  <si>
    <t>Maly's Entertainment</t>
  </si>
  <si>
    <t>07/18/25 JHS</t>
  </si>
  <si>
    <t>in-kind for product</t>
  </si>
  <si>
    <t>Shaved by the Block</t>
  </si>
  <si>
    <t>Joshua Gorham, Cheryl Cox</t>
  </si>
  <si>
    <t>Gorham-Joshua@aramark.com; cox-cheryl@aramark.com</t>
  </si>
  <si>
    <r>
      <t>Marketplace,</t>
    </r>
    <r>
      <rPr>
        <sz val="11"/>
        <rFont val="Aptos Narrow"/>
        <family val="2"/>
        <scheme val="minor"/>
      </rPr>
      <t xml:space="preserve"> Chicken Salad Chick,</t>
    </r>
    <r>
      <rPr>
        <sz val="11"/>
        <color theme="1"/>
        <rFont val="Aptos Narrow"/>
        <family val="2"/>
        <scheme val="minor"/>
      </rPr>
      <t xml:space="preserve"> Crosscreek, Lost 40, Moe's SW Grill, Point Remove Brewery, Shadrach's, Tacos4Life, Purple Cow, Rougue Roundabout, Uncle Tim's, Chuy's, Lost Pizza</t>
    </r>
  </si>
  <si>
    <t>8/5/25 GB</t>
  </si>
  <si>
    <t>in-kind for games</t>
  </si>
  <si>
    <t>The Purple Cow</t>
  </si>
  <si>
    <t>SPARK!</t>
  </si>
  <si>
    <t>3 of 3 Year Agreement</t>
  </si>
  <si>
    <t>Speaker: Antonio Neves</t>
  </si>
  <si>
    <t>Speaker: Sam Richter</t>
  </si>
  <si>
    <t>Speaker: Damon West</t>
  </si>
  <si>
    <t>20 tickets to event (more tickets if they want them) + rep to speak/participate.</t>
  </si>
  <si>
    <t>Speaker: Michelle Edelen</t>
  </si>
  <si>
    <t>Education Underwriter</t>
  </si>
  <si>
    <t>Linda &amp; Rush Harding</t>
  </si>
  <si>
    <t>Speaker: Grace McCarrick</t>
  </si>
  <si>
    <t>9/10/25 GB</t>
  </si>
  <si>
    <t>Group (10+)</t>
  </si>
  <si>
    <t>Brooke Kessinger, Staffmark</t>
  </si>
  <si>
    <t>Dr. Anthony and Hanna Manning/Conway Regional Surgical Associates, Dr. Anthony Manning</t>
  </si>
  <si>
    <t>Non-profit Underwriter</t>
  </si>
  <si>
    <t>Hanna Manning</t>
  </si>
  <si>
    <t>hmanning@conwaychristianschools.net</t>
  </si>
  <si>
    <t>10.28.25</t>
  </si>
  <si>
    <t xml:space="preserve">in-kind for box lunches, will setup display area in lobby. </t>
  </si>
  <si>
    <t>Merchandise Store</t>
  </si>
  <si>
    <t>Bathroom</t>
  </si>
  <si>
    <t>Lounge</t>
  </si>
  <si>
    <t>Speaker: Molly Barker</t>
  </si>
  <si>
    <t xml:space="preserve">Confirm with NK/BB which Chris Crain Enterprises company/companies will be featured on event. PLUS: we will provide 10 tickets to CCE. </t>
  </si>
  <si>
    <t>Dr. Anthony and Hanna Manning // Conway Regional Surgical Associates, Dr. Anthony Manning</t>
  </si>
  <si>
    <t>Non-Profit Underwriter</t>
  </si>
  <si>
    <t>Globe Life, Everett &amp; Associates</t>
  </si>
  <si>
    <t>Shadrach's Coffee</t>
  </si>
  <si>
    <t>in-kind for coffee</t>
  </si>
  <si>
    <t>10.20.25</t>
  </si>
  <si>
    <t>in-kind for continental breakfast</t>
  </si>
  <si>
    <t>Kimberly-Clark Corporation</t>
  </si>
  <si>
    <t>Group</t>
  </si>
  <si>
    <t>8/14/2025, 8/20/25 11/4/25</t>
  </si>
  <si>
    <t>Legends Resort &amp; Casino, Jennifer McGill</t>
  </si>
  <si>
    <t>Speaker:  James Mitchell</t>
  </si>
  <si>
    <t>10.31.25</t>
  </si>
  <si>
    <t>T.H.I.N.K</t>
  </si>
  <si>
    <t>Moving their payment from B4B due to cancellation. They would like two tickets.</t>
  </si>
  <si>
    <t>Speaker: Jess Ekstrom</t>
  </si>
  <si>
    <t>UCA Outreach &amp; Conference Services</t>
  </si>
  <si>
    <t>UCA SGA</t>
  </si>
  <si>
    <t>8 comp. tickets</t>
  </si>
  <si>
    <t>10.22.25</t>
  </si>
  <si>
    <t>TEACHER BKF &amp; EDUCATION FAIR</t>
  </si>
  <si>
    <t>TEACHER BREAKFAST &amp; EDUCATION FAIR</t>
  </si>
  <si>
    <t xml:space="preserve">2026: Rhea Lana's waive 1 booth, If Virco passes on lunch break sponsorship; CARTI will take it per SH. </t>
  </si>
  <si>
    <t>6/11/25 GB</t>
  </si>
  <si>
    <t>Table Space</t>
  </si>
  <si>
    <t xml:space="preserve">Provide each dealership a table. Christian is considering giving away a car for a year or two to a teacher. Brad will stay in contact with Christian/Drew regarding this. Visit with Drew to determine which dealership(s) will be incorporated and how to handle billing. </t>
  </si>
  <si>
    <t>Breakfast</t>
  </si>
  <si>
    <t>6.18.25</t>
  </si>
  <si>
    <t>expect pmt after August per W Sparks</t>
  </si>
  <si>
    <t>in-kind for food and/or teacher giveaways</t>
  </si>
  <si>
    <t>Arkansas State Teachers Association</t>
  </si>
  <si>
    <t>Arkansas Urology</t>
  </si>
  <si>
    <t>in-kind for breakfast food</t>
  </si>
  <si>
    <t>Molly Johns</t>
  </si>
  <si>
    <t>682.556.6924</t>
  </si>
  <si>
    <t>Conway Christian Breakfast Delivery</t>
  </si>
  <si>
    <t>Swag Bag</t>
  </si>
  <si>
    <t>Will award one educator with one year free of car washes</t>
  </si>
  <si>
    <t>Yearbook</t>
  </si>
  <si>
    <t>Product Donation</t>
  </si>
  <si>
    <t>Lunch Break</t>
  </si>
  <si>
    <t xml:space="preserve">Exclusive lunch break sponsor. Visit with Brad in advance to discuss how to promote this. </t>
  </si>
  <si>
    <t>Burn Bootcamp</t>
  </si>
  <si>
    <t>7/10/25 GB</t>
  </si>
  <si>
    <t>JScherrey@my100bank.com</t>
  </si>
  <si>
    <t xml:space="preserve">Faculty Lounge </t>
  </si>
  <si>
    <t>Work with Leo on a sponsorship level</t>
  </si>
  <si>
    <t>7/15/25 GB</t>
  </si>
  <si>
    <t>Coffee Sponsor</t>
  </si>
  <si>
    <t xml:space="preserve">Will provide branded coffee sleeves and please add them to attend the Conway Christian breakfast delivery. </t>
  </si>
  <si>
    <t>7/23/25 GB</t>
  </si>
  <si>
    <t>Rock Dental Brands</t>
  </si>
  <si>
    <t>Same setup as last year.</t>
  </si>
  <si>
    <t>6/12/25 GB</t>
  </si>
  <si>
    <t>Kayla McKinney</t>
  </si>
  <si>
    <t>kayla.mckinney@rockdentalbrands.com</t>
  </si>
  <si>
    <t>Conway Children's Clinic</t>
  </si>
  <si>
    <t>Amy Irby</t>
  </si>
  <si>
    <t>ccclinic@conwaycorp.net</t>
  </si>
  <si>
    <t>Pinnacle Structure</t>
  </si>
  <si>
    <t>7/30/25 GB</t>
  </si>
  <si>
    <t>Nancy Bard</t>
  </si>
  <si>
    <t>nancy@pinnaclestructures.com</t>
  </si>
  <si>
    <t>Christian Perspectives Counseling</t>
  </si>
  <si>
    <t>6.26.25</t>
  </si>
  <si>
    <t>Conway Cradle Care</t>
  </si>
  <si>
    <t>Conway Education Association</t>
  </si>
  <si>
    <t>Conway Family Eye Care</t>
  </si>
  <si>
    <t>Dawn Fryar</t>
  </si>
  <si>
    <t>thebarkinglotconway@gmail.com</t>
  </si>
  <si>
    <t>Conway Public Schools Foundation</t>
  </si>
  <si>
    <t>6.24.25</t>
  </si>
  <si>
    <t>Crain Creative</t>
  </si>
  <si>
    <t>Edward Jones, Jakob Henry</t>
  </si>
  <si>
    <t>7/8/25 GB</t>
  </si>
  <si>
    <t>jakob.henry@edwardjones.com</t>
  </si>
  <si>
    <t>Fyzical</t>
  </si>
  <si>
    <t>7.9.25</t>
  </si>
  <si>
    <t>Wendy Williams</t>
  </si>
  <si>
    <t>wendy.williams@fyzical.com</t>
  </si>
  <si>
    <t xml:space="preserve">Conway Christian BKF </t>
  </si>
  <si>
    <t>Faulkner County Democrats</t>
  </si>
  <si>
    <t>Faulkner County Republican Committee</t>
  </si>
  <si>
    <t>Hearing Life</t>
  </si>
  <si>
    <t>Homeward Reallty, Claire Carter Smithson</t>
  </si>
  <si>
    <t xml:space="preserve">ICU </t>
  </si>
  <si>
    <t>ILS</t>
  </si>
  <si>
    <t>Immerse</t>
  </si>
  <si>
    <t>Jakob Henry, Edward Jones</t>
  </si>
  <si>
    <t>Yearbook/Selfie Station</t>
  </si>
  <si>
    <t>Kitchen Store &amp; More</t>
  </si>
  <si>
    <t>SH-N</t>
  </si>
  <si>
    <t>Mac Aesthetics and Wellness</t>
  </si>
  <si>
    <t xml:space="preserve">Cross Creek Sandwich Shop </t>
  </si>
  <si>
    <t xml:space="preserve">Additionally, will provide coffee and bkf for CCS teachers. List as CCS breakfast sponsor. In-kind value of 1,200, per Leo. </t>
  </si>
  <si>
    <t>Moe's</t>
  </si>
  <si>
    <t>Homeward Realty, Claire Carter Smithson</t>
  </si>
  <si>
    <t>Attorneys Title Group</t>
  </si>
  <si>
    <t>Lisa Fields</t>
  </si>
  <si>
    <t>lfields@youratg.com</t>
  </si>
  <si>
    <t>Parris Rose Hair Artistry</t>
  </si>
  <si>
    <t>6/26/25 GB</t>
  </si>
  <si>
    <t>Elissa Douglas</t>
  </si>
  <si>
    <t>elissa@indliving.org</t>
  </si>
  <si>
    <t xml:space="preserve">Susan is who I asked, but she may and will likely turn it over to someone else. </t>
  </si>
  <si>
    <t>Susan DeBlack</t>
  </si>
  <si>
    <t>deblack@conwaycorp.net</t>
  </si>
  <si>
    <t>Micah Mahan, Bryce McGhee</t>
  </si>
  <si>
    <t>mmahan@immersearkansas.org; bmcghee@immersearkansas.org</t>
  </si>
  <si>
    <t>Certa Pro</t>
  </si>
  <si>
    <t>Kathleen Fitzpatrick</t>
  </si>
  <si>
    <t>Restoration Wellness</t>
  </si>
  <si>
    <t>Jon Priest</t>
  </si>
  <si>
    <t xml:space="preserve">jon@cpcarkansas.com, </t>
  </si>
  <si>
    <t>First National Bank</t>
  </si>
  <si>
    <t>Valari Bristol</t>
  </si>
  <si>
    <t>valaribristol@fnbconway.com</t>
  </si>
  <si>
    <t>Alexander Baney</t>
  </si>
  <si>
    <t>abaney@mnbbank.com</t>
  </si>
  <si>
    <t>Aira Fitness of Conway</t>
  </si>
  <si>
    <t>Anthony Tufu</t>
  </si>
  <si>
    <t>airaconway@gmail.com</t>
  </si>
  <si>
    <t>Lori Chambliss</t>
  </si>
  <si>
    <t>restorationwellnessar@gmail.com</t>
  </si>
  <si>
    <t>Texas Roadhouse</t>
  </si>
  <si>
    <t>Teresa Huff</t>
  </si>
  <si>
    <t>chair@faulknerdemocrats.com</t>
  </si>
  <si>
    <t>Power Chiropractic</t>
  </si>
  <si>
    <t>Destiny Hastings</t>
  </si>
  <si>
    <t>destiny@powerchiroclinic.com</t>
  </si>
  <si>
    <t>Faulkner County Republican Party</t>
  </si>
  <si>
    <t>Email invoice to Rob Denning: rob@higherworthrealestate.com</t>
  </si>
  <si>
    <t>Sandra Strain</t>
  </si>
  <si>
    <t>sandrastrain55@gmail.com</t>
  </si>
  <si>
    <t>Taylor King &amp; Associates</t>
  </si>
  <si>
    <t>Brad Evans</t>
  </si>
  <si>
    <t>bradevans@taylorkinglaw.com</t>
  </si>
  <si>
    <t>The Spa'ah</t>
  </si>
  <si>
    <t>7.10.25</t>
  </si>
  <si>
    <t>U Storage</t>
  </si>
  <si>
    <t>Newk's</t>
  </si>
  <si>
    <t>Morgan Terrell</t>
  </si>
  <si>
    <t>newks.lr@eatroundtable.com</t>
  </si>
  <si>
    <t>Crystal Bridges</t>
  </si>
  <si>
    <t>Non-member Rate</t>
  </si>
  <si>
    <t>Macy Hudson</t>
  </si>
  <si>
    <t>macy.hudson@crystalbridges.org</t>
  </si>
  <si>
    <t>Kitchen Store</t>
  </si>
  <si>
    <t>?</t>
  </si>
  <si>
    <t>9/2/2025, 9/15/25</t>
  </si>
  <si>
    <t>Melissa Hardcastle</t>
  </si>
  <si>
    <t>mhardcastle@chickensaladchick.com</t>
  </si>
  <si>
    <t>Christy Baker</t>
  </si>
  <si>
    <t>cbaker@healthcaremarketingassoc.com</t>
  </si>
  <si>
    <t xml:space="preserve">Community Service Inc. </t>
  </si>
  <si>
    <t>Amy Melick</t>
  </si>
  <si>
    <t>amellick@csiyouth.com</t>
  </si>
  <si>
    <t>The Misty Givens Agency LLC</t>
  </si>
  <si>
    <t>Misty Givens</t>
  </si>
  <si>
    <t>mfgivens76@gmail.com</t>
  </si>
  <si>
    <t>The Spa'Ah</t>
  </si>
  <si>
    <t>Michelle Christen</t>
  </si>
  <si>
    <t>mchristen@thespaah.com</t>
  </si>
  <si>
    <t>7.15.25</t>
  </si>
  <si>
    <t>Jennifer Wooten</t>
  </si>
  <si>
    <t>jennifer@astapro.org</t>
  </si>
  <si>
    <t>Ashleigh McEntire, Albert Pilkington</t>
  </si>
  <si>
    <t>storemanager1358@gmail.com; albert.pilkington@massageenvy.com</t>
  </si>
  <si>
    <t>07/18/25JHS</t>
  </si>
  <si>
    <t>Rivendell Behavioral Hospital (Benton)</t>
  </si>
  <si>
    <t>Brittany Miller, Sara McClain, Kim Rand</t>
  </si>
  <si>
    <t>Brittney.miller@uhsinc.com;  Sara.mcclain@uhsinc.com; Kimberly.rand@uhsinc.com</t>
  </si>
  <si>
    <t>Thrivent</t>
  </si>
  <si>
    <t>8/7/25 GB</t>
  </si>
  <si>
    <t>Broc Hart</t>
  </si>
  <si>
    <t>Broc.hart@thrivent.com</t>
  </si>
  <si>
    <t>Conway Educators Association</t>
  </si>
  <si>
    <t>7.24.25</t>
  </si>
  <si>
    <t>Cindy Nations</t>
  </si>
  <si>
    <t>wearecea@gmail.com</t>
  </si>
  <si>
    <t>Serv-Pro</t>
  </si>
  <si>
    <t>Trent Hammons</t>
  </si>
  <si>
    <t>trent@servproofconway.com</t>
  </si>
  <si>
    <t>Sonic Drive-in</t>
  </si>
  <si>
    <t>Sean Francis</t>
  </si>
  <si>
    <t>conwaysonic5@conwaycorp.net</t>
  </si>
  <si>
    <t>No invoice per LH</t>
  </si>
  <si>
    <t>TOAD SUCK DAZE</t>
  </si>
  <si>
    <t xml:space="preserve">Direct Auto Insurance, Brandon Pitcock is reserving a Toadal Supporter sponsorship ($3,500) for 2026. Paid on 6.13.25. </t>
  </si>
  <si>
    <t>Grifols Plasma Center is reserving a Toadal Supporter sponsorship ($3,500) for 2026. Tevin Cherry – Tevin.cherry@grifols.com
Michelle Defort – michelle.defort@grifols.com
Dontavious Gardenhire - dontavious.gardenhire@grifols.com</t>
  </si>
  <si>
    <t>Tinkerfest</t>
  </si>
  <si>
    <t>Arkansas BlueCross BlueShield</t>
  </si>
  <si>
    <t>Volunteer &amp; Committee</t>
  </si>
  <si>
    <t>Top Toad</t>
  </si>
  <si>
    <t>Plus $1,500 in-kind for chair donation</t>
  </si>
  <si>
    <t>Toadal Supporter</t>
  </si>
  <si>
    <t>Toad Toter</t>
  </si>
  <si>
    <t>Co-Presenting</t>
  </si>
  <si>
    <t>Bargain Brothers</t>
  </si>
  <si>
    <t>Family Movie Night</t>
  </si>
  <si>
    <t>Heart of Arkansas</t>
  </si>
  <si>
    <t>Toadal Kids Zone</t>
  </si>
  <si>
    <t>Moix RV</t>
  </si>
  <si>
    <t>in-kind for backstage RVs (2) + outdoor furniture</t>
  </si>
  <si>
    <t>Headliner</t>
  </si>
  <si>
    <t>Jessica</t>
  </si>
  <si>
    <t>Toad Dome</t>
  </si>
  <si>
    <t>Top Toad + Safety Zone</t>
  </si>
  <si>
    <t xml:space="preserve">in-kind for services </t>
  </si>
  <si>
    <t>Entertainment</t>
  </si>
  <si>
    <t>3.22.25</t>
  </si>
  <si>
    <t>5.13.25</t>
  </si>
  <si>
    <t>paladino.nash@conwaycorp.net</t>
  </si>
  <si>
    <t>Apparel Provider</t>
  </si>
  <si>
    <t>Toad Race</t>
  </si>
  <si>
    <t>Our Blood Institute</t>
  </si>
  <si>
    <t>2.6.25</t>
  </si>
  <si>
    <t>Woneda Grayham</t>
  </si>
  <si>
    <t>woneda.grayham@obi.org</t>
  </si>
  <si>
    <t>TV Presenting</t>
  </si>
  <si>
    <t xml:space="preserve">Denise is in/out of the office due to sickness. If you have trouble getting a response from her let me know and I can text her. </t>
  </si>
  <si>
    <t>Conway Cowboy Church</t>
  </si>
  <si>
    <t>Arkansas Scholarship Lottery</t>
  </si>
  <si>
    <t>ASL does not wish to have a physical presence during the festival. They will only run a 30-60 second commercial during festival weekend and we will commit to providing other deliverables associated with this level of sponsorship.</t>
  </si>
  <si>
    <t>Tiffany McNeal</t>
  </si>
  <si>
    <t>tiffany.mcneal@arkansas.gov</t>
  </si>
  <si>
    <t xml:space="preserve">TV </t>
  </si>
  <si>
    <t>DPIL underwriter for Vilonia</t>
  </si>
  <si>
    <t>Songwriter Experience</t>
  </si>
  <si>
    <t>T-Mobile</t>
  </si>
  <si>
    <t>Francisco Aguilar</t>
  </si>
  <si>
    <t>francisco.aguilar1@t-mobile.com</t>
  </si>
  <si>
    <t>Food Court</t>
  </si>
  <si>
    <t>Omar Delgado</t>
  </si>
  <si>
    <t>omar.delgado@verizonwireless.com</t>
  </si>
  <si>
    <t>Mascot - Dazey</t>
  </si>
  <si>
    <t>Silver Field Construction</t>
  </si>
  <si>
    <t>Holly Grissom</t>
  </si>
  <si>
    <t>silverfieldconstruction@gmail.com</t>
  </si>
  <si>
    <t>Sensory Area</t>
  </si>
  <si>
    <t>Renewal by Anderson</t>
  </si>
  <si>
    <t xml:space="preserve">5.12.25 </t>
  </si>
  <si>
    <t>Jamie Millican</t>
  </si>
  <si>
    <t>jmillican@rbaofar.com</t>
  </si>
  <si>
    <t>Patio Enclosures</t>
  </si>
  <si>
    <t>4..22.25</t>
  </si>
  <si>
    <t>Angel Critz</t>
  </si>
  <si>
    <t>Angelique.Critz@greatdayimprovements.com</t>
  </si>
  <si>
    <t>Xfinity</t>
  </si>
  <si>
    <t>Charla Perry</t>
  </si>
  <si>
    <t>Charla_Perry@comcast.com</t>
  </si>
  <si>
    <t>Negotiated</t>
  </si>
  <si>
    <t>Midway</t>
  </si>
  <si>
    <t>Include placement of 2 vehicles and a booth in close proximity to the vehicles. Create a definitive break in signage and vehicles between Crain Team and Chris Crain - they do not want the brands to look the same. Crain Team, or some variation, name on ride tickets. Visit with Drew to determine which dealership(s) will be incorporated and how to handle billing.</t>
  </si>
  <si>
    <t>Information Booth</t>
  </si>
  <si>
    <t>Holiday Inn Express and Suites</t>
  </si>
  <si>
    <t>Official Hotel of TSD</t>
  </si>
  <si>
    <t>Central Arkansas Professional Surveying</t>
  </si>
  <si>
    <t>4 VIT tickets</t>
  </si>
  <si>
    <t>Bobby French</t>
  </si>
  <si>
    <t>surveying@conwaycorp.net</t>
  </si>
  <si>
    <t>Mascot - Croaker</t>
  </si>
  <si>
    <t>Festival Scavenger Hunt</t>
  </si>
  <si>
    <t>IP</t>
  </si>
  <si>
    <t>OrthoArkansas</t>
  </si>
  <si>
    <t>Golf Cart</t>
  </si>
  <si>
    <t>I emailed you a list of deliverables.</t>
  </si>
  <si>
    <t>4.24.25</t>
  </si>
  <si>
    <t>3.15.25</t>
  </si>
  <si>
    <t>Lindsey's Resort</t>
  </si>
  <si>
    <t>Documentary Film Spotlight</t>
  </si>
  <si>
    <t>Toad Condo</t>
  </si>
  <si>
    <t>Milestone Services</t>
  </si>
  <si>
    <t>Sandbox</t>
  </si>
  <si>
    <t>TV</t>
  </si>
  <si>
    <t xml:space="preserve">Miller Spectacular </t>
  </si>
  <si>
    <t>Nature, Science &amp; Art Experience</t>
  </si>
  <si>
    <t xml:space="preserve">Cherokee Casino and Hotel Roland </t>
  </si>
  <si>
    <t>Invoice $12,500 to Cherokee and $12,500 to Legends</t>
  </si>
  <si>
    <t xml:space="preserve">3.17.25 </t>
  </si>
  <si>
    <t>Jennifer McGill, Travis Noland</t>
  </si>
  <si>
    <t>jennifer.mcgill@cnent.com; TRAVIS.NOLAND@CNENT.COM</t>
  </si>
  <si>
    <t>Main Stage</t>
  </si>
  <si>
    <t>6.5.25, 9/3/25</t>
  </si>
  <si>
    <t>Education Initiatives</t>
  </si>
  <si>
    <t>6.9.25 6.26.25, 10/20/25
7.25.25
7.28.25</t>
  </si>
  <si>
    <t>Preston Palmer Music</t>
  </si>
  <si>
    <t>Reach Therapy Services</t>
  </si>
  <si>
    <t>Headliner: Sunday</t>
  </si>
  <si>
    <t xml:space="preserve">Justin Brooks will act as emcee and participate in afternoon lineup, Cowboy Church/City Church will plan a community service Sunday morning. </t>
  </si>
  <si>
    <t>shane@ccstrans.com; cmb72031@gmail.com</t>
  </si>
  <si>
    <t>Character Meet &amp; Greet</t>
  </si>
  <si>
    <t>30-60 second commercial (provided by Turbare) to play on TS TV throughout the festival, booth at festival, turbare rep. stage participation at TKZ, 8 tickets to VIT</t>
  </si>
  <si>
    <t>Toadal Kids Zone Stage</t>
  </si>
  <si>
    <t>Tri Techne</t>
  </si>
  <si>
    <t>Emerging Scholars (National Merit Prep)</t>
  </si>
  <si>
    <t xml:space="preserve">Arts &amp; Crafts </t>
  </si>
  <si>
    <t>Dolly Parton Imagination Library</t>
  </si>
  <si>
    <t>1.6.25</t>
  </si>
  <si>
    <t xml:space="preserve">The blueprint does not offer booth space for this sponsorship, but we need to provide one. </t>
  </si>
  <si>
    <t>Kerri Hooten</t>
  </si>
  <si>
    <t>khooten@reachtherapyservices.com</t>
  </si>
  <si>
    <t>Plus $2,500 in vouchers</t>
  </si>
  <si>
    <t>Bailey Martinez, Marc Martinez</t>
  </si>
  <si>
    <t>707marketing@texasroadhouse.com; store_conwayar@TexasRoadhouse.com</t>
  </si>
  <si>
    <t>Children's Coloring Mural</t>
  </si>
  <si>
    <t xml:space="preserve">Brad connecting Kara with WRC designer to work on mural. </t>
  </si>
  <si>
    <t>Tinkerfest Interactive Stage</t>
  </si>
  <si>
    <t>DSchwartz@my100bank.com; JScherrey@my100bank.com</t>
  </si>
  <si>
    <t>Kansas Tourism</t>
  </si>
  <si>
    <t xml:space="preserve">I'd like to bill them in January. Provide space for a tourism van. </t>
  </si>
  <si>
    <t>Kevin Crockett</t>
  </si>
  <si>
    <t>Kevin.Crockett@ks.gov</t>
  </si>
  <si>
    <t>Toad Toter + Laptops</t>
  </si>
  <si>
    <t>$7,500 in cash and $35,000 in laptop donation</t>
  </si>
  <si>
    <t>Coloring Contest</t>
  </si>
  <si>
    <t>8 total VIT passes + work with DKM to produce a 60 second TSD commercial.</t>
  </si>
  <si>
    <t>4.7.25; 8/8/25</t>
  </si>
  <si>
    <t>Toads on the Road</t>
  </si>
  <si>
    <t xml:space="preserve">Invoice NOW. We need to receive payment one month prior to the start of school visits. Will want booth space+car at festvial + ability to take car to each school. Let's make sure we are very careful how we promote this with Crain being a presenting sponsor. </t>
  </si>
  <si>
    <t xml:space="preserve">Michael will handle billing, but we need to include him and the managers at all locations on festival communication. Please ask Michael who those managers are to make sure we have current information. </t>
  </si>
  <si>
    <t>Michael Lindsey</t>
  </si>
  <si>
    <t>michael.lindsey@walmart.com</t>
  </si>
  <si>
    <t>Plus $1,000 in-kind for production</t>
  </si>
  <si>
    <t>8/8/2025, 10/22/25</t>
  </si>
  <si>
    <t>Tinkerfest Acts</t>
  </si>
  <si>
    <t>Toadally Outdoors</t>
  </si>
  <si>
    <t>Nature Photo Contest</t>
  </si>
  <si>
    <t>Casting Contest</t>
  </si>
  <si>
    <t>Virtual Fishing Tournament</t>
  </si>
  <si>
    <t>Spence Griffith</t>
  </si>
  <si>
    <t>Activity</t>
  </si>
  <si>
    <t>UACCM Scholarships</t>
  </si>
  <si>
    <t>National Merit</t>
  </si>
  <si>
    <t>Check w/Brad, but I'm sure they want to remain anonymous. Please send all invoices to ap@tritechne.com  and Kara.Turner@tritechne.com</t>
  </si>
  <si>
    <t>Dolly Parton Imagination</t>
  </si>
  <si>
    <t>ARcare Foundation</t>
  </si>
  <si>
    <t>Faulkner County Library Summer Lunch Program + Pantry Drive</t>
  </si>
  <si>
    <t xml:space="preserve">See sponsor deliverables on the shared drive. </t>
  </si>
  <si>
    <t xml:space="preserve">5.21.25 </t>
  </si>
  <si>
    <t>WELCOME TO CONWAY BOX</t>
  </si>
  <si>
    <t>Conway+ Advertisers</t>
  </si>
  <si>
    <t>C+ Advertiser</t>
  </si>
  <si>
    <t>2 inserts: one for each dealership</t>
  </si>
  <si>
    <t>Reynolds Performance Hall</t>
  </si>
  <si>
    <t>9/24/2025, 11/24/25</t>
  </si>
  <si>
    <t>wsparks2@uca.edu</t>
  </si>
  <si>
    <t>St. Joesph School</t>
  </si>
  <si>
    <t>David Stobaugh</t>
  </si>
  <si>
    <t>david@stobys.com</t>
  </si>
  <si>
    <t>Advertisers</t>
  </si>
  <si>
    <t>Liz Smith Starr (billing)</t>
  </si>
  <si>
    <t>kayla.McKinney@rockdentalbrands.com</t>
  </si>
  <si>
    <t>Share the Love Kids Club</t>
  </si>
  <si>
    <t>Brandi Horton</t>
  </si>
  <si>
    <t>Brandihorton113@gmail.com</t>
  </si>
  <si>
    <t>WOMEN IN BUSINESS</t>
  </si>
  <si>
    <t xml:space="preserve">1st Employment </t>
  </si>
  <si>
    <t>Diamond</t>
  </si>
  <si>
    <t xml:space="preserve">Rhea Lana's </t>
  </si>
  <si>
    <t>Rhea Lana Riner, Hannah Johnson, Erin Franklin, Amanda Birdsong, Riley Norman</t>
  </si>
  <si>
    <t>rhealana@rhealana.com; hannahjohnson@rhealana.com; erin@rhealana.com; erin@rhealana.com; rileynorman@rhealana.com</t>
  </si>
  <si>
    <t>The Big Reveal</t>
  </si>
  <si>
    <t>They will also provide one piece of jewelry for the Diamond winner</t>
  </si>
  <si>
    <t>sonya@sissyslogcabin.com</t>
  </si>
  <si>
    <t>Legacy</t>
  </si>
  <si>
    <t>16 tickets</t>
  </si>
  <si>
    <t>Caroll Jo Malloy</t>
  </si>
  <si>
    <t>Brooks Fine Jewelry</t>
  </si>
  <si>
    <t>Douglas Brawwell</t>
  </si>
  <si>
    <t>Gift Provider</t>
  </si>
  <si>
    <t xml:space="preserve">Will also provide 6-8 comped Sam's Club memberships for honorees. </t>
  </si>
  <si>
    <t>501-229-0657</t>
  </si>
  <si>
    <t>11.13.25</t>
  </si>
  <si>
    <t>11/13/25 GB</t>
  </si>
  <si>
    <t>Opening Reception</t>
  </si>
  <si>
    <t>Coreaesthetix</t>
  </si>
  <si>
    <t>Gift Bag/Box</t>
  </si>
  <si>
    <t xml:space="preserve">Susan wants to do a giftbox with goodies inside, special gift for all honorees and maybe something bigger for the diamond. Will need to confirm gift with honoree.  </t>
  </si>
  <si>
    <t>Susan Isom</t>
  </si>
  <si>
    <t>si@conwaycorp.net</t>
  </si>
  <si>
    <t>Powder Room</t>
  </si>
  <si>
    <t>Gift Bag</t>
  </si>
  <si>
    <t xml:space="preserve">Will provide free bundt cake coupons for gift bags. </t>
  </si>
  <si>
    <t>Will provide gift for bags.</t>
  </si>
  <si>
    <t>Group Package</t>
  </si>
  <si>
    <t xml:space="preserve">UCA Foundation </t>
  </si>
  <si>
    <t>HCJ CPA and Advisors</t>
  </si>
  <si>
    <t>Main Street Media</t>
  </si>
  <si>
    <t>8/20/2025, 11/4/25</t>
  </si>
  <si>
    <t>Molly Ward</t>
  </si>
  <si>
    <t>Individual Tickets</t>
  </si>
  <si>
    <t>Rachel Weaver</t>
  </si>
  <si>
    <t>Restoraton Health</t>
  </si>
  <si>
    <t>2 tickets comped</t>
  </si>
  <si>
    <t>Josh Reeves</t>
  </si>
  <si>
    <t>drjosh@rhlittlerock.com</t>
  </si>
  <si>
    <t>11.18.25</t>
  </si>
  <si>
    <t>11/21/2025 GB</t>
  </si>
  <si>
    <t>liv.wilson@piroofing.com</t>
  </si>
  <si>
    <t>Jenifer Boyette</t>
  </si>
  <si>
    <t>jboyete@uca.edu</t>
  </si>
  <si>
    <t>Step-N-2 Fitness</t>
  </si>
  <si>
    <t>11.24.25</t>
  </si>
  <si>
    <t>Vicki Sullivan</t>
  </si>
  <si>
    <t>vsullivan@weaverbailey.com</t>
  </si>
  <si>
    <t>United Pro Cleaners</t>
  </si>
  <si>
    <t>Women's Leadership Network</t>
  </si>
  <si>
    <t>MEMBER</t>
  </si>
  <si>
    <t>BUSINESS EXPO &amp; TASTE</t>
  </si>
  <si>
    <t xml:space="preserve">CATFISH &amp; COLD ONES </t>
  </si>
  <si>
    <t>CONWAY AREA HEALTHCARE</t>
  </si>
  <si>
    <t>HAPPY BDAY CONWAY</t>
  </si>
  <si>
    <t>PIPELINE</t>
  </si>
  <si>
    <t>ONLINE</t>
  </si>
  <si>
    <t>TEACHER BKF</t>
  </si>
  <si>
    <t>CDP</t>
  </si>
  <si>
    <t>CDC</t>
  </si>
  <si>
    <t>CHAMBER</t>
  </si>
  <si>
    <t>MISC</t>
  </si>
  <si>
    <t>Arkansas Complete Technology and Security</t>
  </si>
  <si>
    <t>Arkansas Network Experts</t>
  </si>
  <si>
    <t xml:space="preserve">Arkansas Secretary of State </t>
  </si>
  <si>
    <t>Boston Mountain Rual Health Center</t>
  </si>
  <si>
    <t>Bradford Fence</t>
  </si>
  <si>
    <t>Clayton Home Building Group</t>
  </si>
  <si>
    <t>Coldwell Banker RPM: Lori Quinn</t>
  </si>
  <si>
    <t>Community Service Inc.</t>
  </si>
  <si>
    <t>Conway Closers</t>
  </si>
  <si>
    <t>Crist Engineers</t>
  </si>
  <si>
    <t>CrossCreek Sandwich Shop</t>
  </si>
  <si>
    <t>Dr. Anthony and Hanna Manning / Conway Regional Surgical Associates, Dr. Anthony Manning</t>
  </si>
  <si>
    <t>Eagle Bank &amp; Trust</t>
  </si>
  <si>
    <t>Engage Management + Salter Construction</t>
  </si>
  <si>
    <t>Eric Rob Isaac</t>
  </si>
  <si>
    <t>eXp Realty, Samantha Newman</t>
  </si>
  <si>
    <t>Faulkner County Board of Realtors</t>
  </si>
  <si>
    <t>First Arkansas Bank and Trust</t>
  </si>
  <si>
    <t>Home Insead Senior Care</t>
  </si>
  <si>
    <t>Insight Rehab</t>
  </si>
  <si>
    <t>Kids ABA Services</t>
  </si>
  <si>
    <t>La Pista, Don Pepes, Los 3 Potrillos</t>
  </si>
  <si>
    <t>Lost 40</t>
  </si>
  <si>
    <t>Lumber 1</t>
  </si>
  <si>
    <t>Pinnacle Financial Advisors</t>
  </si>
  <si>
    <t>Regions Bank</t>
  </si>
  <si>
    <t>Rivendell Behavioral Hospital</t>
  </si>
  <si>
    <t>SMC Conway, A Division of Green Bay Packaging</t>
  </si>
  <si>
    <t>Smith Family Funeral Homes</t>
  </si>
  <si>
    <t>Stonebridge of Conway</t>
  </si>
  <si>
    <t>TGI Friday's</t>
  </si>
  <si>
    <t>The Givens Group</t>
  </si>
  <si>
    <t>The Misty Givens Agency</t>
  </si>
  <si>
    <t>Trinity Deveopment</t>
  </si>
  <si>
    <t>Uncle Tim's Catfish</t>
  </si>
  <si>
    <t>University of Central Arkansas Athletics</t>
  </si>
  <si>
    <t>Weaver -Bailey Contractors</t>
  </si>
  <si>
    <t>DATE</t>
  </si>
  <si>
    <t>% TO GOAL</t>
  </si>
  <si>
    <t>EVENT</t>
  </si>
  <si>
    <t>2025 COLLECTIONS TO DATE</t>
  </si>
  <si>
    <t>Academic Signing Day</t>
  </si>
  <si>
    <t>Annual Meeting</t>
  </si>
  <si>
    <t>Baggo for Business</t>
  </si>
  <si>
    <t xml:space="preserve">Biketoberfest </t>
  </si>
  <si>
    <t>Bowling for Business</t>
  </si>
  <si>
    <t>Business Expo &amp; Taste of Conway</t>
  </si>
  <si>
    <t>Catfish &amp; Cold Ones</t>
  </si>
  <si>
    <t>CEO Luncheons</t>
  </si>
  <si>
    <t>Conway Area Health Care Awards</t>
  </si>
  <si>
    <t>Diversity in Business</t>
  </si>
  <si>
    <t>Happy Birthday Conway</t>
  </si>
  <si>
    <t>Launch Conway</t>
  </si>
  <si>
    <t>Off the Clock</t>
  </si>
  <si>
    <t>Outlook Conway</t>
  </si>
  <si>
    <t>Teacher's Breakfast &amp; Education Fair</t>
  </si>
  <si>
    <t>Purple Passion</t>
  </si>
  <si>
    <t>Women in Business</t>
  </si>
  <si>
    <t>Toad Suck Daze</t>
  </si>
  <si>
    <t>Illuminate</t>
  </si>
  <si>
    <t>PUBLICATIONS</t>
  </si>
  <si>
    <t>Online Advertising</t>
  </si>
  <si>
    <t>Pulse of Conway</t>
  </si>
  <si>
    <t>Conway+</t>
  </si>
  <si>
    <t>Welcome to Conway Box</t>
  </si>
  <si>
    <t>Conway Area Chamber of Commerce</t>
  </si>
  <si>
    <t xml:space="preserve">Revenue Report: As of 12.11.25 </t>
  </si>
  <si>
    <t>2025 BUDGET</t>
  </si>
  <si>
    <t>2025 COLLECTED + COMMITTED</t>
  </si>
  <si>
    <t>EVENTS*</t>
  </si>
  <si>
    <t>TOAD SUCK DAZE/ILLUMINATE</t>
  </si>
  <si>
    <t>REVENUE</t>
  </si>
  <si>
    <t>New Chairman's Circle Investors ($7,500+)</t>
  </si>
  <si>
    <t>Total Blueprint Visits YTD</t>
  </si>
  <si>
    <t>Biketoberfest</t>
  </si>
  <si>
    <t xml:space="preserve">As of 12/11, 900 Oak Street is at 103% of the year's total revenue goal. </t>
  </si>
  <si>
    <t>Conway Area Healthcare Awards</t>
  </si>
  <si>
    <t>Off the Clock: UCA Basketball</t>
  </si>
  <si>
    <t>Off the Clock: Cold Storage</t>
  </si>
  <si>
    <t>Off the Clock: TBD</t>
  </si>
  <si>
    <t xml:space="preserve">* Total revenue numbers do not reflect year over year revenue since omitting Administrative Professional Awards from overall report in 2025. To see those numbers included refer to excel document 2024. </t>
  </si>
  <si>
    <t>2013 REVENUE</t>
  </si>
  <si>
    <t>2014 REVENUE</t>
  </si>
  <si>
    <t>2015 REVENUE</t>
  </si>
  <si>
    <t>2016 REVENUE</t>
  </si>
  <si>
    <t>2017 REVENUE</t>
  </si>
  <si>
    <t>2018 REVENUE</t>
  </si>
  <si>
    <t>2019 REVENUE</t>
  </si>
  <si>
    <t>2020 REVENUE</t>
  </si>
  <si>
    <t>2021 REVENUE</t>
  </si>
  <si>
    <t>2022 REVENUE</t>
  </si>
  <si>
    <t>2023 REVENUE</t>
  </si>
  <si>
    <t>2024 REVENUE</t>
  </si>
  <si>
    <t>2025 CURRENT</t>
  </si>
  <si>
    <t>2022 CURRENT</t>
  </si>
  <si>
    <t>2024 CURRENT</t>
  </si>
  <si>
    <t xml:space="preserve">* Total revenue numbers do not reflect year over year revenue since ommitting North Metro Business Journal, Off Campu and SL360 from overall report in 2025. To see, latest numbers refer to excel document 2024. </t>
  </si>
  <si>
    <t>CONWAY AREA LEADERSHIP INSTITUTE</t>
  </si>
  <si>
    <t>2021 CURRENT</t>
  </si>
  <si>
    <t>Sponsorships/Graduation Tables</t>
  </si>
  <si>
    <t xml:space="preserve">Conway Publications, Inc. </t>
  </si>
  <si>
    <t>Sales Report as of</t>
  </si>
  <si>
    <t>Conway+ Community Profile &amp; Resource Guide</t>
  </si>
  <si>
    <t>YTD</t>
  </si>
  <si>
    <t>BUDGET</t>
  </si>
  <si>
    <t>PERCENTAGE</t>
  </si>
  <si>
    <t>Brad</t>
  </si>
  <si>
    <t>Corey</t>
  </si>
  <si>
    <t>Jamie</t>
  </si>
  <si>
    <t>Jordan</t>
  </si>
  <si>
    <t>Leo</t>
  </si>
  <si>
    <t>Lindsay</t>
  </si>
  <si>
    <t>BLUEPRINT ACCOUNT</t>
  </si>
  <si>
    <t>SALES PERSON</t>
  </si>
  <si>
    <t>MONTH OF MTG 2025</t>
  </si>
  <si>
    <t>MET WITH</t>
  </si>
  <si>
    <t>A&amp;B Dirt Movers</t>
  </si>
  <si>
    <t>Membership Event 2024</t>
  </si>
  <si>
    <t>American Lung Association</t>
  </si>
  <si>
    <t xml:space="preserve">March </t>
  </si>
  <si>
    <t>December 2024</t>
  </si>
  <si>
    <t>Arcare</t>
  </si>
  <si>
    <t>Arkansas Elite Welding Academy</t>
  </si>
  <si>
    <t>Arkansas Tech University</t>
  </si>
  <si>
    <t xml:space="preserve">AT&amp;T </t>
  </si>
  <si>
    <t>Baptist Health Conway - Conway</t>
  </si>
  <si>
    <t>Barking Lot</t>
  </si>
  <si>
    <t>Bath Fitter</t>
  </si>
  <si>
    <t>Brick Real Estate</t>
  </si>
  <si>
    <t>Brookdale Conway</t>
  </si>
  <si>
    <t>November 2023</t>
  </si>
  <si>
    <t>Car-Mart</t>
  </si>
  <si>
    <t>Carty &amp; Company</t>
  </si>
  <si>
    <t>Central Arkansas Pest</t>
  </si>
  <si>
    <t>November 2024</t>
  </si>
  <si>
    <t xml:space="preserve">November </t>
  </si>
  <si>
    <t>Conway Marble</t>
  </si>
  <si>
    <t>Conway Regional Health System</t>
  </si>
  <si>
    <t>Cubbies Mini Storage</t>
  </si>
  <si>
    <t>Delco</t>
  </si>
  <si>
    <t>deTASO - Absolute Consulting Solutions, Inc.</t>
  </si>
  <si>
    <t>Eagle Rock Realty</t>
  </si>
  <si>
    <t>Edge Tech</t>
  </si>
  <si>
    <t>Elite Physical Therapy</t>
  </si>
  <si>
    <t>Expedition Health and Pediatrics</t>
  </si>
  <si>
    <t>First Star Exteriors LLC</t>
  </si>
  <si>
    <t>Gratus Wealth Management/Northwestern Mutual</t>
  </si>
  <si>
    <t>Hatcher Agency</t>
  </si>
  <si>
    <t>Heirloom Legal</t>
  </si>
  <si>
    <t>Hideaway Pizza</t>
  </si>
  <si>
    <t>Honda World/WinRock Automotive</t>
  </si>
  <si>
    <t>Jay Hodge Ford of Morriliton</t>
  </si>
  <si>
    <t>Johnson Controls</t>
  </si>
  <si>
    <t>JRH PROPERTIES</t>
  </si>
  <si>
    <t>Kum &amp; Go/Maverick</t>
  </si>
  <si>
    <t>LA Beauty Bar</t>
  </si>
  <si>
    <t>Lion Legal</t>
  </si>
  <si>
    <t>Log Cabin</t>
  </si>
  <si>
    <t>Loux Creative and Communication</t>
  </si>
  <si>
    <t>Mcclelland Consulting Engineers</t>
  </si>
  <si>
    <t>Mid-Ark Roofing</t>
  </si>
  <si>
    <t>Moore &amp; Co.</t>
  </si>
  <si>
    <t>Moses Tucker</t>
  </si>
  <si>
    <t>Pest Detective</t>
  </si>
  <si>
    <t>Point Remove Brewing Co.</t>
  </si>
  <si>
    <t>Prime Business Advisors</t>
  </si>
  <si>
    <t>Pro Land Title</t>
  </si>
  <si>
    <t>Renewal By Anderson</t>
  </si>
  <si>
    <t>Revolution Mortgage</t>
  </si>
  <si>
    <t>May/August</t>
  </si>
  <si>
    <t>Rising Star Boba Co.</t>
  </si>
  <si>
    <t>RPI Behavioral</t>
  </si>
  <si>
    <t>Scooters Coffee</t>
  </si>
  <si>
    <t>Seal Solar</t>
  </si>
  <si>
    <t>Shadrach’s Coffee</t>
  </si>
  <si>
    <t>Silver Filed Construction</t>
  </si>
  <si>
    <t>Sowell/Ferris Architects</t>
  </si>
  <si>
    <t>Steep Creek, LLC</t>
  </si>
  <si>
    <t>Stephen Hay Construction</t>
  </si>
  <si>
    <t>Tamra McMahon</t>
  </si>
  <si>
    <t>Therapy Monkey</t>
  </si>
  <si>
    <t>Tru Green</t>
  </si>
  <si>
    <t>Tuff Shed</t>
  </si>
  <si>
    <t>Unifirst</t>
  </si>
  <si>
    <t>Verizon Wireless</t>
  </si>
  <si>
    <t>WSW Logistics</t>
  </si>
  <si>
    <t>10 Box</t>
  </si>
  <si>
    <t>1st Employment</t>
  </si>
  <si>
    <t>5 Diamond Ranch</t>
  </si>
  <si>
    <t>5 Diamond Ranch Western Wear</t>
  </si>
  <si>
    <t>501 Coiffure Salon</t>
  </si>
  <si>
    <t>501 Therapy</t>
  </si>
  <si>
    <t>August (Jordan)</t>
  </si>
  <si>
    <t>8788 Investments</t>
  </si>
  <si>
    <t>A &amp; A Fire and Safety Company</t>
  </si>
  <si>
    <t>A Bee's Closet</t>
  </si>
  <si>
    <t>A C Sport Conversion</t>
  </si>
  <si>
    <t>ABA Kids Services</t>
  </si>
  <si>
    <t>ABC Block and Brick</t>
  </si>
  <si>
    <t>Across the Creek Coffee Break &amp; Bakes</t>
  </si>
  <si>
    <t>Addison Miller Realtor</t>
  </si>
  <si>
    <t>Air Force Duct</t>
  </si>
  <si>
    <t>Aira Fitness</t>
  </si>
  <si>
    <t>Airgas</t>
  </si>
  <si>
    <t>AJET Consulting, LLC</t>
  </si>
  <si>
    <t>Akel’s Carpet One</t>
  </si>
  <si>
    <t>Alderman Andy Hawkins</t>
  </si>
  <si>
    <t>Align Counseling</t>
  </si>
  <si>
    <t>Allied Supply Inc</t>
  </si>
  <si>
    <t>Altered by Lauren</t>
  </si>
  <si>
    <t>America's Car-Mart</t>
  </si>
  <si>
    <t>AMR Architects</t>
  </si>
  <si>
    <t>Apprenticely</t>
  </si>
  <si>
    <t>AR Home Improvements &amp; Renovations</t>
  </si>
  <si>
    <t>AR Interscholastic Cycling</t>
  </si>
  <si>
    <t>Arch Ford</t>
  </si>
  <si>
    <t>Aristotle Diagnostic Laboratories</t>
  </si>
  <si>
    <t>Arkansas Breakfast Club</t>
  </si>
  <si>
    <t>Arkansas Complete Technology Security Inc.</t>
  </si>
  <si>
    <t>Arkansas Electric Cooperatives, Inc.</t>
  </si>
  <si>
    <t>Arkansas Fitness Repair</t>
  </si>
  <si>
    <t>Arkansas Top Shield Roofing</t>
  </si>
  <si>
    <t>Arrow Plumbing</t>
  </si>
  <si>
    <t>ASAP Personel Services</t>
  </si>
  <si>
    <t>A-State Plumbing and Rooter</t>
  </si>
  <si>
    <t>Atomus Partners</t>
  </si>
  <si>
    <t>B &amp; L Drywall</t>
  </si>
  <si>
    <t>B &amp; L Home Improvement</t>
  </si>
  <si>
    <t>Baby Bumps &amp; Beyond 4D/HD Studio</t>
  </si>
  <si>
    <t>Bailey Paint Co.</t>
  </si>
  <si>
    <t>Barnes Land Development</t>
  </si>
  <si>
    <t>Bart Castleberry Mayor</t>
  </si>
  <si>
    <t>Beau Wilcox, Attorney at Law</t>
  </si>
  <si>
    <t>Bender Consulting</t>
  </si>
  <si>
    <t>BenefitsMe</t>
  </si>
  <si>
    <t>Berry &amp; Turnage PLLC</t>
  </si>
  <si>
    <t>Best Crane &amp; Rigging, Inc.</t>
  </si>
  <si>
    <t>Best Western - Laguraajswami LLC</t>
  </si>
  <si>
    <t>BHC Office Solutions</t>
  </si>
  <si>
    <t>Big Dog Homes</t>
  </si>
  <si>
    <t>Bill Lewis</t>
  </si>
  <si>
    <t>Bi-Partisan Strategies</t>
  </si>
  <si>
    <t>BLK Quarries, Inc.</t>
  </si>
  <si>
    <t>Bolton Electric and Controls Inc</t>
  </si>
  <si>
    <t>Brandon Baxter State Farm</t>
  </si>
  <si>
    <t>Bret Story Wholesale</t>
  </si>
  <si>
    <t>Brian Hutchings Concrete Construction</t>
  </si>
  <si>
    <t>Brice Contracting</t>
  </si>
  <si>
    <t>Bruce Oakley Trucking</t>
  </si>
  <si>
    <t>Bryan Brannon Webstrong Aviation</t>
  </si>
  <si>
    <t>Building &amp; Earth</t>
  </si>
  <si>
    <t>Burlington Coat Factory</t>
  </si>
  <si>
    <t>C2 Powersports/DeBoard Electronics</t>
  </si>
  <si>
    <t>Cadron Creek Financial</t>
  </si>
  <si>
    <t>Cadron Creek Veterinary Clinic</t>
  </si>
  <si>
    <t>Cadron Flats Self Storage</t>
  </si>
  <si>
    <t>Caliber Collision</t>
  </si>
  <si>
    <t>Camino Real Mexican Restaurant</t>
  </si>
  <si>
    <t>Camp Properties Maintenance</t>
  </si>
  <si>
    <t>Canopy Employment Screenings</t>
  </si>
  <si>
    <t>Card My Yard Conway</t>
  </si>
  <si>
    <t>Carter Smithson Properties</t>
  </si>
  <si>
    <t>Castillo Masonry</t>
  </si>
  <si>
    <t>CB Dirtwork</t>
  </si>
  <si>
    <t>Cedar Marketing</t>
  </si>
  <si>
    <t>Brad / Jordan</t>
  </si>
  <si>
    <t>Central Arkansas Fireplaces</t>
  </si>
  <si>
    <t>Central Arkansas Insulation</t>
  </si>
  <si>
    <t>Central Arkansas Pediatric Clinic</t>
  </si>
  <si>
    <t>Central Arkansas Waterjet Inc.</t>
  </si>
  <si>
    <t>Central Flying Academy</t>
  </si>
  <si>
    <t>Choctaw Casino</t>
  </si>
  <si>
    <t>CJS Enterprises</t>
  </si>
  <si>
    <t>Clark &amp; Twins Property Group</t>
  </si>
  <si>
    <t>Claw-Meier Holdings</t>
  </si>
  <si>
    <t>Commercial Door Solution and Supply</t>
  </si>
  <si>
    <t>Consolidated Admin Services, LLC</t>
  </si>
  <si>
    <t>Conway Convention &amp; Visitors Bureau</t>
  </si>
  <si>
    <t>Conway Country Club</t>
  </si>
  <si>
    <t>Conway Courier Service</t>
  </si>
  <si>
    <t>Conway Fitness Kickboxing</t>
  </si>
  <si>
    <t>Conway Glass</t>
  </si>
  <si>
    <t>Conway Industrial Supply</t>
  </si>
  <si>
    <t>Conway Marble &amp; Granite LLC</t>
  </si>
  <si>
    <t>Conway Public School District</t>
  </si>
  <si>
    <t>Conway Public School Foundation</t>
  </si>
  <si>
    <t>Conway Youth Wrestling Club</t>
  </si>
  <si>
    <t>Cooper Appraisal</t>
  </si>
  <si>
    <t>Craig Dunn Wealth Strategy</t>
  </si>
  <si>
    <t>Curry Pest</t>
  </si>
  <si>
    <t>Cut Above</t>
  </si>
  <si>
    <t>CWM - Campbell Wealth Management</t>
  </si>
  <si>
    <t>CWM Properties LLC</t>
  </si>
  <si>
    <t>CWP Productions LLC</t>
  </si>
  <si>
    <t>Dardanelle Regional Medical Center</t>
  </si>
  <si>
    <t>Daryl Brock Custom Homes</t>
  </si>
  <si>
    <t>DB Enterprises</t>
  </si>
  <si>
    <t>DBH Management</t>
  </si>
  <si>
    <t>Delta Grass Masters, LLC</t>
  </si>
  <si>
    <t>Dent Masters of Arkansas</t>
  </si>
  <si>
    <t>Dependable Waste Services</t>
  </si>
  <si>
    <t>Derby Property Management</t>
  </si>
  <si>
    <t>Desalvo Bottle Shop</t>
  </si>
  <si>
    <t>Diamond Pallets Inc.</t>
  </si>
  <si>
    <t>Diamondcrete Reflections</t>
  </si>
  <si>
    <t>Dobbins Floor Covering</t>
  </si>
  <si>
    <t>Dog and Hunt Supply</t>
  </si>
  <si>
    <t>Done Deal Business &amp; Real Estate 3D Tours</t>
  </si>
  <si>
    <t>Double B LLC</t>
  </si>
  <si>
    <t>Doyne Construction Company Inc.</t>
  </si>
  <si>
    <t>Dr. Brent Scroggins</t>
  </si>
  <si>
    <t>Dr. Brian McGee</t>
  </si>
  <si>
    <t>Dreams &amp; Visions Contracting &amp; Consulting</t>
  </si>
  <si>
    <t>Duke Wholesale</t>
  </si>
  <si>
    <t>Dynamic Home Protection</t>
  </si>
  <si>
    <t>Eagle Rock Contracting</t>
  </si>
  <si>
    <t>Easley Life Photography</t>
  </si>
  <si>
    <t>Echo Calls</t>
  </si>
  <si>
    <t>Edge Technology Group</t>
  </si>
  <si>
    <t>Eite Core</t>
  </si>
  <si>
    <t>Elevation Med Spa</t>
  </si>
  <si>
    <t>Elliott Custom Homes LLC</t>
  </si>
  <si>
    <t>Elliott Electric Supply</t>
  </si>
  <si>
    <t>Ellison Contractors Inc.</t>
  </si>
  <si>
    <t>EM Builders</t>
  </si>
  <si>
    <t>Empire Fitness</t>
  </si>
  <si>
    <t>Empire Pest</t>
  </si>
  <si>
    <t>Energy Air Inc.</t>
  </si>
  <si>
    <t>Engelkes, Felts &amp; Barnhardt, LTD</t>
  </si>
  <si>
    <t>Enterprise Financial Group</t>
  </si>
  <si>
    <t>Environmental Enterprise Group</t>
  </si>
  <si>
    <t>ERA TEAM Real Estate</t>
  </si>
  <si>
    <t>ERA TEAM, Leah Brown</t>
  </si>
  <si>
    <t>Eric &amp; Sarah King</t>
  </si>
  <si>
    <t>Evo Business Environments</t>
  </si>
  <si>
    <t>F&amp;A Concrete Pumping</t>
  </si>
  <si>
    <t>Farm Bureau Bank</t>
  </si>
  <si>
    <t>Faulkner County Sheriff Tim Ryals</t>
  </si>
  <si>
    <t>Faulkner Plumbing &amp; Mechanical</t>
  </si>
  <si>
    <t>Feagin Wholesale</t>
  </si>
  <si>
    <t>Fence Guys LLC</t>
  </si>
  <si>
    <t>Fiddler’s Green</t>
  </si>
  <si>
    <t>First Community Financial Services</t>
  </si>
  <si>
    <t>FirstTrust Home Loans, Inc.</t>
  </si>
  <si>
    <t>Flynco</t>
  </si>
  <si>
    <t>Freedom Soap Company</t>
  </si>
  <si>
    <t>Freestone Properties LLC</t>
  </si>
  <si>
    <t>Freyaldenhoven Heating &amp; Cooling</t>
  </si>
  <si>
    <t>Fritts Construction</t>
  </si>
  <si>
    <t>Fuqua Campbell, P.A.</t>
  </si>
  <si>
    <t>Fureigh Heavy Construction</t>
  </si>
  <si>
    <t>Futrell Marine</t>
  </si>
  <si>
    <t>G &amp; S Painting</t>
  </si>
  <si>
    <t>G4L (Greek for Life)</t>
  </si>
  <si>
    <t>Game Time Wraps</t>
  </si>
  <si>
    <t>Gangluff Brothers Welding, Inc.</t>
  </si>
  <si>
    <t>GB Concessions LLC</t>
  </si>
  <si>
    <t>Genesis Endeavors, LLC</t>
  </si>
  <si>
    <t>Gingersnap Photography</t>
  </si>
  <si>
    <t>Goodnight Construction</t>
  </si>
  <si>
    <t>Goodwill</t>
  </si>
  <si>
    <t>Graham Brothers</t>
  </si>
  <si>
    <t>Gray Beard Ammo</t>
  </si>
  <si>
    <t>Greenway</t>
  </si>
  <si>
    <t>Greg &amp; Sherri Pillow</t>
  </si>
  <si>
    <t>Griffin Stoneworks</t>
  </si>
  <si>
    <t>H &amp; J Express Towing and Recovery</t>
  </si>
  <si>
    <t>H&amp;E Rentals</t>
  </si>
  <si>
    <t>Hampel Oil Dist. Inc.</t>
  </si>
  <si>
    <t>Harris Concrete</t>
  </si>
  <si>
    <t>Harris Plastering &amp; Construction</t>
  </si>
  <si>
    <t>Hathaway Group</t>
  </si>
  <si>
    <t>Haven House</t>
  </si>
  <si>
    <t>Headstones 4 Pets</t>
  </si>
  <si>
    <t>Healing Path Counciling</t>
  </si>
  <si>
    <t>Heavy Equipment Operating Academy</t>
  </si>
  <si>
    <t>High 10 Automotive Solutions</t>
  </si>
  <si>
    <t>Hill Construction</t>
  </si>
  <si>
    <t>Hippie Hounds</t>
  </si>
  <si>
    <t>Holiday Inn Express &amp; Suites Morrilton - KPKA Hospitality, LLC</t>
  </si>
  <si>
    <t>Holloway Engineering Surveying &amp; Civil Design</t>
  </si>
  <si>
    <t>Home2 Suites/Hilton Garden Inn</t>
  </si>
  <si>
    <t>Horizon Roofing and Solar</t>
  </si>
  <si>
    <t>Hospice Homecare</t>
  </si>
  <si>
    <t>Houston Davis</t>
  </si>
  <si>
    <t>Hums</t>
  </si>
  <si>
    <t>Hunny Firewood &amp; Tree</t>
  </si>
  <si>
    <t>I-40 Storage</t>
  </si>
  <si>
    <t>IK Network Solutions</t>
  </si>
  <si>
    <t>Imperative Chemical Partners</t>
  </si>
  <si>
    <t>Infinity Design &amp; Creations LLC</t>
  </si>
  <si>
    <t>Insight Engineering</t>
  </si>
  <si>
    <t>Intellitrans</t>
  </si>
  <si>
    <t>International Fire Protection</t>
  </si>
  <si>
    <t>Jack / Corey</t>
  </si>
  <si>
    <t>IRON Muscle &amp; Fitness</t>
  </si>
  <si>
    <t>IT Associates</t>
  </si>
  <si>
    <t>James A Rogers Excavating</t>
  </si>
  <si>
    <t>James Wyre II, Attorney at Law</t>
  </si>
  <si>
    <t>Jason Everrett - Globelife</t>
  </si>
  <si>
    <t>Jazzercise of Conway</t>
  </si>
  <si>
    <t>JCI Construction</t>
  </si>
  <si>
    <t>JD Property Management</t>
  </si>
  <si>
    <t>JDB Plumbing</t>
  </si>
  <si>
    <t>Jenny Parsons Camps &amp; Clinics LLC</t>
  </si>
  <si>
    <t>Jones AUR</t>
  </si>
  <si>
    <t>JTH Agencies</t>
  </si>
  <si>
    <t>Junk It</t>
  </si>
  <si>
    <t>Kayle Browning</t>
  </si>
  <si>
    <t>KB Contracting Solutions LLC</t>
  </si>
  <si>
    <t>Keeping the Vibes Frixology Bartending Services</t>
  </si>
  <si>
    <t>KellCo Custom Homes Inc.</t>
  </si>
  <si>
    <t>KellCo Real Estate Inc.</t>
  </si>
  <si>
    <t>Kids Source Therapy</t>
  </si>
  <si>
    <t>King Care Painting &amp; Construction</t>
  </si>
  <si>
    <t>KM Productions Company</t>
  </si>
  <si>
    <t>KNP LLC Custom Painting</t>
  </si>
  <si>
    <t>Kroger</t>
  </si>
  <si>
    <t>L.ove A.lways Beauty Bar, LLC</t>
  </si>
  <si>
    <t>Lane Family Dentistry</t>
  </si>
  <si>
    <t>Lasley Heating &amp; Air Conditioning</t>
  </si>
  <si>
    <t>Laura Gerstner</t>
  </si>
  <si>
    <t>Layne's of Arkansas</t>
  </si>
  <si>
    <t>Level 7 Chemical</t>
  </si>
  <si>
    <t>Level Ground Coffee</t>
  </si>
  <si>
    <t>Lifeword Broadcast Ministries, Inc.</t>
  </si>
  <si>
    <t>Little Rock Fence Co., Inc</t>
  </si>
  <si>
    <t>Little Rock Winnelson</t>
  </si>
  <si>
    <t>LMG Electric LLC</t>
  </si>
  <si>
    <t>Lost Pizza Co. of Conway</t>
  </si>
  <si>
    <t>LTD Connect</t>
  </si>
  <si>
    <t>Luke Brownd - Morgan Stanley Financial Advisor</t>
  </si>
  <si>
    <t>Luke Irving</t>
  </si>
  <si>
    <t>Luyet Heating and Cooling</t>
  </si>
  <si>
    <t>M and M Flooring LLC</t>
  </si>
  <si>
    <t>M5 Pressure Washing</t>
  </si>
  <si>
    <t>Mac Flight</t>
  </si>
  <si>
    <t>Maly Entertainment</t>
  </si>
  <si>
    <t>Mark Mclarty Ford</t>
  </si>
  <si>
    <t>Marlee's Smile Foundation</t>
  </si>
  <si>
    <t>Massey Mechanical</t>
  </si>
  <si>
    <t>Matt Black Agency</t>
  </si>
  <si>
    <t>Mauldin Heat and Air</t>
  </si>
  <si>
    <t>Max Foote Constuction Co. LLC</t>
  </si>
  <si>
    <t>McCauley Services</t>
  </si>
  <si>
    <t>McConnell Anesthesia Group PLLC</t>
  </si>
  <si>
    <t>McGuinn Tax &amp; Consulting</t>
  </si>
  <si>
    <t>Meadows Ford</t>
  </si>
  <si>
    <t>Meineke Car Care</t>
  </si>
  <si>
    <t>Merrill Lynch Wealth Management - Jonathan Chance</t>
  </si>
  <si>
    <t>Miah Millam Interiors dba Sage and Stone Homes</t>
  </si>
  <si>
    <t>Middleton Heat &amp; Air</t>
  </si>
  <si>
    <t>Mid-State Sewer and Drain</t>
  </si>
  <si>
    <t>Mike Gowen Mechanical</t>
  </si>
  <si>
    <t>Milan Laser</t>
  </si>
  <si>
    <t>Minton Law Firm</t>
  </si>
  <si>
    <t>Mitchell's Park Street Pharmacy</t>
  </si>
  <si>
    <t>MK Distributors</t>
  </si>
  <si>
    <t>Nabholz Health and Wellness</t>
  </si>
  <si>
    <t>Nabholz Millwork</t>
  </si>
  <si>
    <t>Navvis Healthcare</t>
  </si>
  <si>
    <t>New Path</t>
  </si>
  <si>
    <t>Newk's Eatery</t>
  </si>
  <si>
    <t>Next Step Innovation</t>
  </si>
  <si>
    <t>Nick Wenger Designs</t>
  </si>
  <si>
    <t>Nova Aesthetics</t>
  </si>
  <si>
    <t>NWA - Cousins Office Furniture</t>
  </si>
  <si>
    <t>Oak Street Valero, LLC</t>
  </si>
  <si>
    <t>Oakcrest Wealth Management</t>
  </si>
  <si>
    <t>Oaklawn</t>
  </si>
  <si>
    <t>Olsen Sprinkler Inc.</t>
  </si>
  <si>
    <t>On-Track Therapy</t>
  </si>
  <si>
    <t>Pearcy Landscape Service</t>
  </si>
  <si>
    <t>Pediatric Therapy &amp; Lactation</t>
  </si>
  <si>
    <t>Performance Tax Group &amp; Financial Services</t>
  </si>
  <si>
    <t>Personalized Bottle Water Inc.</t>
  </si>
  <si>
    <t>Phi Beta Sigma Fraternity Inc./Lambda Gamma Sigma Chapter</t>
  </si>
  <si>
    <t>Phillip Lewis Engineering, INC</t>
  </si>
  <si>
    <t>Piraino</t>
  </si>
  <si>
    <t>Pix by L &amp; Co.</t>
  </si>
  <si>
    <t>Polk Tree Service</t>
  </si>
  <si>
    <t>Popular</t>
  </si>
  <si>
    <t>Portofino's Italian Restaurant</t>
  </si>
  <si>
    <t>Powers of Arkansas</t>
  </si>
  <si>
    <t>Premium Siding Supply LLC</t>
  </si>
  <si>
    <t>Pristine Power Clean</t>
  </si>
  <si>
    <t>Pro Chem Inc.</t>
  </si>
  <si>
    <t>Prosperity With Purpose Podcast/Certified Christian Business Coach and Holistic Health Advocate</t>
  </si>
  <si>
    <t>Quality Design Construction</t>
  </si>
  <si>
    <t>Rapid Rental Cars</t>
  </si>
  <si>
    <t>Ratliff Properties</t>
  </si>
  <si>
    <t>RBM Construction Services</t>
  </si>
  <si>
    <t>Re/max Elite - Tracy Thomas</t>
  </si>
  <si>
    <t>RE/MAX Elite, Lou Zamora</t>
  </si>
  <si>
    <t>Reliance Heating and Cooling</t>
  </si>
  <si>
    <t>Rhodes Construction Services</t>
  </si>
  <si>
    <t>Ricochet Outdoors</t>
  </si>
  <si>
    <t>Rise Counseling &amp; Diagnostics</t>
  </si>
  <si>
    <t>River Town Pawn</t>
  </si>
  <si>
    <t>Robinson Backhoe &amp; Dozer</t>
  </si>
  <si>
    <t>Roger L. Quattlebaum Inc.</t>
  </si>
  <si>
    <t>Rotnei Clarke State Farm</t>
  </si>
  <si>
    <t>Roundabout Pools</t>
  </si>
  <si>
    <t>Ruffin &amp; Associates</t>
  </si>
  <si>
    <t>Rush Harding</t>
  </si>
  <si>
    <t>S7 Tactical</t>
  </si>
  <si>
    <t>SafeWay Tax Services</t>
  </si>
  <si>
    <t>Scherrey Wealth Management</t>
  </si>
  <si>
    <t>SCM Architects</t>
  </si>
  <si>
    <t>Seeds of Love thru Seeds of Faith</t>
  </si>
  <si>
    <t>Shadrach's</t>
  </si>
  <si>
    <t>Shane Henry &amp; Associates</t>
  </si>
  <si>
    <t>Shearer Plumbing</t>
  </si>
  <si>
    <t>Shettles Surveying &amp; Consulting, PLLC</t>
  </si>
  <si>
    <t>Shofner Properties, LLC</t>
  </si>
  <si>
    <t>Sims Electric, LLC</t>
  </si>
  <si>
    <t>Sister Blends, LLC</t>
  </si>
  <si>
    <t>Smoke N Bones Inc.</t>
  </si>
  <si>
    <t xml:space="preserve">Snap-on </t>
  </si>
  <si>
    <t>Snell Prosthetics</t>
  </si>
  <si>
    <t>Sound Extractions</t>
  </si>
  <si>
    <t>Spah AH</t>
  </si>
  <si>
    <t>SRW Construction Services, Inc.</t>
  </si>
  <si>
    <t>Staley Glass Company</t>
  </si>
  <si>
    <t>State Farm Insurance-Marty Faggetti</t>
  </si>
  <si>
    <t>Steel Rhino Construction</t>
  </si>
  <si>
    <t>Stellar Interiors</t>
  </si>
  <si>
    <t>Step-N-2 Fitness &amp; More</t>
  </si>
  <si>
    <t>Sterling Imageworks Photography and Rock Town Media</t>
  </si>
  <si>
    <t>Steven Reynolds</t>
  </si>
  <si>
    <t>Stevenson Heating &amp; Cooling</t>
  </si>
  <si>
    <t>Stiefvater Plumbing</t>
  </si>
  <si>
    <t>Stifel Investments</t>
  </si>
  <si>
    <t>Stockton Mortgage</t>
  </si>
  <si>
    <t>Storybook Renovations</t>
  </si>
  <si>
    <t>Superior Automotive Group</t>
  </si>
  <si>
    <t>Superior Health Rehab</t>
  </si>
  <si>
    <t>SWEAP Connections</t>
  </si>
  <si>
    <t>TAAG Mortgage</t>
  </si>
  <si>
    <t>Tally Energy</t>
  </si>
  <si>
    <t>Taneja Marketing Group</t>
  </si>
  <si>
    <t>Taylor King Law</t>
  </si>
  <si>
    <t>TBF Sanitation</t>
  </si>
  <si>
    <t>Tchase Healthcare</t>
  </si>
  <si>
    <t>Techline</t>
  </si>
  <si>
    <t>TEKsystems</t>
  </si>
  <si>
    <t>Tempus Realty Partners</t>
  </si>
  <si>
    <t>Terrill Alston</t>
  </si>
  <si>
    <t>The Carpet Center, Inc.</t>
  </si>
  <si>
    <t>The Goddard School</t>
  </si>
  <si>
    <t>The Kitchen Store</t>
  </si>
  <si>
    <t>The Summit Church - Conway</t>
  </si>
  <si>
    <t>Thompson Construction Services</t>
  </si>
  <si>
    <t>Three Poppies</t>
  </si>
  <si>
    <t>Tim Donar: Arkansas Aerial Media</t>
  </si>
  <si>
    <t>Toad Suck Harley Davidson</t>
  </si>
  <si>
    <t>Toasts in Tow</t>
  </si>
  <si>
    <t>Travelers Corporate Housing</t>
  </si>
  <si>
    <t>Triple Diamond Gutter</t>
  </si>
  <si>
    <t>Tropical Smoothie Cafe</t>
  </si>
  <si>
    <t>Ty Miller / Jeremy Riddle</t>
  </si>
  <si>
    <t>Tyson Overman Properties</t>
  </si>
  <si>
    <t>U.S. Bank</t>
  </si>
  <si>
    <t>UAMS Career Pathways &amp; Workforce Department</t>
  </si>
  <si>
    <t>UCA Girls Soccer Academy</t>
  </si>
  <si>
    <t>VA Hospital</t>
  </si>
  <si>
    <t>Valley Plating Works</t>
  </si>
  <si>
    <t>Varsity Coolers</t>
  </si>
  <si>
    <t>Verona Italian Restaurant</t>
  </si>
  <si>
    <t>Victoria Stender, Realtor®️, Century 21 Parker &amp; Scroggins Realty</t>
  </si>
  <si>
    <t>VIP Nails</t>
  </si>
  <si>
    <t>Visoncare Arkansas</t>
  </si>
  <si>
    <t>WAB Venture</t>
  </si>
  <si>
    <t>Wahrmund Farms</t>
  </si>
  <si>
    <t>Warriors Construction LLC</t>
  </si>
  <si>
    <t>Wayne Smith Trucking</t>
  </si>
  <si>
    <t>Wessel Brothers Foundation Drilling Co., Inc.</t>
  </si>
  <si>
    <t>West End Cigars of Conway</t>
  </si>
  <si>
    <t>West Tree Service</t>
  </si>
  <si>
    <t>Westside Christian Academy</t>
  </si>
  <si>
    <t>Wheetley Flooring &amp; Demo</t>
  </si>
  <si>
    <t>White Cap Construction Supply</t>
  </si>
  <si>
    <t>Whites Cabling</t>
  </si>
  <si>
    <t>Wilcox Valley Farms LLC</t>
  </si>
  <si>
    <t>Will's Turf and Lawn Services</t>
  </si>
  <si>
    <t>Wilson Auctioneers - Pete Guerin Auctioneer</t>
  </si>
  <si>
    <t>Wilson Heating &amp; Cooling, LLC</t>
  </si>
  <si>
    <t>Windgate Museum of Art</t>
  </si>
  <si>
    <t>Woosley Gaming Advisors LLC</t>
  </si>
  <si>
    <t>Worms Seamless Aluminum Guttering</t>
  </si>
  <si>
    <t>Your Chamber Connection</t>
  </si>
  <si>
    <t>Your Favorite Wealth Strategist</t>
  </si>
  <si>
    <t>G6 Security</t>
  </si>
  <si>
    <t>Acme Brick</t>
  </si>
  <si>
    <t>COMPED M2Ms</t>
  </si>
  <si>
    <t>2026: Rhea Lana's waive 2 emails</t>
  </si>
  <si>
    <t>Abbie Kent</t>
  </si>
  <si>
    <t>hannahjohnson@rhealana.com</t>
  </si>
  <si>
    <t xml:space="preserve">Jennifer Boyett </t>
  </si>
  <si>
    <t>Shaneil Ealy</t>
  </si>
  <si>
    <t>shaneil@wlnarkansas.org</t>
  </si>
  <si>
    <t>UCA Public  Appearances</t>
  </si>
  <si>
    <t>Diamond Level</t>
  </si>
  <si>
    <t>$70,000+</t>
  </si>
  <si>
    <t>$40,000-$70,000</t>
  </si>
  <si>
    <t>$20,000-$40,000</t>
  </si>
  <si>
    <t>$10,000-$20,000</t>
  </si>
  <si>
    <t>Bronze</t>
  </si>
  <si>
    <t>$7,500-$10,000</t>
  </si>
  <si>
    <t>LEVEL</t>
  </si>
  <si>
    <t>Acxiom Corporation</t>
  </si>
  <si>
    <t>Baptist Health Medical Center  - Conway</t>
  </si>
  <si>
    <t>Virco Manufacturing</t>
  </si>
  <si>
    <t>Covington Properties</t>
  </si>
  <si>
    <t>Little Rock Signs - Conway Signs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</si>
</sst>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quot;$&quot;#,##0.00;[Red]&quot;$&quot;#,##0.00"/>
    <numFmt numFmtId="165" formatCode="#,##0.00;[Red]#,##0.00"/>
    <numFmt numFmtId="166" formatCode="m/d/yy;@"/>
    <numFmt numFmtId="167" formatCode="_([$$-409]* #,##0.00_);_([$$-409]* \(#,##0.00\);_([$$-409]* &quot;-&quot;??_);_(@_)"/>
  </numFmts>
  <fonts count="26"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rgb="FFFF0000"/>
      <name val="Aptos Narrow"/>
      <family val="2"/>
      <scheme val="minor"/>
    </font>
    <font>
      <sz val="11"/>
      <color theme="0"/>
      <name val="Aptos Narrow"/>
      <family val="2"/>
      <scheme val="minor"/>
    </font>
    <font>
      <sz val="11"/>
      <color rgb="FF000000"/>
      <name val="Aptos Narrow"/>
      <family val="2"/>
      <scheme val="minor"/>
    </font>
    <font>
      <b/>
      <sz val="11"/>
      <name val="Aptos Narrow"/>
      <family val="2"/>
      <scheme val="minor"/>
    </font>
    <font>
      <sz val="11"/>
      <color rgb="FF000000"/>
      <name val="Calibri"/>
      <family val="2"/>
    </font>
    <font>
      <sz val="11"/>
      <name val="Aptos Narrow"/>
      <family val="2"/>
      <scheme val="minor"/>
    </font>
    <font>
      <b/>
      <sz val="9"/>
      <color indexed="81"/>
      <name val="Tahoma"/>
      <family val="2"/>
    </font>
    <font>
      <sz val="9"/>
      <color indexed="81"/>
      <name val="Tahoma"/>
      <family val="2"/>
    </font>
    <font>
      <u/>
      <sz val="11"/>
      <color theme="10"/>
      <name val="Aptos Narrow"/>
      <family val="2"/>
      <scheme val="minor"/>
    </font>
    <font>
      <sz val="11"/>
      <color theme="1"/>
      <name val="Aptos Narrow"/>
      <family val="2"/>
    </font>
    <font>
      <sz val="12"/>
      <color theme="1"/>
      <name val="Aptos"/>
      <family val="2"/>
    </font>
    <font>
      <sz val="11"/>
      <color rgb="FF000000"/>
      <name val="Aptos Narrow"/>
      <family val="2"/>
    </font>
    <font>
      <sz val="11"/>
      <color rgb="FF333333"/>
      <name val="Arial"/>
      <family val="2"/>
    </font>
    <font>
      <sz val="11"/>
      <color theme="1"/>
      <name val="Aptos Narrow"/>
      <family val="2"/>
      <scheme val="minor"/>
    </font>
    <font>
      <sz val="11"/>
      <color rgb="FFFF0000"/>
      <name val="Aptos Narrow"/>
      <family val="2"/>
      <scheme val="minor"/>
    </font>
    <font>
      <sz val="11"/>
      <color rgb="FFFF0000"/>
      <name val="Calibri"/>
      <family val="2"/>
    </font>
    <font>
      <sz val="11"/>
      <name val="Calibri"/>
      <family val="2"/>
    </font>
    <font>
      <sz val="11"/>
      <color theme="1"/>
      <name val="Aptos"/>
      <family val="2"/>
    </font>
    <font>
      <sz val="12"/>
      <color theme="1"/>
      <name val="Calibri"/>
      <family val="2"/>
    </font>
    <font>
      <sz val="11.5"/>
      <color theme="1"/>
      <name val="Calibri"/>
      <family val="2"/>
    </font>
    <font>
      <b/>
      <sz val="11.5"/>
      <color theme="1"/>
      <name val="Calibri"/>
      <family val="2"/>
    </font>
    <font>
      <sz val="11"/>
      <color theme="1"/>
      <name val="Calibri"/>
      <family val="2"/>
    </font>
    <font>
      <sz val="12"/>
      <color rgb="FF000000"/>
      <name val="Aptos"/>
      <family val="2"/>
    </font>
  </fonts>
  <fills count="9">
    <fill>
      <patternFill patternType="none"/>
    </fill>
    <fill>
      <patternFill patternType="gray125"/>
    </fill>
    <fill>
      <patternFill patternType="solid">
        <fgColor theme="1"/>
        <bgColor indexed="6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EE0000"/>
        <bgColor indexed="64"/>
      </patternFill>
    </fill>
    <fill>
      <patternFill patternType="solid">
        <fgColor theme="5"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11" fillId="0" borderId="0" applyNumberFormat="0" applyFill="0" applyBorder="0" applyAlignment="0" applyProtection="0"/>
    <xf numFmtId="9" fontId="16" fillId="0" borderId="0" applyFont="0" applyFill="0" applyBorder="0" applyAlignment="0" applyProtection="0"/>
    <xf numFmtId="44" fontId="16" fillId="0" borderId="0" applyFont="0" applyFill="0" applyBorder="0" applyAlignment="0" applyProtection="0"/>
  </cellStyleXfs>
  <cellXfs count="288">
    <xf numFmtId="0" fontId="0" fillId="0" borderId="0" xfId="0"/>
    <xf numFmtId="0" fontId="2" fillId="0" borderId="0" xfId="0" applyFont="1"/>
    <xf numFmtId="0" fontId="1" fillId="2" borderId="0" xfId="0" applyFont="1" applyFill="1"/>
    <xf numFmtId="164" fontId="2" fillId="0" borderId="0" xfId="0" applyNumberFormat="1" applyFont="1"/>
    <xf numFmtId="0" fontId="3"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164" fontId="2" fillId="0" borderId="0" xfId="0" applyNumberFormat="1" applyFont="1" applyAlignment="1">
      <alignment vertical="top" wrapText="1"/>
    </xf>
    <xf numFmtId="0" fontId="1" fillId="2" borderId="1" xfId="0" applyFont="1" applyFill="1" applyBorder="1" applyAlignment="1">
      <alignment vertical="top" wrapText="1"/>
    </xf>
    <xf numFmtId="0" fontId="0" fillId="0" borderId="1" xfId="0" applyBorder="1" applyAlignment="1">
      <alignment vertical="top" wrapText="1"/>
    </xf>
    <xf numFmtId="164" fontId="0" fillId="0" borderId="1" xfId="0" applyNumberFormat="1" applyBorder="1" applyAlignment="1">
      <alignment vertical="top" wrapText="1"/>
    </xf>
    <xf numFmtId="0" fontId="1" fillId="3" borderId="0" xfId="0" applyFont="1" applyFill="1" applyAlignment="1">
      <alignment vertical="top" wrapText="1"/>
    </xf>
    <xf numFmtId="0" fontId="1" fillId="2" borderId="0" xfId="0" applyFont="1" applyFill="1" applyAlignment="1">
      <alignment vertical="top" wrapText="1"/>
    </xf>
    <xf numFmtId="165" fontId="3" fillId="0" borderId="0" xfId="0" applyNumberFormat="1" applyFont="1" applyAlignment="1">
      <alignment vertical="top" wrapText="1"/>
    </xf>
    <xf numFmtId="49" fontId="3" fillId="0" borderId="0" xfId="0" applyNumberFormat="1" applyFont="1" applyAlignment="1">
      <alignment horizontal="right" vertical="top" wrapText="1"/>
    </xf>
    <xf numFmtId="165" fontId="0" fillId="0" borderId="0" xfId="0" applyNumberFormat="1" applyAlignment="1">
      <alignment vertical="top" wrapText="1"/>
    </xf>
    <xf numFmtId="165" fontId="2" fillId="0" borderId="0" xfId="0" applyNumberFormat="1" applyFont="1" applyAlignment="1">
      <alignment vertical="top" wrapText="1"/>
    </xf>
    <xf numFmtId="165" fontId="1" fillId="2" borderId="1" xfId="0" applyNumberFormat="1" applyFont="1" applyFill="1" applyBorder="1" applyAlignment="1">
      <alignment vertical="top" wrapText="1"/>
    </xf>
    <xf numFmtId="165" fontId="0" fillId="0" borderId="1" xfId="0" applyNumberFormat="1" applyBorder="1" applyAlignment="1">
      <alignment vertical="top" wrapText="1"/>
    </xf>
    <xf numFmtId="0" fontId="0" fillId="0" borderId="2" xfId="0" applyBorder="1" applyAlignment="1">
      <alignment vertical="top" wrapText="1"/>
    </xf>
    <xf numFmtId="164" fontId="0" fillId="0" borderId="2" xfId="0" applyNumberFormat="1" applyBorder="1" applyAlignment="1">
      <alignment vertical="top" wrapText="1"/>
    </xf>
    <xf numFmtId="164" fontId="0" fillId="0" borderId="0" xfId="0" applyNumberFormat="1" applyAlignment="1">
      <alignment vertical="top" wrapText="1"/>
    </xf>
    <xf numFmtId="4" fontId="3" fillId="0" borderId="0" xfId="0" applyNumberFormat="1" applyFont="1" applyAlignment="1">
      <alignment vertical="top" wrapText="1"/>
    </xf>
    <xf numFmtId="4" fontId="0" fillId="0" borderId="0" xfId="0" applyNumberFormat="1" applyAlignment="1">
      <alignment vertical="top" wrapText="1"/>
    </xf>
    <xf numFmtId="4" fontId="2" fillId="0" borderId="0" xfId="0" applyNumberFormat="1" applyFont="1" applyAlignment="1">
      <alignment vertical="top" wrapText="1"/>
    </xf>
    <xf numFmtId="4" fontId="2" fillId="4" borderId="0" xfId="0" applyNumberFormat="1" applyFont="1" applyFill="1" applyAlignment="1">
      <alignment vertical="top" wrapText="1"/>
    </xf>
    <xf numFmtId="4" fontId="1" fillId="2" borderId="1" xfId="0" applyNumberFormat="1" applyFont="1" applyFill="1" applyBorder="1" applyAlignment="1">
      <alignment vertical="top" wrapText="1"/>
    </xf>
    <xf numFmtId="4" fontId="0" fillId="0" borderId="1" xfId="0" applyNumberFormat="1" applyBorder="1" applyAlignment="1">
      <alignment vertical="top" wrapText="1"/>
    </xf>
    <xf numFmtId="4" fontId="0" fillId="2" borderId="0" xfId="0" applyNumberFormat="1" applyFill="1" applyAlignment="1">
      <alignment vertical="top" wrapText="1"/>
    </xf>
    <xf numFmtId="164" fontId="2" fillId="4" borderId="0" xfId="0" applyNumberFormat="1" applyFont="1" applyFill="1" applyAlignment="1">
      <alignment vertical="top" wrapText="1"/>
    </xf>
    <xf numFmtId="164" fontId="3" fillId="0" borderId="0" xfId="0" applyNumberFormat="1" applyFont="1" applyAlignment="1">
      <alignment vertical="top" wrapText="1"/>
    </xf>
    <xf numFmtId="164" fontId="1" fillId="2" borderId="1" xfId="0" applyNumberFormat="1" applyFont="1" applyFill="1" applyBorder="1" applyAlignment="1">
      <alignment vertical="top" wrapText="1"/>
    </xf>
    <xf numFmtId="0" fontId="5" fillId="0" borderId="1" xfId="0" applyFont="1" applyBorder="1" applyAlignment="1">
      <alignment vertical="top" wrapText="1"/>
    </xf>
    <xf numFmtId="0" fontId="0" fillId="2" borderId="0" xfId="0" applyFill="1"/>
    <xf numFmtId="0" fontId="0" fillId="0" borderId="1" xfId="0" applyBorder="1"/>
    <xf numFmtId="164" fontId="0" fillId="0" borderId="1" xfId="0" applyNumberFormat="1" applyBorder="1"/>
    <xf numFmtId="164" fontId="0" fillId="0" borderId="0" xfId="0" applyNumberFormat="1"/>
    <xf numFmtId="164" fontId="2" fillId="4" borderId="0" xfId="0" applyNumberFormat="1" applyFont="1" applyFill="1"/>
    <xf numFmtId="0" fontId="0" fillId="4" borderId="0" xfId="0" applyFill="1" applyAlignment="1">
      <alignment vertical="top" wrapText="1"/>
    </xf>
    <xf numFmtId="0" fontId="0" fillId="0" borderId="1" xfId="0" applyBorder="1" applyAlignment="1">
      <alignment horizontal="left" vertical="top" wrapText="1"/>
    </xf>
    <xf numFmtId="0" fontId="0" fillId="4" borderId="0" xfId="0" applyFill="1" applyAlignment="1">
      <alignment horizontal="left" vertical="top" wrapText="1"/>
    </xf>
    <xf numFmtId="164" fontId="0" fillId="4" borderId="0" xfId="0" applyNumberFormat="1" applyFill="1" applyAlignment="1">
      <alignment vertical="top" wrapText="1"/>
    </xf>
    <xf numFmtId="10" fontId="2" fillId="0" borderId="0" xfId="0" applyNumberFormat="1" applyFont="1" applyAlignment="1">
      <alignment vertical="top" wrapText="1"/>
    </xf>
    <xf numFmtId="0" fontId="0" fillId="2" borderId="0" xfId="0" applyFill="1" applyAlignment="1">
      <alignment vertical="top" wrapText="1"/>
    </xf>
    <xf numFmtId="0" fontId="4" fillId="2" borderId="0" xfId="0" applyFont="1" applyFill="1" applyAlignment="1">
      <alignment vertical="top" wrapText="1"/>
    </xf>
    <xf numFmtId="0" fontId="4" fillId="2" borderId="0" xfId="0" applyFont="1" applyFill="1" applyAlignment="1">
      <alignment horizontal="left" vertical="top" wrapText="1"/>
    </xf>
    <xf numFmtId="164" fontId="4" fillId="2" borderId="0" xfId="0" applyNumberFormat="1" applyFont="1" applyFill="1" applyAlignment="1">
      <alignment vertical="top" wrapText="1"/>
    </xf>
    <xf numFmtId="0" fontId="2" fillId="4" borderId="0" xfId="0" applyFont="1" applyFill="1" applyAlignment="1">
      <alignment vertical="top" wrapText="1"/>
    </xf>
    <xf numFmtId="0" fontId="0" fillId="4" borderId="1" xfId="0" applyFill="1" applyBorder="1" applyAlignment="1">
      <alignment vertical="top" wrapText="1"/>
    </xf>
    <xf numFmtId="0" fontId="1" fillId="2" borderId="2" xfId="0" applyFont="1" applyFill="1" applyBorder="1" applyAlignment="1">
      <alignment vertical="top" wrapText="1"/>
    </xf>
    <xf numFmtId="0" fontId="0" fillId="6" borderId="1" xfId="0"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0" fontId="1" fillId="2" borderId="6" xfId="0" applyFont="1" applyFill="1" applyBorder="1" applyAlignment="1">
      <alignment vertical="top" wrapText="1"/>
    </xf>
    <xf numFmtId="0" fontId="8" fillId="0" borderId="1" xfId="0" applyFont="1" applyBorder="1" applyAlignment="1">
      <alignment vertical="top" wrapText="1"/>
    </xf>
    <xf numFmtId="164" fontId="0" fillId="4" borderId="1" xfId="0" applyNumberFormat="1" applyFill="1" applyBorder="1" applyAlignment="1">
      <alignment vertical="top" wrapText="1"/>
    </xf>
    <xf numFmtId="0" fontId="1" fillId="0" borderId="0" xfId="0" applyFont="1" applyAlignment="1">
      <alignment vertical="top" wrapText="1"/>
    </xf>
    <xf numFmtId="0" fontId="1" fillId="2" borderId="0" xfId="0" applyFont="1" applyFill="1" applyAlignment="1">
      <alignment horizontal="left"/>
    </xf>
    <xf numFmtId="164" fontId="0" fillId="0" borderId="3" xfId="0" applyNumberFormat="1" applyBorder="1"/>
    <xf numFmtId="164" fontId="0" fillId="2" borderId="1" xfId="0" applyNumberFormat="1" applyFill="1" applyBorder="1"/>
    <xf numFmtId="0" fontId="0" fillId="2" borderId="1" xfId="0" applyFill="1" applyBorder="1"/>
    <xf numFmtId="0" fontId="0" fillId="2" borderId="3" xfId="0" applyFill="1" applyBorder="1"/>
    <xf numFmtId="164" fontId="0" fillId="2" borderId="3" xfId="0" applyNumberFormat="1" applyFill="1" applyBorder="1"/>
    <xf numFmtId="164" fontId="0" fillId="2" borderId="0" xfId="0" applyNumberFormat="1" applyFill="1"/>
    <xf numFmtId="0" fontId="2" fillId="4" borderId="1" xfId="0" applyFont="1" applyFill="1" applyBorder="1"/>
    <xf numFmtId="164" fontId="0" fillId="4" borderId="1" xfId="0" applyNumberFormat="1" applyFill="1" applyBorder="1"/>
    <xf numFmtId="164" fontId="0" fillId="4" borderId="3" xfId="0" applyNumberFormat="1" applyFill="1" applyBorder="1"/>
    <xf numFmtId="164" fontId="2" fillId="4" borderId="1" xfId="0" applyNumberFormat="1" applyFont="1" applyFill="1" applyBorder="1"/>
    <xf numFmtId="0" fontId="1" fillId="2" borderId="1" xfId="0" applyFont="1" applyFill="1" applyBorder="1"/>
    <xf numFmtId="0" fontId="0" fillId="4" borderId="1" xfId="0" applyFill="1" applyBorder="1"/>
    <xf numFmtId="10" fontId="0" fillId="0" borderId="1" xfId="0" applyNumberFormat="1" applyBorder="1"/>
    <xf numFmtId="0" fontId="1" fillId="2" borderId="1" xfId="0" applyFont="1" applyFill="1" applyBorder="1" applyAlignment="1">
      <alignment horizontal="left"/>
    </xf>
    <xf numFmtId="0" fontId="8" fillId="0" borderId="0" xfId="0" applyFont="1"/>
    <xf numFmtId="0" fontId="2" fillId="4" borderId="0" xfId="0" applyFont="1" applyFill="1"/>
    <xf numFmtId="49" fontId="0" fillId="0" borderId="1" xfId="0" applyNumberFormat="1" applyBorder="1" applyAlignment="1">
      <alignment vertical="top" wrapText="1"/>
    </xf>
    <xf numFmtId="164" fontId="0" fillId="2" borderId="2" xfId="0" applyNumberFormat="1" applyFill="1" applyBorder="1"/>
    <xf numFmtId="0" fontId="0" fillId="2" borderId="2" xfId="0" applyFill="1" applyBorder="1"/>
    <xf numFmtId="164" fontId="2" fillId="0" borderId="1" xfId="0" applyNumberFormat="1" applyFont="1" applyBorder="1"/>
    <xf numFmtId="0" fontId="6" fillId="4" borderId="0" xfId="0" applyFont="1" applyFill="1"/>
    <xf numFmtId="164" fontId="6" fillId="4" borderId="0" xfId="0" applyNumberFormat="1" applyFont="1" applyFill="1"/>
    <xf numFmtId="49" fontId="0" fillId="6" borderId="1" xfId="0" applyNumberFormat="1" applyFill="1" applyBorder="1" applyAlignment="1">
      <alignment vertical="top" wrapText="1"/>
    </xf>
    <xf numFmtId="0" fontId="11" fillId="0" borderId="0" xfId="1"/>
    <xf numFmtId="4" fontId="0" fillId="0" borderId="2" xfId="0" applyNumberFormat="1" applyBorder="1" applyAlignment="1">
      <alignment vertical="top" wrapText="1"/>
    </xf>
    <xf numFmtId="4" fontId="0" fillId="4" borderId="1" xfId="0" applyNumberFormat="1" applyFill="1" applyBorder="1" applyAlignment="1">
      <alignment vertical="top" wrapText="1"/>
    </xf>
    <xf numFmtId="165" fontId="0" fillId="4" borderId="1" xfId="0" applyNumberFormat="1" applyFill="1" applyBorder="1" applyAlignment="1">
      <alignment vertical="top" wrapText="1"/>
    </xf>
    <xf numFmtId="0" fontId="1" fillId="5" borderId="0" xfId="0" applyFont="1" applyFill="1" applyAlignment="1">
      <alignment vertical="top" wrapText="1"/>
    </xf>
    <xf numFmtId="0" fontId="11" fillId="0" borderId="0" xfId="1" applyAlignment="1">
      <alignment vertical="top" wrapText="1"/>
    </xf>
    <xf numFmtId="0" fontId="11" fillId="0" borderId="1" xfId="1" applyBorder="1" applyAlignment="1">
      <alignment vertical="top" wrapText="1"/>
    </xf>
    <xf numFmtId="0" fontId="0" fillId="2" borderId="1" xfId="0" applyFill="1" applyBorder="1" applyAlignment="1">
      <alignment vertical="top" wrapText="1"/>
    </xf>
    <xf numFmtId="0" fontId="0" fillId="6" borderId="1" xfId="0" applyFill="1" applyBorder="1" applyAlignment="1">
      <alignment horizontal="left" vertical="top" wrapText="1"/>
    </xf>
    <xf numFmtId="17" fontId="0" fillId="6" borderId="1" xfId="0" applyNumberFormat="1" applyFill="1" applyBorder="1" applyAlignment="1">
      <alignment vertical="top" wrapText="1"/>
    </xf>
    <xf numFmtId="17" fontId="0" fillId="0" borderId="1" xfId="0" applyNumberFormat="1" applyBorder="1" applyAlignment="1">
      <alignment vertical="top" wrapText="1"/>
    </xf>
    <xf numFmtId="0" fontId="11" fillId="0" borderId="1" xfId="1" applyBorder="1"/>
    <xf numFmtId="0" fontId="2" fillId="3" borderId="1" xfId="0" applyFont="1" applyFill="1" applyBorder="1" applyAlignment="1">
      <alignment horizontal="center"/>
    </xf>
    <xf numFmtId="0" fontId="2" fillId="3" borderId="1" xfId="0" applyFont="1" applyFill="1" applyBorder="1" applyAlignment="1">
      <alignment horizontal="center" vertical="top" wrapText="1"/>
    </xf>
    <xf numFmtId="0" fontId="0" fillId="0" borderId="1" xfId="0" applyBorder="1" applyAlignment="1">
      <alignment horizontal="right" vertical="top" wrapText="1"/>
    </xf>
    <xf numFmtId="0" fontId="1" fillId="3" borderId="0" xfId="0" applyFont="1" applyFill="1" applyAlignment="1">
      <alignment horizontal="center" vertical="top" wrapText="1"/>
    </xf>
    <xf numFmtId="0" fontId="6" fillId="3" borderId="0" xfId="0" applyFont="1" applyFill="1" applyAlignment="1">
      <alignment horizontal="center" vertical="top" wrapText="1"/>
    </xf>
    <xf numFmtId="0" fontId="2" fillId="0" borderId="0" xfId="0" applyFont="1" applyAlignment="1">
      <alignment horizontal="center" vertical="top" wrapText="1"/>
    </xf>
    <xf numFmtId="0" fontId="2" fillId="0" borderId="1" xfId="0" applyFont="1" applyBorder="1" applyAlignment="1">
      <alignment horizontal="center" vertical="top" wrapText="1"/>
    </xf>
    <xf numFmtId="0" fontId="2" fillId="2" borderId="0" xfId="0" applyFont="1" applyFill="1" applyAlignment="1">
      <alignment horizontal="center" vertical="top" wrapText="1"/>
    </xf>
    <xf numFmtId="0" fontId="11" fillId="0" borderId="1" xfId="1" applyBorder="1" applyAlignment="1">
      <alignment vertical="center"/>
    </xf>
    <xf numFmtId="16" fontId="0" fillId="0" borderId="1" xfId="0" applyNumberFormat="1" applyBorder="1" applyAlignment="1">
      <alignment vertical="top" wrapText="1"/>
    </xf>
    <xf numFmtId="0" fontId="0" fillId="6" borderId="1" xfId="0" applyFill="1" applyBorder="1"/>
    <xf numFmtId="165" fontId="0" fillId="4" borderId="2" xfId="0" applyNumberFormat="1" applyFill="1" applyBorder="1" applyAlignment="1">
      <alignment vertical="top" wrapText="1"/>
    </xf>
    <xf numFmtId="164" fontId="0" fillId="4" borderId="2" xfId="0" applyNumberFormat="1" applyFill="1" applyBorder="1" applyAlignment="1">
      <alignment vertical="top" wrapText="1"/>
    </xf>
    <xf numFmtId="164" fontId="0" fillId="0" borderId="8" xfId="0" applyNumberFormat="1" applyBorder="1" applyAlignment="1">
      <alignment vertical="top" wrapText="1"/>
    </xf>
    <xf numFmtId="0" fontId="2" fillId="2" borderId="0" xfId="0" applyFont="1" applyFill="1" applyAlignment="1">
      <alignment vertical="top" wrapText="1"/>
    </xf>
    <xf numFmtId="164" fontId="0" fillId="2" borderId="0" xfId="0" applyNumberFormat="1" applyFill="1" applyAlignment="1">
      <alignment vertical="top" wrapText="1"/>
    </xf>
    <xf numFmtId="166" fontId="0" fillId="0" borderId="1" xfId="0" applyNumberFormat="1" applyBorder="1" applyAlignment="1">
      <alignment vertical="top" wrapText="1"/>
    </xf>
    <xf numFmtId="49" fontId="0" fillId="0" borderId="1" xfId="0" applyNumberFormat="1" applyBorder="1"/>
    <xf numFmtId="49" fontId="0" fillId="6" borderId="1" xfId="0" applyNumberFormat="1" applyFill="1" applyBorder="1"/>
    <xf numFmtId="0" fontId="0" fillId="3" borderId="1" xfId="0" applyFill="1" applyBorder="1" applyAlignment="1">
      <alignment vertical="top" wrapText="1"/>
    </xf>
    <xf numFmtId="164" fontId="0" fillId="3" borderId="1" xfId="0" applyNumberFormat="1" applyFill="1" applyBorder="1" applyAlignment="1">
      <alignment vertical="top" wrapText="1"/>
    </xf>
    <xf numFmtId="0" fontId="0" fillId="0" borderId="0" xfId="0" applyAlignment="1">
      <alignment horizontal="center" vertical="top" wrapText="1"/>
    </xf>
    <xf numFmtId="0" fontId="0" fillId="0" borderId="1" xfId="0" applyBorder="1" applyAlignment="1">
      <alignment horizontal="center" vertical="top" wrapText="1"/>
    </xf>
    <xf numFmtId="0" fontId="0" fillId="3" borderId="1" xfId="0" applyFill="1" applyBorder="1" applyAlignment="1">
      <alignment horizontal="center" vertical="top" wrapText="1"/>
    </xf>
    <xf numFmtId="0" fontId="2" fillId="6" borderId="0" xfId="0" applyFont="1" applyFill="1" applyAlignment="1">
      <alignment vertical="top" wrapText="1"/>
    </xf>
    <xf numFmtId="0" fontId="6" fillId="3" borderId="1" xfId="0" applyFont="1" applyFill="1" applyBorder="1" applyAlignment="1">
      <alignment horizontal="center" vertical="top" wrapText="1"/>
    </xf>
    <xf numFmtId="0" fontId="11" fillId="0" borderId="0" xfId="1" applyAlignment="1">
      <alignment vertical="center"/>
    </xf>
    <xf numFmtId="0" fontId="0" fillId="4" borderId="2" xfId="0" applyFill="1" applyBorder="1" applyAlignment="1">
      <alignment vertical="top" wrapText="1"/>
    </xf>
    <xf numFmtId="165" fontId="0" fillId="3" borderId="1" xfId="0" applyNumberFormat="1" applyFill="1" applyBorder="1" applyAlignment="1">
      <alignment vertical="top" wrapText="1"/>
    </xf>
    <xf numFmtId="0" fontId="1" fillId="2" borderId="0" xfId="0" applyFont="1" applyFill="1" applyAlignment="1">
      <alignment horizontal="center" vertical="top" wrapText="1"/>
    </xf>
    <xf numFmtId="0" fontId="2" fillId="3" borderId="0" xfId="0" applyFont="1" applyFill="1" applyAlignment="1">
      <alignment horizontal="center" vertical="top" wrapText="1"/>
    </xf>
    <xf numFmtId="0" fontId="2" fillId="0" borderId="2" xfId="0" applyFont="1" applyBorder="1" applyAlignment="1">
      <alignment horizontal="center" vertical="top" wrapText="1"/>
    </xf>
    <xf numFmtId="0" fontId="12" fillId="0" borderId="0" xfId="0" applyFont="1" applyAlignment="1">
      <alignment vertical="top" wrapText="1"/>
    </xf>
    <xf numFmtId="0" fontId="12" fillId="0" borderId="1" xfId="0" applyFont="1" applyBorder="1" applyAlignment="1">
      <alignment vertical="top" wrapText="1"/>
    </xf>
    <xf numFmtId="0" fontId="0" fillId="0" borderId="8" xfId="0" applyBorder="1" applyAlignment="1">
      <alignment vertical="top" wrapText="1"/>
    </xf>
    <xf numFmtId="0" fontId="14" fillId="0" borderId="1" xfId="0" applyFont="1" applyBorder="1" applyAlignment="1">
      <alignment vertical="center"/>
    </xf>
    <xf numFmtId="164" fontId="1" fillId="5" borderId="0" xfId="0" applyNumberFormat="1" applyFont="1" applyFill="1" applyAlignment="1">
      <alignment vertical="top" wrapText="1"/>
    </xf>
    <xf numFmtId="0" fontId="13" fillId="0" borderId="1" xfId="0" applyFont="1" applyBorder="1" applyAlignment="1">
      <alignment vertical="top" wrapText="1"/>
    </xf>
    <xf numFmtId="164" fontId="2" fillId="4" borderId="3" xfId="0" applyNumberFormat="1" applyFont="1" applyFill="1" applyBorder="1"/>
    <xf numFmtId="164" fontId="1" fillId="2" borderId="0" xfId="0" applyNumberFormat="1" applyFont="1" applyFill="1" applyAlignment="1">
      <alignment vertical="top" wrapText="1"/>
    </xf>
    <xf numFmtId="0" fontId="1" fillId="2" borderId="3" xfId="0" applyFont="1" applyFill="1" applyBorder="1" applyAlignment="1">
      <alignment vertical="top" wrapText="1"/>
    </xf>
    <xf numFmtId="0" fontId="15" fillId="0" borderId="0" xfId="0" applyFont="1" applyAlignment="1">
      <alignment vertical="center"/>
    </xf>
    <xf numFmtId="0" fontId="7" fillId="0" borderId="0" xfId="0" applyFont="1" applyAlignment="1">
      <alignment vertical="center"/>
    </xf>
    <xf numFmtId="10" fontId="0" fillId="0" borderId="1" xfId="2" applyNumberFormat="1" applyFont="1" applyBorder="1"/>
    <xf numFmtId="10" fontId="0" fillId="2" borderId="2" xfId="2" applyNumberFormat="1" applyFont="1" applyFill="1" applyBorder="1"/>
    <xf numFmtId="10" fontId="2" fillId="4" borderId="0" xfId="2" applyNumberFormat="1" applyFont="1" applyFill="1" applyBorder="1"/>
    <xf numFmtId="0" fontId="17" fillId="0" borderId="0" xfId="0" applyFont="1"/>
    <xf numFmtId="0" fontId="18" fillId="0" borderId="1" xfId="0" applyFont="1" applyBorder="1"/>
    <xf numFmtId="0" fontId="18" fillId="0" borderId="1" xfId="0" applyFont="1" applyBorder="1" applyAlignment="1">
      <alignment wrapText="1"/>
    </xf>
    <xf numFmtId="0" fontId="19" fillId="6" borderId="1" xfId="0" applyFont="1" applyFill="1" applyBorder="1"/>
    <xf numFmtId="0" fontId="1" fillId="2" borderId="1" xfId="0" applyFont="1" applyFill="1" applyBorder="1" applyAlignment="1">
      <alignment horizontal="center"/>
    </xf>
    <xf numFmtId="0" fontId="18" fillId="6" borderId="1" xfId="0" applyFont="1" applyFill="1" applyBorder="1"/>
    <xf numFmtId="0" fontId="20" fillId="0" borderId="0" xfId="0" applyFont="1" applyAlignment="1">
      <alignment vertical="top" wrapText="1"/>
    </xf>
    <xf numFmtId="164" fontId="0" fillId="0" borderId="1" xfId="3" applyNumberFormat="1" applyFont="1" applyFill="1" applyBorder="1"/>
    <xf numFmtId="0" fontId="2" fillId="0" borderId="1" xfId="0" applyFont="1" applyBorder="1" applyAlignment="1">
      <alignment horizontal="center"/>
    </xf>
    <xf numFmtId="4" fontId="2" fillId="0" borderId="0" xfId="0" applyNumberFormat="1" applyFont="1" applyAlignment="1">
      <alignment horizontal="center" vertical="top" wrapText="1"/>
    </xf>
    <xf numFmtId="4" fontId="1" fillId="3" borderId="0" xfId="0" applyNumberFormat="1" applyFont="1" applyFill="1" applyAlignment="1">
      <alignment vertical="top" wrapText="1"/>
    </xf>
    <xf numFmtId="4" fontId="1" fillId="2" borderId="0" xfId="0" applyNumberFormat="1" applyFont="1" applyFill="1" applyAlignment="1">
      <alignment vertical="top" wrapText="1"/>
    </xf>
    <xf numFmtId="4" fontId="1" fillId="3" borderId="0" xfId="0" applyNumberFormat="1" applyFont="1" applyFill="1" applyAlignment="1">
      <alignment horizontal="center" vertical="top" wrapText="1"/>
    </xf>
    <xf numFmtId="4" fontId="4" fillId="2" borderId="0" xfId="0" applyNumberFormat="1" applyFont="1" applyFill="1" applyAlignment="1">
      <alignment vertical="top" wrapText="1"/>
    </xf>
    <xf numFmtId="4" fontId="7" fillId="0" borderId="1" xfId="0" applyNumberFormat="1" applyFont="1" applyBorder="1" applyAlignment="1">
      <alignment vertical="top" wrapText="1"/>
    </xf>
    <xf numFmtId="4" fontId="2" fillId="0" borderId="1" xfId="0" applyNumberFormat="1" applyFont="1" applyBorder="1" applyAlignment="1">
      <alignment horizontal="center" vertical="top" wrapText="1"/>
    </xf>
    <xf numFmtId="4" fontId="11" fillId="0" borderId="1" xfId="1" applyNumberFormat="1" applyBorder="1" applyAlignment="1">
      <alignment vertical="top" wrapText="1"/>
    </xf>
    <xf numFmtId="4" fontId="0" fillId="0" borderId="1" xfId="0" applyNumberFormat="1" applyBorder="1" applyAlignment="1">
      <alignment horizontal="left" vertical="top" wrapText="1"/>
    </xf>
    <xf numFmtId="4" fontId="2" fillId="3" borderId="1" xfId="0" applyNumberFormat="1" applyFont="1" applyFill="1" applyBorder="1" applyAlignment="1">
      <alignment horizontal="center" vertical="top" wrapText="1"/>
    </xf>
    <xf numFmtId="4" fontId="11" fillId="0" borderId="0" xfId="1" applyNumberFormat="1" applyAlignment="1">
      <alignment vertical="top" wrapText="1"/>
    </xf>
    <xf numFmtId="4" fontId="4" fillId="2" borderId="0" xfId="0" applyNumberFormat="1" applyFont="1" applyFill="1" applyAlignment="1">
      <alignment horizontal="left" vertical="top" wrapText="1"/>
    </xf>
    <xf numFmtId="4" fontId="0" fillId="3" borderId="1" xfId="0" applyNumberFormat="1" applyFill="1" applyBorder="1" applyAlignment="1">
      <alignment horizontal="center" vertical="top" wrapText="1"/>
    </xf>
    <xf numFmtId="16" fontId="0" fillId="0" borderId="0" xfId="0" applyNumberFormat="1"/>
    <xf numFmtId="9" fontId="0" fillId="0" borderId="0" xfId="0" applyNumberFormat="1"/>
    <xf numFmtId="0" fontId="2" fillId="3" borderId="3" xfId="0" applyFont="1" applyFill="1" applyBorder="1" applyAlignment="1">
      <alignment horizontal="center" vertical="top" wrapText="1"/>
    </xf>
    <xf numFmtId="0" fontId="0" fillId="0" borderId="3" xfId="0" applyBorder="1" applyAlignment="1">
      <alignment horizontal="center" vertical="top" wrapText="1"/>
    </xf>
    <xf numFmtId="0" fontId="0" fillId="0" borderId="3" xfId="0" applyBorder="1" applyAlignment="1">
      <alignment vertical="top" wrapText="1"/>
    </xf>
    <xf numFmtId="0" fontId="1" fillId="2" borderId="1" xfId="0" applyFont="1" applyFill="1" applyBorder="1" applyAlignment="1">
      <alignment horizontal="center" vertical="top" wrapText="1"/>
    </xf>
    <xf numFmtId="0" fontId="3" fillId="0" borderId="0" xfId="0" applyFont="1" applyAlignment="1">
      <alignment horizontal="right" vertical="top" wrapText="1"/>
    </xf>
    <xf numFmtId="0" fontId="11" fillId="0" borderId="0" xfId="1" applyNumberFormat="1" applyAlignment="1">
      <alignment vertical="top" wrapText="1"/>
    </xf>
    <xf numFmtId="0" fontId="11" fillId="0" borderId="1" xfId="1" applyNumberFormat="1" applyBorder="1" applyAlignment="1">
      <alignment vertical="top" wrapText="1"/>
    </xf>
    <xf numFmtId="164" fontId="7" fillId="0" borderId="1" xfId="0" applyNumberFormat="1" applyFont="1" applyBorder="1" applyAlignment="1">
      <alignment vertical="top" wrapText="1"/>
    </xf>
    <xf numFmtId="164" fontId="0" fillId="2" borderId="1" xfId="0" applyNumberFormat="1" applyFill="1" applyBorder="1" applyAlignment="1">
      <alignment vertical="top" wrapText="1"/>
    </xf>
    <xf numFmtId="0" fontId="0" fillId="3" borderId="3" xfId="0" applyFill="1" applyBorder="1" applyAlignment="1">
      <alignment horizontal="center" vertical="top" wrapText="1"/>
    </xf>
    <xf numFmtId="0" fontId="2" fillId="3" borderId="3" xfId="0" applyFont="1" applyFill="1" applyBorder="1" applyAlignment="1">
      <alignment horizontal="center"/>
    </xf>
    <xf numFmtId="0" fontId="0" fillId="5" borderId="1" xfId="0" applyFill="1" applyBorder="1"/>
    <xf numFmtId="0" fontId="0" fillId="0" borderId="8" xfId="0" applyBorder="1" applyAlignment="1">
      <alignment horizontal="left" vertical="top" wrapText="1"/>
    </xf>
    <xf numFmtId="0" fontId="2" fillId="0" borderId="3" xfId="0" applyFont="1" applyBorder="1" applyAlignment="1">
      <alignment horizontal="center" vertical="top" wrapText="1"/>
    </xf>
    <xf numFmtId="0" fontId="2" fillId="2" borderId="3" xfId="0" applyFont="1" applyFill="1" applyBorder="1" applyAlignment="1">
      <alignment horizontal="center" vertical="top" wrapText="1"/>
    </xf>
    <xf numFmtId="0" fontId="0" fillId="2" borderId="8" xfId="0" applyFill="1" applyBorder="1" applyAlignment="1">
      <alignment vertical="top" wrapText="1"/>
    </xf>
    <xf numFmtId="0" fontId="21" fillId="6" borderId="1" xfId="0" applyFont="1" applyFill="1" applyBorder="1" applyAlignment="1">
      <alignment vertical="center"/>
    </xf>
    <xf numFmtId="0" fontId="22" fillId="0" borderId="0" xfId="0" applyFont="1" applyAlignment="1">
      <alignment vertical="top" wrapText="1"/>
    </xf>
    <xf numFmtId="0" fontId="0" fillId="3" borderId="2" xfId="0" applyFill="1" applyBorder="1" applyAlignment="1">
      <alignment vertical="top" wrapText="1"/>
    </xf>
    <xf numFmtId="164" fontId="0" fillId="3" borderId="2" xfId="0" applyNumberFormat="1" applyFill="1" applyBorder="1" applyAlignment="1">
      <alignment vertical="top" wrapText="1"/>
    </xf>
    <xf numFmtId="0" fontId="20" fillId="4" borderId="0" xfId="0" applyFont="1" applyFill="1"/>
    <xf numFmtId="0" fontId="11" fillId="0" borderId="1" xfId="1" applyBorder="1" applyAlignment="1">
      <alignment wrapText="1"/>
    </xf>
    <xf numFmtId="0" fontId="2" fillId="4" borderId="1" xfId="0" applyFont="1" applyFill="1" applyBorder="1" applyAlignment="1">
      <alignment vertical="top" wrapText="1"/>
    </xf>
    <xf numFmtId="164" fontId="2" fillId="4" borderId="1" xfId="0" applyNumberFormat="1" applyFont="1" applyFill="1" applyBorder="1" applyAlignment="1">
      <alignment vertical="top" wrapText="1"/>
    </xf>
    <xf numFmtId="166" fontId="0" fillId="6" borderId="1" xfId="0" applyNumberFormat="1" applyFill="1" applyBorder="1" applyAlignment="1">
      <alignment vertical="top" wrapText="1"/>
    </xf>
    <xf numFmtId="0" fontId="24" fillId="0" borderId="0" xfId="0" applyFont="1"/>
    <xf numFmtId="0" fontId="20" fillId="0" borderId="1" xfId="0" applyFont="1" applyBorder="1"/>
    <xf numFmtId="0" fontId="0" fillId="6" borderId="1" xfId="0" applyFill="1" applyBorder="1" applyAlignment="1">
      <alignment horizontal="center" vertical="top" wrapText="1"/>
    </xf>
    <xf numFmtId="0" fontId="2" fillId="4" borderId="0" xfId="0" applyFont="1" applyFill="1" applyAlignment="1">
      <alignment horizontal="center" vertical="top" wrapText="1"/>
    </xf>
    <xf numFmtId="0" fontId="2" fillId="6" borderId="0" xfId="0" applyFont="1" applyFill="1" applyAlignment="1">
      <alignment horizontal="center" vertical="top" wrapText="1"/>
    </xf>
    <xf numFmtId="0" fontId="0" fillId="4" borderId="1" xfId="0" applyFill="1" applyBorder="1" applyAlignment="1">
      <alignment horizontal="left" vertical="top" wrapText="1"/>
    </xf>
    <xf numFmtId="0" fontId="0" fillId="3" borderId="1" xfId="0" applyFill="1" applyBorder="1" applyAlignment="1">
      <alignment horizontal="left" vertical="top" wrapText="1"/>
    </xf>
    <xf numFmtId="14" fontId="0" fillId="0" borderId="1" xfId="0" applyNumberFormat="1" applyBorder="1" applyAlignment="1">
      <alignment vertical="top" wrapText="1"/>
    </xf>
    <xf numFmtId="0" fontId="11" fillId="0" borderId="1" xfId="1" applyFill="1" applyBorder="1" applyAlignment="1">
      <alignment vertical="top" wrapText="1"/>
    </xf>
    <xf numFmtId="0" fontId="4" fillId="2" borderId="0" xfId="0" applyFont="1" applyFill="1" applyAlignment="1">
      <alignment horizontal="center" vertical="top" wrapText="1"/>
    </xf>
    <xf numFmtId="0" fontId="8" fillId="3" borderId="1" xfId="0" applyFont="1" applyFill="1" applyBorder="1" applyAlignment="1">
      <alignment horizontal="center" vertical="top" wrapText="1"/>
    </xf>
    <xf numFmtId="4" fontId="8" fillId="0" borderId="1" xfId="0" applyNumberFormat="1" applyFont="1" applyBorder="1" applyAlignment="1">
      <alignment vertical="top" wrapText="1"/>
    </xf>
    <xf numFmtId="0" fontId="13" fillId="0" borderId="1" xfId="0" applyFont="1" applyBorder="1"/>
    <xf numFmtId="0" fontId="5" fillId="3" borderId="1" xfId="0" applyFont="1" applyFill="1" applyBorder="1" applyAlignment="1">
      <alignment vertical="top" wrapText="1"/>
    </xf>
    <xf numFmtId="4" fontId="0" fillId="3" borderId="1" xfId="0" applyNumberFormat="1" applyFill="1" applyBorder="1" applyAlignment="1">
      <alignment vertical="top" wrapText="1"/>
    </xf>
    <xf numFmtId="0" fontId="5" fillId="4" borderId="1" xfId="0" applyFont="1" applyFill="1" applyBorder="1" applyAlignment="1">
      <alignment vertical="top" wrapText="1"/>
    </xf>
    <xf numFmtId="4" fontId="3" fillId="0" borderId="0" xfId="0" applyNumberFormat="1" applyFont="1" applyAlignment="1">
      <alignment horizontal="right" vertical="top" wrapText="1"/>
    </xf>
    <xf numFmtId="4" fontId="12" fillId="0" borderId="1" xfId="0" applyNumberFormat="1" applyFont="1" applyBorder="1" applyAlignment="1">
      <alignment vertical="top" wrapText="1"/>
    </xf>
    <xf numFmtId="0" fontId="0" fillId="2" borderId="9" xfId="0" applyFill="1" applyBorder="1"/>
    <xf numFmtId="0" fontId="0" fillId="0" borderId="9" xfId="0" applyBorder="1" applyAlignment="1">
      <alignment vertical="top" wrapText="1"/>
    </xf>
    <xf numFmtId="6" fontId="0" fillId="0" borderId="1" xfId="0" applyNumberFormat="1" applyBorder="1" applyAlignment="1">
      <alignment vertical="top" wrapText="1"/>
    </xf>
    <xf numFmtId="8" fontId="0" fillId="0" borderId="0" xfId="0" applyNumberFormat="1" applyAlignment="1">
      <alignment vertical="top" wrapText="1"/>
    </xf>
    <xf numFmtId="4" fontId="0" fillId="0" borderId="0" xfId="0" applyNumberFormat="1" applyAlignment="1">
      <alignment horizontal="left" vertical="top" wrapText="1"/>
    </xf>
    <xf numFmtId="4" fontId="1" fillId="2" borderId="0" xfId="0" applyNumberFormat="1" applyFont="1" applyFill="1" applyAlignment="1">
      <alignment horizontal="center" vertical="top" wrapText="1"/>
    </xf>
    <xf numFmtId="4" fontId="24" fillId="0" borderId="1" xfId="0" applyNumberFormat="1" applyFont="1" applyBorder="1" applyAlignment="1">
      <alignment vertical="top" wrapText="1"/>
    </xf>
    <xf numFmtId="4" fontId="0" fillId="0" borderId="2" xfId="0" applyNumberFormat="1" applyBorder="1" applyAlignment="1">
      <alignment horizontal="left" vertical="top" wrapText="1"/>
    </xf>
    <xf numFmtId="4" fontId="0" fillId="0" borderId="3" xfId="0" applyNumberFormat="1" applyBorder="1" applyAlignment="1">
      <alignment vertical="top" wrapText="1"/>
    </xf>
    <xf numFmtId="0" fontId="0" fillId="7" borderId="1" xfId="0" applyFill="1" applyBorder="1" applyAlignment="1">
      <alignment vertical="top" wrapText="1"/>
    </xf>
    <xf numFmtId="164" fontId="0" fillId="7" borderId="1" xfId="0" applyNumberFormat="1" applyFill="1" applyBorder="1" applyAlignment="1">
      <alignment vertical="top" wrapText="1"/>
    </xf>
    <xf numFmtId="0" fontId="6" fillId="4" borderId="0" xfId="0" applyFont="1" applyFill="1" applyAlignment="1">
      <alignment vertical="top" wrapText="1"/>
    </xf>
    <xf numFmtId="0" fontId="25" fillId="0" borderId="1" xfId="0" applyFont="1" applyBorder="1" applyAlignment="1">
      <alignment vertical="top" wrapText="1"/>
    </xf>
    <xf numFmtId="4" fontId="0" fillId="4" borderId="2" xfId="0" applyNumberFormat="1" applyFill="1" applyBorder="1" applyAlignment="1">
      <alignment vertical="top" wrapText="1"/>
    </xf>
    <xf numFmtId="0" fontId="2" fillId="2" borderId="1" xfId="0" applyFont="1" applyFill="1" applyBorder="1" applyAlignment="1">
      <alignment horizontal="center" vertical="top" wrapText="1"/>
    </xf>
    <xf numFmtId="0" fontId="0" fillId="0" borderId="0" xfId="0" applyAlignment="1">
      <alignment horizontal="right" vertical="top" wrapText="1"/>
    </xf>
    <xf numFmtId="0" fontId="1" fillId="3" borderId="0" xfId="0" applyFont="1" applyFill="1" applyAlignment="1">
      <alignment horizontal="right" vertical="top" wrapText="1"/>
    </xf>
    <xf numFmtId="164" fontId="2" fillId="0" borderId="0" xfId="0" applyNumberFormat="1" applyFont="1" applyAlignment="1">
      <alignment horizontal="right" vertical="top" wrapText="1"/>
    </xf>
    <xf numFmtId="10" fontId="2" fillId="0" borderId="0" xfId="0" applyNumberFormat="1" applyFont="1" applyAlignment="1">
      <alignment horizontal="right" vertical="top" wrapText="1"/>
    </xf>
    <xf numFmtId="0" fontId="1" fillId="2" borderId="0" xfId="0" applyFont="1" applyFill="1" applyAlignment="1">
      <alignment horizontal="right" vertical="top" wrapText="1"/>
    </xf>
    <xf numFmtId="164" fontId="0" fillId="0" borderId="1" xfId="0" applyNumberFormat="1" applyBorder="1" applyAlignment="1">
      <alignment horizontal="right" vertical="top" wrapText="1"/>
    </xf>
    <xf numFmtId="164" fontId="0" fillId="2" borderId="1" xfId="0" applyNumberFormat="1" applyFill="1" applyBorder="1" applyAlignment="1">
      <alignment horizontal="right" vertical="top" wrapText="1"/>
    </xf>
    <xf numFmtId="164" fontId="0" fillId="0" borderId="2" xfId="0" applyNumberFormat="1" applyBorder="1" applyAlignment="1">
      <alignment horizontal="right" vertical="top" wrapText="1"/>
    </xf>
    <xf numFmtId="0" fontId="0" fillId="2" borderId="1" xfId="0" applyFill="1" applyBorder="1" applyAlignment="1">
      <alignment horizontal="right" vertical="top" wrapText="1"/>
    </xf>
    <xf numFmtId="164" fontId="2" fillId="4" borderId="0" xfId="0" applyNumberFormat="1" applyFont="1" applyFill="1" applyAlignment="1">
      <alignment horizontal="right" vertical="top" wrapText="1"/>
    </xf>
    <xf numFmtId="164" fontId="0" fillId="0" borderId="0" xfId="0" applyNumberFormat="1" applyAlignment="1">
      <alignment horizontal="right" vertical="top" wrapText="1"/>
    </xf>
    <xf numFmtId="8" fontId="0" fillId="0" borderId="1" xfId="0" applyNumberFormat="1" applyBorder="1" applyAlignment="1">
      <alignment horizontal="right" vertical="top" wrapText="1"/>
    </xf>
    <xf numFmtId="0" fontId="2" fillId="7" borderId="1" xfId="0" applyFont="1" applyFill="1" applyBorder="1" applyAlignment="1">
      <alignment horizontal="center" vertical="top" wrapText="1"/>
    </xf>
    <xf numFmtId="164" fontId="0" fillId="7" borderId="1" xfId="0" applyNumberFormat="1" applyFill="1" applyBorder="1" applyAlignment="1">
      <alignment horizontal="right" vertical="top" wrapText="1"/>
    </xf>
    <xf numFmtId="4" fontId="2" fillId="2" borderId="0" xfId="0" applyNumberFormat="1" applyFont="1" applyFill="1" applyAlignment="1">
      <alignment horizontal="center" vertical="top" wrapText="1"/>
    </xf>
    <xf numFmtId="6" fontId="0" fillId="0" borderId="0" xfId="0" applyNumberFormat="1" applyAlignment="1">
      <alignment vertical="top" wrapText="1"/>
    </xf>
    <xf numFmtId="14" fontId="0" fillId="0" borderId="1" xfId="0" applyNumberFormat="1" applyBorder="1" applyAlignment="1">
      <alignment horizontal="left" vertical="top" wrapText="1"/>
    </xf>
    <xf numFmtId="4" fontId="0" fillId="3" borderId="2" xfId="0" applyNumberFormat="1" applyFill="1" applyBorder="1" applyAlignment="1">
      <alignment vertical="top" wrapText="1"/>
    </xf>
    <xf numFmtId="167" fontId="0" fillId="0" borderId="1" xfId="0" applyNumberFormat="1" applyBorder="1" applyAlignment="1">
      <alignment vertical="top" wrapText="1"/>
    </xf>
    <xf numFmtId="0" fontId="0" fillId="2" borderId="0" xfId="0" applyFill="1" applyAlignment="1">
      <alignment horizontal="center" vertical="top" wrapText="1"/>
    </xf>
    <xf numFmtId="167" fontId="0" fillId="0" borderId="0" xfId="0" applyNumberFormat="1" applyAlignment="1">
      <alignment vertical="top" wrapText="1"/>
    </xf>
    <xf numFmtId="14" fontId="0" fillId="0" borderId="8" xfId="0" applyNumberFormat="1" applyBorder="1" applyAlignment="1">
      <alignment vertical="top" wrapText="1"/>
    </xf>
    <xf numFmtId="0" fontId="19" fillId="0" borderId="1" xfId="0" applyFont="1" applyBorder="1"/>
    <xf numFmtId="0" fontId="8" fillId="6" borderId="1" xfId="0" applyFont="1" applyFill="1" applyBorder="1"/>
    <xf numFmtId="14" fontId="0" fillId="0" borderId="1" xfId="0" applyNumberFormat="1" applyBorder="1" applyAlignment="1">
      <alignment horizontal="center" vertical="top" wrapText="1"/>
    </xf>
    <xf numFmtId="0" fontId="8" fillId="0" borderId="0" xfId="0" applyFont="1" applyAlignment="1">
      <alignment horizontal="left" vertical="top" wrapText="1"/>
    </xf>
    <xf numFmtId="164" fontId="8" fillId="0" borderId="0" xfId="0" applyNumberFormat="1" applyFont="1" applyAlignment="1">
      <alignment horizontal="center" vertical="top" wrapText="1"/>
    </xf>
    <xf numFmtId="164" fontId="8" fillId="4" borderId="0" xfId="0" applyNumberFormat="1" applyFont="1" applyFill="1" applyAlignment="1">
      <alignment horizontal="center" vertical="top" wrapText="1"/>
    </xf>
    <xf numFmtId="0" fontId="8" fillId="0" borderId="0" xfId="0" applyFont="1" applyAlignment="1">
      <alignment vertical="top" wrapText="1"/>
    </xf>
    <xf numFmtId="164" fontId="0" fillId="0" borderId="0" xfId="0" applyNumberFormat="1" applyAlignment="1">
      <alignment horizontal="center" vertical="top" wrapText="1"/>
    </xf>
    <xf numFmtId="164" fontId="0" fillId="4" borderId="0" xfId="0" applyNumberFormat="1" applyFill="1" applyAlignment="1">
      <alignment horizontal="center" vertical="top" wrapText="1"/>
    </xf>
    <xf numFmtId="0" fontId="0" fillId="4" borderId="0" xfId="0" applyFill="1" applyAlignment="1">
      <alignment horizontal="center" vertical="top" wrapText="1"/>
    </xf>
    <xf numFmtId="0" fontId="0" fillId="0" borderId="7" xfId="0" applyBorder="1" applyAlignment="1">
      <alignment vertical="top" wrapText="1"/>
    </xf>
    <xf numFmtId="14" fontId="0" fillId="0" borderId="8" xfId="0" applyNumberFormat="1" applyBorder="1"/>
    <xf numFmtId="14" fontId="0" fillId="7" borderId="1" xfId="0" applyNumberFormat="1" applyFill="1" applyBorder="1" applyAlignment="1">
      <alignment vertical="top" wrapText="1"/>
    </xf>
    <xf numFmtId="14" fontId="0" fillId="0" borderId="2" xfId="0" applyNumberFormat="1" applyBorder="1" applyAlignment="1">
      <alignment vertical="top" wrapText="1"/>
    </xf>
    <xf numFmtId="14" fontId="0" fillId="0" borderId="1" xfId="0" applyNumberFormat="1" applyBorder="1"/>
    <xf numFmtId="0" fontId="11" fillId="0" borderId="2" xfId="1" applyBorder="1" applyAlignment="1">
      <alignment vertical="top" wrapText="1"/>
    </xf>
    <xf numFmtId="0" fontId="8" fillId="0" borderId="0" xfId="1" applyFont="1" applyAlignment="1">
      <alignment vertical="top" wrapText="1"/>
    </xf>
    <xf numFmtId="0" fontId="21" fillId="0" borderId="1" xfId="0" applyFont="1" applyBorder="1" applyAlignment="1">
      <alignment vertical="top" wrapText="1"/>
    </xf>
    <xf numFmtId="0" fontId="8" fillId="0" borderId="1" xfId="1" applyFont="1" applyBorder="1" applyAlignment="1">
      <alignment vertical="top" wrapText="1"/>
    </xf>
    <xf numFmtId="167" fontId="0" fillId="0" borderId="2" xfId="0" applyNumberFormat="1" applyBorder="1" applyAlignment="1">
      <alignment vertical="top" wrapText="1"/>
    </xf>
    <xf numFmtId="167" fontId="0" fillId="0" borderId="7" xfId="0" applyNumberFormat="1" applyBorder="1" applyAlignment="1">
      <alignment vertical="top" wrapText="1"/>
    </xf>
    <xf numFmtId="167" fontId="0" fillId="3" borderId="1" xfId="0" applyNumberFormat="1" applyFill="1" applyBorder="1" applyAlignment="1">
      <alignment vertical="top" wrapText="1"/>
    </xf>
    <xf numFmtId="0" fontId="0" fillId="2" borderId="9" xfId="0" applyFill="1" applyBorder="1" applyAlignment="1">
      <alignment vertical="top" wrapText="1"/>
    </xf>
    <xf numFmtId="164" fontId="8" fillId="0" borderId="1" xfId="0" applyNumberFormat="1" applyFont="1" applyBorder="1" applyAlignment="1">
      <alignment vertical="top" wrapText="1"/>
    </xf>
    <xf numFmtId="14" fontId="0" fillId="0" borderId="0" xfId="0" applyNumberFormat="1" applyAlignment="1">
      <alignment vertical="top" wrapText="1"/>
    </xf>
    <xf numFmtId="0" fontId="8" fillId="4" borderId="0" xfId="0" applyFont="1" applyFill="1" applyAlignment="1">
      <alignment horizontal="left" vertical="top" wrapText="1"/>
    </xf>
    <xf numFmtId="0" fontId="0" fillId="0" borderId="10" xfId="0" applyBorder="1"/>
    <xf numFmtId="14" fontId="0" fillId="3" borderId="1" xfId="0" applyNumberFormat="1" applyFill="1" applyBorder="1" applyAlignment="1">
      <alignment vertical="top" wrapText="1"/>
    </xf>
    <xf numFmtId="164" fontId="2" fillId="3" borderId="1" xfId="0" applyNumberFormat="1" applyFont="1" applyFill="1" applyBorder="1" applyAlignment="1">
      <alignment vertical="top" wrapText="1"/>
    </xf>
    <xf numFmtId="0" fontId="0" fillId="0" borderId="2" xfId="0" applyBorder="1"/>
    <xf numFmtId="0" fontId="11" fillId="0" borderId="2" xfId="1" applyBorder="1" applyAlignment="1">
      <alignment vertical="center"/>
    </xf>
    <xf numFmtId="2" fontId="14" fillId="0" borderId="1" xfId="0" applyNumberFormat="1" applyFont="1" applyBorder="1" applyAlignment="1">
      <alignment horizontal="right" vertical="center"/>
    </xf>
    <xf numFmtId="2" fontId="0" fillId="0" borderId="1" xfId="0" applyNumberFormat="1" applyBorder="1" applyAlignment="1">
      <alignment horizontal="right" vertical="top" wrapText="1"/>
    </xf>
    <xf numFmtId="0" fontId="11" fillId="3" borderId="1" xfId="1" applyFill="1" applyBorder="1"/>
    <xf numFmtId="0" fontId="20" fillId="4" borderId="0" xfId="0" applyFont="1" applyFill="1" applyAlignment="1">
      <alignment vertical="top" wrapText="1"/>
    </xf>
    <xf numFmtId="164" fontId="0" fillId="8" borderId="1" xfId="0" applyNumberFormat="1" applyFill="1" applyBorder="1" applyAlignment="1">
      <alignment vertical="top" wrapText="1"/>
    </xf>
    <xf numFmtId="164" fontId="0" fillId="8" borderId="0" xfId="0" applyNumberFormat="1" applyFill="1" applyAlignment="1">
      <alignment vertical="top" wrapText="1"/>
    </xf>
    <xf numFmtId="8" fontId="0" fillId="8" borderId="0" xfId="0" applyNumberFormat="1" applyFill="1" applyAlignment="1">
      <alignment vertical="top" wrapText="1"/>
    </xf>
    <xf numFmtId="0" fontId="2" fillId="0" borderId="0" xfId="0" applyFont="1" applyAlignment="1">
      <alignment vertical="top"/>
    </xf>
    <xf numFmtId="0" fontId="0" fillId="0" borderId="0" xfId="0"/>
    <xf numFmtId="0" fontId="0" fillId="0" borderId="0" xfId="0" applyAlignment="1">
      <alignment vertical="top"/>
    </xf>
    <xf numFmtId="0" fontId="1" fillId="2" borderId="7" xfId="0" applyFont="1" applyFill="1" applyBorder="1" applyAlignment="1">
      <alignment horizontal="center" vertical="top"/>
    </xf>
    <xf numFmtId="0" fontId="8" fillId="0" borderId="1" xfId="0" applyFont="1" applyBorder="1"/>
    <xf numFmtId="0" fontId="18" fillId="0" borderId="0" xfId="0" applyFont="1" applyBorder="1"/>
    <xf numFmtId="0" fontId="0" fillId="0" borderId="0" xfId="0" applyBorder="1"/>
  </cellXfs>
  <cellStyles count="4">
    <cellStyle name="Currency" xfId="3" builtinId="4"/>
    <cellStyle name="Hyperlink" xfId="1" builtinId="8"/>
    <cellStyle name="Normal" xfId="0" builtinId="0"/>
    <cellStyle name="Percent" xfId="2" builtinId="5"/>
  </cellStyles>
  <dxfs count="422">
    <dxf>
      <fill>
        <patternFill patternType="solid">
          <fgColor rgb="FF92D050"/>
          <bgColor rgb="FF000000"/>
        </patternFill>
      </fill>
    </dxf>
    <dxf>
      <fill>
        <patternFill patternType="solid">
          <fgColor rgb="FF92D050"/>
          <bgColor rgb="FF000000"/>
        </patternFill>
      </fill>
    </dxf>
    <dxf>
      <fill>
        <patternFill patternType="solid">
          <fgColor rgb="FF92D050"/>
          <bgColor rgb="FF000000"/>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4" formatCode="#,##0.00"/>
      <alignment vertical="top" wrapText="1"/>
    </dxf>
    <dxf>
      <numFmt numFmtId="4" formatCode="#,##0.00"/>
      <alignment vertical="top" wrapText="1"/>
    </dxf>
    <dxf>
      <numFmt numFmtId="4" formatCode="#,##0.00"/>
      <alignment vertical="top" wrapText="1"/>
    </dxf>
    <dxf>
      <numFmt numFmtId="4" formatCode="#,##0.00"/>
      <alignment vertical="top" wrapText="1"/>
    </dxf>
    <dxf>
      <numFmt numFmtId="4" formatCode="#,##0.00"/>
      <alignment vertical="top" wrapText="1"/>
    </dxf>
    <dxf>
      <numFmt numFmtId="4" formatCode="#,##0.00"/>
      <alignment vertical="top"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Red]&quot;$&quot;#,##0.00"/>
    </dxf>
    <dxf>
      <fill>
        <patternFill patternType="solid">
          <bgColor rgb="FFFFFF00"/>
        </patternFill>
      </fill>
    </dxf>
    <dxf>
      <fill>
        <patternFill patternType="solid">
          <bgColor rgb="FFFFFF00"/>
        </patternFill>
      </fill>
    </dxf>
    <dxf>
      <fill>
        <patternFill patternType="solid">
          <bgColor rgb="FFFFFF00"/>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alignment vertical="top" wrapText="1"/>
    </dxf>
    <dxf>
      <alignment vertical="top"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4" formatCode="#,##0.00"/>
      <alignment vertical="top" wrapText="1"/>
    </dxf>
    <dxf>
      <numFmt numFmtId="4" formatCode="#,##0.00"/>
      <alignment vertical="top" wrapText="1"/>
    </dxf>
    <dxf>
      <numFmt numFmtId="4" formatCode="#,##0.00"/>
      <alignment vertical="top" wrapText="1"/>
    </dxf>
    <dxf>
      <numFmt numFmtId="4" formatCode="#,##0.00"/>
      <alignment vertical="top" wrapText="1"/>
    </dxf>
    <dxf>
      <numFmt numFmtId="4" formatCode="#,##0.00"/>
      <alignment vertical="top" wrapText="1"/>
    </dxf>
    <dxf>
      <numFmt numFmtId="4" formatCode="#,##0.00"/>
      <alignment vertical="top"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numFmt numFmtId="4" formatCode="#,##0.00"/>
      <alignment vertical="top" wrapText="1"/>
    </dxf>
    <dxf>
      <numFmt numFmtId="4" formatCode="#,##0.00"/>
      <alignment vertical="top" wrapText="1"/>
    </dxf>
    <dxf>
      <numFmt numFmtId="4" formatCode="#,##0.00"/>
      <alignment vertical="top" wrapText="1"/>
    </dxf>
    <dxf>
      <numFmt numFmtId="4" formatCode="#,##0.00"/>
      <alignment vertical="top" wrapText="1"/>
    </dxf>
    <dxf>
      <numFmt numFmtId="4" formatCode="#,##0.00"/>
      <alignment vertical="top" wrapText="1"/>
    </dxf>
    <dxf>
      <numFmt numFmtId="4" formatCode="#,##0.00"/>
      <alignment vertical="top"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numFmt numFmtId="164" formatCode="&quot;$&quot;#,##0.00;[Red]&quot;$&quot;#,##0.00"/>
    </dxf>
    <dxf>
      <numFmt numFmtId="0" formatCode="General"/>
      <alignment vertical="top" wrapText="1"/>
    </dxf>
    <dxf>
      <numFmt numFmtId="0" formatCode="General"/>
      <alignment vertical="top" wrapText="1"/>
    </dxf>
    <dxf>
      <numFmt numFmtId="0" formatCode="General"/>
      <alignment vertical="top" wrapText="1"/>
    </dxf>
    <dxf>
      <numFmt numFmtId="0" formatCode="General"/>
      <alignment vertical="top" wrapText="1"/>
    </dxf>
    <dxf>
      <numFmt numFmtId="0" formatCode="General"/>
      <alignment vertical="top" wrapText="1"/>
    </dxf>
    <dxf>
      <numFmt numFmtId="0" formatCode="General"/>
      <alignment vertical="top"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alignment vertical="top" wrapText="1"/>
    </dxf>
    <dxf>
      <alignment vertical="top" wrapText="1"/>
    </dxf>
    <dxf>
      <alignment vertical="top" wrapText="1"/>
    </dxf>
    <dxf>
      <alignment vertical="top" wrapText="1"/>
    </dxf>
    <dxf>
      <alignment vertical="top" wrapText="1"/>
    </dxf>
    <dxf>
      <alignment vertical="top" wrapText="1"/>
    </dxf>
    <dxf>
      <numFmt numFmtId="164" formatCode="&quot;$&quot;#,##0.00;[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pivotCacheDefinition" Target="pivotCache/pivotCacheDefinition4.xml"/><Relationship Id="rId63" Type="http://schemas.openxmlformats.org/officeDocument/2006/relationships/pivotCacheDefinition" Target="pivotCache/pivotCacheDefinition20.xml"/><Relationship Id="rId68" Type="http://schemas.openxmlformats.org/officeDocument/2006/relationships/pivotCacheDefinition" Target="pivotCache/pivotCacheDefinition25.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pivotCacheDefinition" Target="pivotCache/pivotCacheDefinition2.xml"/><Relationship Id="rId53" Type="http://schemas.openxmlformats.org/officeDocument/2006/relationships/pivotCacheDefinition" Target="pivotCache/pivotCacheDefinition10.xml"/><Relationship Id="rId58" Type="http://schemas.openxmlformats.org/officeDocument/2006/relationships/pivotCacheDefinition" Target="pivotCache/pivotCacheDefinition15.xml"/><Relationship Id="rId66" Type="http://schemas.openxmlformats.org/officeDocument/2006/relationships/pivotCacheDefinition" Target="pivotCache/pivotCacheDefinition23.xml"/><Relationship Id="rId74" Type="http://schemas.openxmlformats.org/officeDocument/2006/relationships/styles" Target="styles.xml"/><Relationship Id="rId79"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pivotCacheDefinition" Target="pivotCache/pivotCacheDefinition1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pivotCacheDefinition" Target="pivotCache/pivotCacheDefinition5.xml"/><Relationship Id="rId56" Type="http://schemas.openxmlformats.org/officeDocument/2006/relationships/pivotCacheDefinition" Target="pivotCache/pivotCacheDefinition13.xml"/><Relationship Id="rId64" Type="http://schemas.openxmlformats.org/officeDocument/2006/relationships/pivotCacheDefinition" Target="pivotCache/pivotCacheDefinition21.xml"/><Relationship Id="rId69" Type="http://schemas.openxmlformats.org/officeDocument/2006/relationships/pivotCacheDefinition" Target="pivotCache/pivotCacheDefinition26.xml"/><Relationship Id="rId77"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pivotCacheDefinition" Target="pivotCache/pivotCacheDefinition8.xml"/><Relationship Id="rId72" Type="http://schemas.openxmlformats.org/officeDocument/2006/relationships/pivotCacheDefinition" Target="pivotCache/pivotCacheDefinition29.xml"/><Relationship Id="rId80"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3.xml"/><Relationship Id="rId59" Type="http://schemas.openxmlformats.org/officeDocument/2006/relationships/pivotCacheDefinition" Target="pivotCache/pivotCacheDefinition16.xml"/><Relationship Id="rId67" Type="http://schemas.openxmlformats.org/officeDocument/2006/relationships/pivotCacheDefinition" Target="pivotCache/pivotCacheDefinition2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pivotCacheDefinition" Target="pivotCache/pivotCacheDefinition11.xml"/><Relationship Id="rId62" Type="http://schemas.openxmlformats.org/officeDocument/2006/relationships/pivotCacheDefinition" Target="pivotCache/pivotCacheDefinition19.xml"/><Relationship Id="rId70" Type="http://schemas.openxmlformats.org/officeDocument/2006/relationships/pivotCacheDefinition" Target="pivotCache/pivotCacheDefinition27.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6.xml"/><Relationship Id="rId57" Type="http://schemas.openxmlformats.org/officeDocument/2006/relationships/pivotCacheDefinition" Target="pivotCache/pivotCacheDefinition1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1.xml"/><Relationship Id="rId52" Type="http://schemas.openxmlformats.org/officeDocument/2006/relationships/pivotCacheDefinition" Target="pivotCache/pivotCacheDefinition9.xml"/><Relationship Id="rId60" Type="http://schemas.openxmlformats.org/officeDocument/2006/relationships/pivotCacheDefinition" Target="pivotCache/pivotCacheDefinition17.xml"/><Relationship Id="rId65" Type="http://schemas.openxmlformats.org/officeDocument/2006/relationships/pivotCacheDefinition" Target="pivotCache/pivotCacheDefinition22.xml"/><Relationship Id="rId73" Type="http://schemas.openxmlformats.org/officeDocument/2006/relationships/theme" Target="theme/theme1.xml"/><Relationship Id="rId78"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pivotCacheDefinition" Target="pivotCache/pivotCacheDefinition7.xml"/><Relationship Id="rId55" Type="http://schemas.openxmlformats.org/officeDocument/2006/relationships/pivotCacheDefinition" Target="pivotCache/pivotCacheDefinition12.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pivotCacheDefinition" Target="pivotCache/pivotCacheDefinition28.xml"/><Relationship Id="rId2" Type="http://schemas.openxmlformats.org/officeDocument/2006/relationships/worksheet" Target="worksheets/sheet2.xml"/><Relationship Id="rId29" Type="http://schemas.openxmlformats.org/officeDocument/2006/relationships/worksheet" Target="worksheets/sheet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'Chamber Board Report'!$C$19</c:f>
              <c:strCache>
                <c:ptCount val="1"/>
                <c:pt idx="0">
                  <c:v>2025 BUDGET</c:v>
                </c:pt>
              </c:strCache>
            </c:strRef>
          </c:tx>
          <c:spPr>
            <a:solidFill>
              <a:schemeClr val="accent1"/>
            </a:solidFill>
            <a:ln>
              <a:noFill/>
            </a:ln>
            <a:effectLst/>
          </c:spPr>
          <c:invertIfNegative val="0"/>
          <c:cat>
            <c:strRef>
              <c:f>'Chamber Board Report'!$B$20:$B$25</c:f>
              <c:strCache>
                <c:ptCount val="6"/>
                <c:pt idx="0">
                  <c:v>EVENTS*</c:v>
                </c:pt>
                <c:pt idx="1">
                  <c:v>TOAD SUCK DAZE/ILLUMINATE</c:v>
                </c:pt>
                <c:pt idx="2">
                  <c:v>PUBLICATIONS</c:v>
                </c:pt>
                <c:pt idx="3">
                  <c:v>CALI</c:v>
                </c:pt>
                <c:pt idx="4">
                  <c:v>GOVERNMENT AFFAIRS</c:v>
                </c:pt>
                <c:pt idx="5">
                  <c:v>TOTAL</c:v>
                </c:pt>
              </c:strCache>
            </c:strRef>
          </c:cat>
          <c:val>
            <c:numRef>
              <c:f>'Chamber Board Report'!$C$20:$C$25</c:f>
              <c:numCache>
                <c:formatCode>"$"#,##0.00;[Red]"$"#,##0.00</c:formatCode>
                <c:ptCount val="6"/>
                <c:pt idx="0">
                  <c:v>921500</c:v>
                </c:pt>
                <c:pt idx="1">
                  <c:v>460000</c:v>
                </c:pt>
                <c:pt idx="2">
                  <c:v>360000</c:v>
                </c:pt>
                <c:pt idx="3">
                  <c:v>46000</c:v>
                </c:pt>
                <c:pt idx="4">
                  <c:v>81000</c:v>
                </c:pt>
                <c:pt idx="5">
                  <c:v>1868500</c:v>
                </c:pt>
              </c:numCache>
            </c:numRef>
          </c:val>
          <c:extLst>
            <c:ext xmlns:c16="http://schemas.microsoft.com/office/drawing/2014/chart" uri="{C3380CC4-5D6E-409C-BE32-E72D297353CC}">
              <c16:uniqueId val="{00000000-E0D7-4471-8F5A-A8348D7357EF}"/>
            </c:ext>
          </c:extLst>
        </c:ser>
        <c:ser>
          <c:idx val="1"/>
          <c:order val="1"/>
          <c:tx>
            <c:strRef>
              <c:f>'Chamber Board Report'!$D$19</c:f>
              <c:strCache>
                <c:ptCount val="1"/>
                <c:pt idx="0">
                  <c:v>2025 COLLECTED + COMMITTED</c:v>
                </c:pt>
              </c:strCache>
            </c:strRef>
          </c:tx>
          <c:spPr>
            <a:solidFill>
              <a:schemeClr val="accent2"/>
            </a:solidFill>
            <a:ln>
              <a:noFill/>
            </a:ln>
            <a:effectLst/>
          </c:spPr>
          <c:invertIfNegative val="0"/>
          <c:cat>
            <c:strRef>
              <c:f>'Chamber Board Report'!$B$20:$B$25</c:f>
              <c:strCache>
                <c:ptCount val="6"/>
                <c:pt idx="0">
                  <c:v>EVENTS*</c:v>
                </c:pt>
                <c:pt idx="1">
                  <c:v>TOAD SUCK DAZE/ILLUMINATE</c:v>
                </c:pt>
                <c:pt idx="2">
                  <c:v>PUBLICATIONS</c:v>
                </c:pt>
                <c:pt idx="3">
                  <c:v>CALI</c:v>
                </c:pt>
                <c:pt idx="4">
                  <c:v>GOVERNMENT AFFAIRS</c:v>
                </c:pt>
                <c:pt idx="5">
                  <c:v>TOTAL</c:v>
                </c:pt>
              </c:strCache>
            </c:strRef>
          </c:cat>
          <c:val>
            <c:numRef>
              <c:f>'Chamber Board Report'!$D$20:$D$25</c:f>
              <c:numCache>
                <c:formatCode>"$"#,##0.00;[Red]"$"#,##0.00</c:formatCode>
                <c:ptCount val="6"/>
                <c:pt idx="0">
                  <c:v>1244255</c:v>
                </c:pt>
                <c:pt idx="1">
                  <c:v>542350</c:v>
                </c:pt>
                <c:pt idx="2">
                  <c:v>308751</c:v>
                </c:pt>
                <c:pt idx="3">
                  <c:v>50895</c:v>
                </c:pt>
                <c:pt idx="4">
                  <c:v>90000</c:v>
                </c:pt>
                <c:pt idx="5">
                  <c:v>2146251</c:v>
                </c:pt>
              </c:numCache>
            </c:numRef>
          </c:val>
          <c:extLst>
            <c:ext xmlns:c16="http://schemas.microsoft.com/office/drawing/2014/chart" uri="{C3380CC4-5D6E-409C-BE32-E72D297353CC}">
              <c16:uniqueId val="{00000001-E0D7-4471-8F5A-A8348D7357EF}"/>
            </c:ext>
          </c:extLst>
        </c:ser>
        <c:dLbls>
          <c:showLegendKey val="0"/>
          <c:showVal val="0"/>
          <c:showCatName val="0"/>
          <c:showSerName val="0"/>
          <c:showPercent val="0"/>
          <c:showBubbleSize val="0"/>
        </c:dLbls>
        <c:gapWidth val="219"/>
        <c:overlap val="-27"/>
        <c:axId val="541376591"/>
        <c:axId val="541377071"/>
      </c:barChart>
      <c:catAx>
        <c:axId val="54137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377071"/>
        <c:crosses val="autoZero"/>
        <c:auto val="1"/>
        <c:lblAlgn val="ctr"/>
        <c:lblOffset val="100"/>
        <c:noMultiLvlLbl val="0"/>
      </c:catAx>
      <c:valAx>
        <c:axId val="541377071"/>
        <c:scaling>
          <c:orientation val="minMax"/>
          <c:max val="1000000"/>
          <c:min val="10000"/>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376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'Conway Pub. Board Report'!$C$21</c:f>
              <c:strCache>
                <c:ptCount val="1"/>
                <c:pt idx="0">
                  <c:v>2025 BUDGET</c:v>
                </c:pt>
              </c:strCache>
            </c:strRef>
          </c:tx>
          <c:spPr>
            <a:solidFill>
              <a:schemeClr val="accent1"/>
            </a:solidFill>
            <a:ln>
              <a:noFill/>
            </a:ln>
            <a:effectLst/>
          </c:spPr>
          <c:invertIfNegative val="0"/>
          <c:cat>
            <c:strRef>
              <c:f>'Conway Pub. Board Report'!$B$22:$B$26</c:f>
              <c:strCache>
                <c:ptCount val="5"/>
                <c:pt idx="0">
                  <c:v>Conway+ Community Profile &amp; Resource Guide</c:v>
                </c:pt>
                <c:pt idx="1">
                  <c:v>Online</c:v>
                </c:pt>
                <c:pt idx="2">
                  <c:v>Pulse of Conway</c:v>
                </c:pt>
                <c:pt idx="3">
                  <c:v>Welcome to Conway Box</c:v>
                </c:pt>
                <c:pt idx="4">
                  <c:v>TOTAL</c:v>
                </c:pt>
              </c:strCache>
            </c:strRef>
          </c:cat>
          <c:val>
            <c:numRef>
              <c:f>'Conway Pub. Board Report'!$C$22:$C$26</c:f>
              <c:numCache>
                <c:formatCode>"$"#,##0.00;[Red]"$"#,##0.00</c:formatCode>
                <c:ptCount val="5"/>
                <c:pt idx="0">
                  <c:v>130000</c:v>
                </c:pt>
              </c:numCache>
            </c:numRef>
          </c:val>
          <c:extLst>
            <c:ext xmlns:c16="http://schemas.microsoft.com/office/drawing/2014/chart" uri="{C3380CC4-5D6E-409C-BE32-E72D297353CC}">
              <c16:uniqueId val="{00000000-DB4D-4B68-820B-2F8ABF52B2C4}"/>
            </c:ext>
          </c:extLst>
        </c:ser>
        <c:ser>
          <c:idx val="1"/>
          <c:order val="1"/>
          <c:tx>
            <c:strRef>
              <c:f>'Conway Pub. Board Report'!$D$21</c:f>
              <c:strCache>
                <c:ptCount val="1"/>
                <c:pt idx="0">
                  <c:v>2025 COLLECTED + COMMITTED</c:v>
                </c:pt>
              </c:strCache>
            </c:strRef>
          </c:tx>
          <c:spPr>
            <a:solidFill>
              <a:schemeClr val="accent2"/>
            </a:solidFill>
            <a:ln>
              <a:noFill/>
            </a:ln>
            <a:effectLst/>
          </c:spPr>
          <c:invertIfNegative val="0"/>
          <c:cat>
            <c:strRef>
              <c:f>'Conway Pub. Board Report'!$B$22:$B$26</c:f>
              <c:strCache>
                <c:ptCount val="5"/>
                <c:pt idx="0">
                  <c:v>Conway+ Community Profile &amp; Resource Guide</c:v>
                </c:pt>
                <c:pt idx="1">
                  <c:v>Online</c:v>
                </c:pt>
                <c:pt idx="2">
                  <c:v>Pulse of Conway</c:v>
                </c:pt>
                <c:pt idx="3">
                  <c:v>Welcome to Conway Box</c:v>
                </c:pt>
                <c:pt idx="4">
                  <c:v>TOTAL</c:v>
                </c:pt>
              </c:strCache>
            </c:strRef>
          </c:cat>
          <c:val>
            <c:numRef>
              <c:f>'Conway Pub. Board Report'!$D$22:$D$26</c:f>
              <c:numCache>
                <c:formatCode>"$"#,##0.00;[Red]"$"#,##0.00</c:formatCode>
                <c:ptCount val="5"/>
                <c:pt idx="0">
                  <c:v>101165</c:v>
                </c:pt>
                <c:pt idx="1">
                  <c:v>0</c:v>
                </c:pt>
                <c:pt idx="2">
                  <c:v>181786</c:v>
                </c:pt>
                <c:pt idx="3">
                  <c:v>25800</c:v>
                </c:pt>
                <c:pt idx="4">
                  <c:v>308751</c:v>
                </c:pt>
              </c:numCache>
            </c:numRef>
          </c:val>
          <c:extLst>
            <c:ext xmlns:c16="http://schemas.microsoft.com/office/drawing/2014/chart" uri="{C3380CC4-5D6E-409C-BE32-E72D297353CC}">
              <c16:uniqueId val="{00000001-DB4D-4B68-820B-2F8ABF52B2C4}"/>
            </c:ext>
          </c:extLst>
        </c:ser>
        <c:dLbls>
          <c:showLegendKey val="0"/>
          <c:showVal val="0"/>
          <c:showCatName val="0"/>
          <c:showSerName val="0"/>
          <c:showPercent val="0"/>
          <c:showBubbleSize val="0"/>
        </c:dLbls>
        <c:gapWidth val="219"/>
        <c:overlap val="-27"/>
        <c:axId val="339383359"/>
        <c:axId val="296704719"/>
      </c:barChart>
      <c:catAx>
        <c:axId val="33938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04719"/>
        <c:crosses val="autoZero"/>
        <c:auto val="1"/>
        <c:lblAlgn val="ctr"/>
        <c:lblOffset val="100"/>
        <c:noMultiLvlLbl val="0"/>
      </c:catAx>
      <c:valAx>
        <c:axId val="296704719"/>
        <c:scaling>
          <c:orientation val="minMax"/>
          <c:max val="500000"/>
          <c:min val="15000"/>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383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600074</xdr:colOff>
      <xdr:row>2</xdr:row>
      <xdr:rowOff>176212</xdr:rowOff>
    </xdr:from>
    <xdr:to>
      <xdr:col>6</xdr:col>
      <xdr:colOff>533400</xdr:colOff>
      <xdr:row>17</xdr:row>
      <xdr:rowOff>61912</xdr:rowOff>
    </xdr:to>
    <xdr:graphicFrame macro="">
      <xdr:nvGraphicFramePr>
        <xdr:cNvPr id="3" name="Chart 2">
          <a:extLst>
            <a:ext uri="{FF2B5EF4-FFF2-40B4-BE49-F238E27FC236}">
              <a16:creationId xmlns:a16="http://schemas.microsoft.com/office/drawing/2014/main" id="{3F272C76-CF17-02C0-345D-55A0C9369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4762</xdr:rowOff>
    </xdr:from>
    <xdr:to>
      <xdr:col>4</xdr:col>
      <xdr:colOff>600075</xdr:colOff>
      <xdr:row>17</xdr:row>
      <xdr:rowOff>80962</xdr:rowOff>
    </xdr:to>
    <xdr:graphicFrame macro="">
      <xdr:nvGraphicFramePr>
        <xdr:cNvPr id="2" name="Chart 1">
          <a:extLst>
            <a:ext uri="{FF2B5EF4-FFF2-40B4-BE49-F238E27FC236}">
              <a16:creationId xmlns:a16="http://schemas.microsoft.com/office/drawing/2014/main" id="{9148BE6A-3D75-39E5-10AF-5F5ADF66A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nwayarkansas.sharepoint.com/Shared%20Documents/Chamber%20-%20Blueprint/2024%20Blueprint/2024%20Blueprint.xlsx" TargetMode="External"/><Relationship Id="rId1" Type="http://schemas.openxmlformats.org/officeDocument/2006/relationships/externalLinkPath" Target="https://conwayarkansas.sharepoint.com/Shared%20Documents/Chamber%20-%20Blueprint/2024%20Blueprint/2024%20Bluepri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3ul2xhvN3U2dLg8Q5IthCc_Ul-HlTz9Pkx5G2kbl21pt22azoFgLTbCbE61yX-XX" itemId="01FGRZVJGDWX726V7G4VAYFI54RDC53DLI">
      <xxl21:absoluteUrl r:id="rId2"/>
    </xxl21:alternateUrls>
    <sheetNames>
      <sheetName val="Academic Signing Day"/>
      <sheetName val="Annual Meeting"/>
      <sheetName val="Baggo for Business"/>
      <sheetName val="Biketoberfest"/>
      <sheetName val="Bowling for Business"/>
      <sheetName val="Business Expo &amp; Taste of Conway"/>
      <sheetName val="Catfish &amp; Cold Ones"/>
      <sheetName val="CDC Memberships"/>
      <sheetName val="CDP Memberships"/>
      <sheetName val="CDP Annual Meeting"/>
      <sheetName val="CEO Luncheons"/>
      <sheetName val="Chamber New Members"/>
      <sheetName val="Conway+"/>
      <sheetName val="Conway+Features"/>
      <sheetName val="Conway Area Healthcare Awards"/>
      <sheetName val="CALI Tuition"/>
      <sheetName val="CALI"/>
      <sheetName val="Diversity in Business"/>
      <sheetName val="Government Affairs (2)"/>
      <sheetName val="Government Affairs"/>
      <sheetName val="Illuminate"/>
      <sheetName val="Launch Conway"/>
      <sheetName val="Off the Clock"/>
      <sheetName val="Outlook Conway"/>
      <sheetName val="Pipeline"/>
      <sheetName val="Pulse of Conway"/>
      <sheetName val="SPARK!"/>
      <sheetName val="Teacher BKF &amp; Education Fair"/>
      <sheetName val="Toad Suck Daze"/>
      <sheetName val="UCA Purple Passion"/>
      <sheetName val="Welcome to Conway Box"/>
      <sheetName val="Women in Business"/>
      <sheetName val="MASTER"/>
      <sheetName val="Outstanding Collections"/>
      <sheetName val="Overall Sales Goals"/>
      <sheetName val="Chamber Board Report"/>
      <sheetName val="Conway Pub. Board Report"/>
      <sheetName val="YTD Sales by Person"/>
      <sheetName val="Blueprint Visits"/>
      <sheetName val="Staff Contact"/>
      <sheetName val="Chairman's Circle Levels"/>
      <sheetName val="Chairman's Circle Event"/>
      <sheetName val="Chairman's Circle Investors"/>
      <sheetName val="Foundation Inves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B2">
            <v>111425</v>
          </cell>
        </row>
      </sheetData>
      <sheetData sheetId="13"/>
      <sheetData sheetId="14"/>
      <sheetData sheetId="15"/>
      <sheetData sheetId="16"/>
      <sheetData sheetId="17"/>
      <sheetData sheetId="18"/>
      <sheetData sheetId="19"/>
      <sheetData sheetId="20">
        <row r="2">
          <cell r="B2">
            <v>58225</v>
          </cell>
        </row>
      </sheetData>
      <sheetData sheetId="21"/>
      <sheetData sheetId="22">
        <row r="2">
          <cell r="B2">
            <v>69500</v>
          </cell>
        </row>
      </sheetData>
      <sheetData sheetId="23"/>
      <sheetData sheetId="24"/>
      <sheetData sheetId="25">
        <row r="2">
          <cell r="B2">
            <v>207200</v>
          </cell>
        </row>
      </sheetData>
      <sheetData sheetId="26"/>
      <sheetData sheetId="27"/>
      <sheetData sheetId="28">
        <row r="2">
          <cell r="B2">
            <v>429250</v>
          </cell>
        </row>
      </sheetData>
      <sheetData sheetId="29"/>
      <sheetData sheetId="30">
        <row r="2">
          <cell r="B2">
            <v>13250</v>
          </cell>
        </row>
      </sheetData>
      <sheetData sheetId="31"/>
      <sheetData sheetId="32"/>
      <sheetData sheetId="33"/>
      <sheetData sheetId="34"/>
      <sheetData sheetId="35">
        <row r="32">
          <cell r="B32">
            <v>15000</v>
          </cell>
        </row>
        <row r="33">
          <cell r="B33">
            <v>305120</v>
          </cell>
        </row>
        <row r="34">
          <cell r="B34">
            <v>29300</v>
          </cell>
        </row>
        <row r="35">
          <cell r="B35">
            <v>32250</v>
          </cell>
        </row>
        <row r="36">
          <cell r="B36">
            <v>30250</v>
          </cell>
        </row>
        <row r="37">
          <cell r="B37">
            <v>117965</v>
          </cell>
        </row>
        <row r="38">
          <cell r="B38">
            <v>39573</v>
          </cell>
        </row>
        <row r="39">
          <cell r="B39">
            <v>20550</v>
          </cell>
        </row>
        <row r="40">
          <cell r="B40">
            <v>29850</v>
          </cell>
        </row>
        <row r="41">
          <cell r="B41">
            <v>28375</v>
          </cell>
        </row>
        <row r="42">
          <cell r="B42">
            <v>66500</v>
          </cell>
        </row>
        <row r="47">
          <cell r="B47">
            <v>62925</v>
          </cell>
        </row>
        <row r="48">
          <cell r="B48">
            <v>125500</v>
          </cell>
        </row>
        <row r="49">
          <cell r="B49">
            <v>56100</v>
          </cell>
        </row>
        <row r="50">
          <cell r="B50">
            <v>26750</v>
          </cell>
        </row>
        <row r="51">
          <cell r="B51">
            <v>68835</v>
          </cell>
        </row>
      </sheetData>
      <sheetData sheetId="36"/>
      <sheetData sheetId="37"/>
      <sheetData sheetId="38"/>
      <sheetData sheetId="39"/>
      <sheetData sheetId="40"/>
      <sheetData sheetId="41"/>
      <sheetData sheetId="42"/>
      <sheetData sheetId="43"/>
    </sheetDataSet>
  </externalBook>
</externalLink>
</file>

<file path=xl/persons/person.xml><?xml version="1.0" encoding="utf-8"?>
<personList xmlns="http://schemas.microsoft.com/office/spreadsheetml/2018/threadedcomments" xmlns:x="http://schemas.openxmlformats.org/spreadsheetml/2006/main">
  <person displayName="Lindsay Henderson" id="{841B0514-C2D0-4706-B688-12B615A3C596}" userId="S::Lindsay.Henderson@conwayarkansas.org::d6470dc4-5236-4bc7-add5-fef1f10b0fe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2.xml"/></Relationships>
</file>

<file path=xl/pivotCache/_rels/pivotCacheDefinition23.xml.rels><?xml version="1.0" encoding="UTF-8" standalone="yes"?>
<Relationships xmlns="http://schemas.openxmlformats.org/package/2006/relationships"><Relationship Id="rId1" Type="http://schemas.openxmlformats.org/officeDocument/2006/relationships/pivotCacheRecords" Target="pivotCacheRecords23.xml"/></Relationships>
</file>

<file path=xl/pivotCache/_rels/pivotCacheDefinition24.xml.rels><?xml version="1.0" encoding="UTF-8" standalone="yes"?>
<Relationships xmlns="http://schemas.openxmlformats.org/package/2006/relationships"><Relationship Id="rId1" Type="http://schemas.openxmlformats.org/officeDocument/2006/relationships/pivotCacheRecords" Target="pivotCacheRecords24.xml"/></Relationships>
</file>

<file path=xl/pivotCache/_rels/pivotCacheDefinition25.xml.rels><?xml version="1.0" encoding="UTF-8" standalone="yes"?>
<Relationships xmlns="http://schemas.openxmlformats.org/package/2006/relationships"><Relationship Id="rId1" Type="http://schemas.openxmlformats.org/officeDocument/2006/relationships/pivotCacheRecords" Target="pivotCacheRecords25.xml"/></Relationships>
</file>

<file path=xl/pivotCache/_rels/pivotCacheDefinition26.xml.rels><?xml version="1.0" encoding="UTF-8" standalone="yes"?>
<Relationships xmlns="http://schemas.openxmlformats.org/package/2006/relationships"><Relationship Id="rId1" Type="http://schemas.openxmlformats.org/officeDocument/2006/relationships/pivotCacheRecords" Target="pivotCacheRecords26.xml"/></Relationships>
</file>

<file path=xl/pivotCache/_rels/pivotCacheDefinition27.xml.rels><?xml version="1.0" encoding="UTF-8" standalone="yes"?>
<Relationships xmlns="http://schemas.openxmlformats.org/package/2006/relationships"><Relationship Id="rId1" Type="http://schemas.openxmlformats.org/officeDocument/2006/relationships/pivotCacheRecords" Target="pivotCacheRecords27.xml"/></Relationships>
</file>

<file path=xl/pivotCache/_rels/pivotCacheDefinition28.xml.rels><?xml version="1.0" encoding="UTF-8" standalone="yes"?>
<Relationships xmlns="http://schemas.openxmlformats.org/package/2006/relationships"><Relationship Id="rId1" Type="http://schemas.openxmlformats.org/officeDocument/2006/relationships/pivotCacheRecords" Target="pivotCacheRecords28.xml"/></Relationships>
</file>

<file path=xl/pivotCache/_rels/pivotCacheDefinition29.xml.rels><?xml version="1.0" encoding="UTF-8" standalone="yes"?>
<Relationships xmlns="http://schemas.openxmlformats.org/package/2006/relationships"><Relationship Id="rId1" Type="http://schemas.openxmlformats.org/officeDocument/2006/relationships/pivotCacheRecords" Target="pivotCacheRecords2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617.529947337964" createdVersion="8" refreshedVersion="8" minRefreshableVersion="3" recordCount="309" xr:uid="{E2D8FD5D-6606-4C97-A686-FF4CB4E56449}">
  <cacheSource type="worksheet">
    <worksheetSource ref="E8:F317" sheet="Online"/>
  </cacheSource>
  <cacheFields count="2">
    <cacheField name="PRICE PLEDGED" numFmtId="0">
      <sharedItems containsNonDate="0" containsString="0" containsBlank="1" count="1">
        <m/>
      </sharedItems>
    </cacheField>
    <cacheField name="SOLD BY" numFmtId="0">
      <sharedItems containsBlank="1" count="19">
        <m/>
        <s v="BL-O"/>
        <s v="BL-N"/>
        <s v="BL"/>
        <s v="CP-O"/>
        <s v="CP-N"/>
        <s v="CP"/>
        <s v="JG-O"/>
        <s v="JG-N"/>
        <s v="JG"/>
        <s v="JE-O"/>
        <s v="JE-N"/>
        <s v="JE"/>
        <s v="LC-O"/>
        <s v="LC-N"/>
        <s v="LC"/>
        <s v="LH-O"/>
        <s v="LH-N"/>
        <s v="LH"/>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720.552993055557" createdVersion="8" refreshedVersion="8" minRefreshableVersion="3" recordCount="309" xr:uid="{32FCBEB5-FC10-497B-8A79-B39E8C2E633F}">
  <cacheSource type="worksheet">
    <worksheetSource ref="D8:E317" sheet="Academic Signing Day"/>
  </cacheSource>
  <cacheFields count="2">
    <cacheField name="PRICE PLEDGED" numFmtId="0">
      <sharedItems containsString="0" containsBlank="1" containsNumber="1" containsInteger="1" minValue="500" maxValue="5000"/>
    </cacheField>
    <cacheField name="SOLD BY" numFmtId="0">
      <sharedItems containsBlank="1" count="19">
        <s v="BL"/>
        <s v="BL-N"/>
        <m/>
        <s v="BL-O"/>
        <s v="CP-O"/>
        <s v="CP-N"/>
        <s v="CP"/>
        <s v="JG-O"/>
        <s v="JG-N"/>
        <s v="JG"/>
        <s v="JE-O"/>
        <s v="JE-N"/>
        <s v="JE"/>
        <s v="LC-O"/>
        <s v="LC-N"/>
        <s v="LC"/>
        <s v="LH-O"/>
        <s v="LH-N"/>
        <s v="LH"/>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733.562659374998" createdVersion="8" refreshedVersion="8" minRefreshableVersion="3" recordCount="307" xr:uid="{3A5B42DE-C910-4FBA-8239-A747524F7215}">
  <cacheSource type="worksheet">
    <worksheetSource ref="D8:E315" sheet="CALI Tuition"/>
  </cacheSource>
  <cacheFields count="2">
    <cacheField name="PRICE PLEDGED" numFmtId="0">
      <sharedItems containsString="0" containsBlank="1" containsNumber="1" containsInteger="1" minValue="0" maxValue="1795"/>
    </cacheField>
    <cacheField name="SOLD BY" numFmtId="0">
      <sharedItems containsBlank="1" count="19">
        <s v="Bl-N"/>
        <s v="LH-N"/>
        <m/>
        <s v="JG-N"/>
        <s v="CP-N"/>
        <s v="JE-N"/>
        <s v="LC-N"/>
        <s v="BL-O"/>
        <s v="BL"/>
        <s v="CP-O"/>
        <s v="CP"/>
        <s v="JG-O"/>
        <s v="JG"/>
        <s v="JE-O"/>
        <s v="JE"/>
        <s v="LC-O"/>
        <s v="LC"/>
        <s v="LH-O"/>
        <s v="LH"/>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735.464162847224" createdVersion="8" refreshedVersion="8" minRefreshableVersion="3" recordCount="309" xr:uid="{23A8936C-FD8B-454C-89B4-CD793CB5B5EE}">
  <cacheSource type="worksheet">
    <worksheetSource ref="D8:E317" sheet="Biketoberfest"/>
  </cacheSource>
  <cacheFields count="2">
    <cacheField name="PRICE PLEDGED" numFmtId="0">
      <sharedItems containsString="0" containsBlank="1" containsNumber="1" containsInteger="1" minValue="0" maxValue="7500"/>
    </cacheField>
    <cacheField name="SOLD BY" numFmtId="0">
      <sharedItems containsBlank="1" count="19">
        <s v="BL"/>
        <s v="JG-N"/>
        <s v="LH"/>
        <m/>
        <s v="BL-O"/>
        <s v="BL-N"/>
        <s v="CP-O"/>
        <s v="CP-N"/>
        <s v="CP"/>
        <s v="JG-O"/>
        <s v="JG"/>
        <s v="JE-O"/>
        <s v="JE-N"/>
        <s v="JE"/>
        <s v="LC-O"/>
        <s v="LC-N"/>
        <s v="LC"/>
        <s v="LH-O"/>
        <s v="LH-N"/>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761.415830208331" createdVersion="8" refreshedVersion="8" minRefreshableVersion="3" recordCount="309" xr:uid="{4F09EBE6-B4FC-4D26-862C-0C828970E27A}">
  <cacheSource type="worksheet">
    <worksheetSource ref="D8:E317" sheet="CALI"/>
  </cacheSource>
  <cacheFields count="2">
    <cacheField name="PRICE PLEDGED" numFmtId="0">
      <sharedItems containsBlank="1" containsMixedTypes="1" containsNumber="1" containsInteger="1" minValue="0" maxValue="15000"/>
    </cacheField>
    <cacheField name="SOLD BY" numFmtId="0">
      <sharedItems containsBlank="1" count="20">
        <s v="LH"/>
        <s v="BL-N"/>
        <s v="CP-N"/>
        <s v="BL"/>
        <s v="JG"/>
        <m/>
        <s v="JE-O"/>
        <s v="LC"/>
        <s v="SOLD BY"/>
        <s v="LH-O"/>
        <s v="BL-O"/>
        <s v="CP-O"/>
        <s v="CP"/>
        <s v="JG-O"/>
        <s v="JG-N"/>
        <s v="JE-N"/>
        <s v="JE"/>
        <s v="LC-O"/>
        <s v="LC-N"/>
        <s v="LH-N"/>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775.541768750001" createdVersion="8" refreshedVersion="8" minRefreshableVersion="3" recordCount="316" xr:uid="{E65CDB76-5353-4758-B931-A43FB1366E77}">
  <cacheSource type="worksheet">
    <worksheetSource ref="D8:E324" sheet="Catfish &amp; Cold Ones"/>
  </cacheSource>
  <cacheFields count="2">
    <cacheField name="PRICE PLEDGED" numFmtId="0">
      <sharedItems containsString="0" containsBlank="1" containsNumber="1" containsInteger="1" minValue="0" maxValue="7500"/>
    </cacheField>
    <cacheField name="SOLD BY" numFmtId="0">
      <sharedItems containsBlank="1" count="19">
        <s v="LH"/>
        <s v="BL"/>
        <s v="JG-N"/>
        <s v="BL-N"/>
        <m/>
        <s v="LC"/>
        <s v="LC-N"/>
        <s v="JE"/>
        <s v="JE-N"/>
        <s v="BL-O"/>
        <s v="CP-O"/>
        <s v="CP-N"/>
        <s v="CP"/>
        <s v="JG-O"/>
        <s v="JG"/>
        <s v="JE-O"/>
        <s v="LC-O"/>
        <s v="LH-O"/>
        <s v="LH-N"/>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777.555157060182" createdVersion="8" refreshedVersion="8" minRefreshableVersion="3" recordCount="309" xr:uid="{BBCB7B19-CDBB-4B51-BC89-CE8E742F8899}">
  <cacheSource type="worksheet">
    <worksheetSource ref="D8:E317" sheet="Outlook Conway"/>
  </cacheSource>
  <cacheFields count="2">
    <cacheField name="PRICE PLEDGED" numFmtId="0">
      <sharedItems containsString="0" containsBlank="1" containsNumber="1" containsInteger="1" minValue="0" maxValue="10000"/>
    </cacheField>
    <cacheField name="SOLD BY" numFmtId="0">
      <sharedItems containsBlank="1" count="19">
        <s v="LH"/>
        <s v="BL"/>
        <m/>
        <s v="BL-N"/>
        <s v="LC"/>
        <s v="JG"/>
        <s v="JG-N"/>
        <s v="LH-N"/>
        <s v="CP-N"/>
        <s v="BL-O"/>
        <s v="CP-O"/>
        <s v="CP"/>
        <s v="JG-O"/>
        <s v="JE-O"/>
        <s v="JE-N"/>
        <s v="JE"/>
        <s v="LC-O"/>
        <s v="LC-N"/>
        <s v="LH-O"/>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781.71206539352" createdVersion="8" refreshedVersion="8" minRefreshableVersion="3" recordCount="309" xr:uid="{31014CFC-816A-4BA3-87F7-3A2928322EA0}">
  <cacheSource type="worksheet">
    <worksheetSource ref="D8:E316" sheet="Government Affairs"/>
  </cacheSource>
  <cacheFields count="2">
    <cacheField name="PRICE PLEDGED" numFmtId="0">
      <sharedItems containsString="0" containsBlank="1" containsNumber="1" containsInteger="1" minValue="0" maxValue="3000"/>
    </cacheField>
    <cacheField name="SOLD BY" numFmtId="0">
      <sharedItems containsBlank="1" count="19">
        <s v="BL"/>
        <s v="JG"/>
        <s v="CP-N"/>
        <s v="LH-O"/>
        <m/>
        <s v="LH"/>
        <s v="BL-N"/>
        <s v="LH-N"/>
        <s v="BL-O"/>
        <s v="CP-O"/>
        <s v="CP"/>
        <s v="JG-O"/>
        <s v="JG-N"/>
        <s v="JE-O"/>
        <s v="JE-N"/>
        <s v="JE"/>
        <s v="LC-O"/>
        <s v="LC-N"/>
        <s v="LC"/>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781.713033564818" createdVersion="8" refreshedVersion="8" minRefreshableVersion="3" recordCount="316" xr:uid="{8ADFFB14-9A5D-4BBE-AECC-E4DF45201FB4}">
  <cacheSource type="worksheet">
    <worksheetSource ref="D8:E324" sheet="Annual Meeting"/>
  </cacheSource>
  <cacheFields count="2">
    <cacheField name="PRICE PLEDGED" numFmtId="0">
      <sharedItems containsString="0" containsBlank="1" containsNumber="1" containsInteger="1" minValue="0" maxValue="20000"/>
    </cacheField>
    <cacheField name="SOLD BY" numFmtId="0">
      <sharedItems containsBlank="1" count="22">
        <s v="LH-N"/>
        <s v="BL"/>
        <m/>
        <s v="LH-O"/>
        <s v="BL-N"/>
        <s v="JG"/>
        <s v="LH"/>
        <s v="CP-N"/>
        <s v="JE"/>
        <s v="LC"/>
        <s v="TP-N"/>
        <s v="JE-N"/>
        <s v="JG-N"/>
        <s v="MM"/>
        <s v="LC-N"/>
        <s v="KW-N"/>
        <s v="BL-O"/>
        <s v="CP-O"/>
        <s v="CP"/>
        <s v="JG-O"/>
        <s v="JE-O"/>
        <s v="LC-O"/>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810.440025578704" createdVersion="8" refreshedVersion="8" minRefreshableVersion="3" recordCount="310" xr:uid="{F5195C30-44CA-4360-ACB6-E56ED703A947}">
  <cacheSource type="worksheet">
    <worksheetSource ref="D8:E318" sheet="Off the Clocks"/>
  </cacheSource>
  <cacheFields count="2">
    <cacheField name="PRICE PLEDGED" numFmtId="0">
      <sharedItems containsString="0" containsBlank="1" containsNumber="1" containsInteger="1" minValue="0" maxValue="5000"/>
    </cacheField>
    <cacheField name="SOLD BY" numFmtId="0">
      <sharedItems containsBlank="1" count="21">
        <m/>
        <s v="BL"/>
        <s v="BL-N"/>
        <s v="11.20.24"/>
        <s v="CP-N"/>
        <s v="LH-N"/>
        <s v="BL-O"/>
        <s v="CP-O"/>
        <s v="CP"/>
        <s v="JG-O"/>
        <s v="JG-N"/>
        <s v="JG"/>
        <s v="JE-O"/>
        <s v="JE-N"/>
        <s v="JE"/>
        <s v="LC-O"/>
        <s v="LC-N"/>
        <s v="LC"/>
        <s v="LH-O"/>
        <s v="LH"/>
        <s v="1.3.25" u="1"/>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818.582152430557" createdVersion="8" refreshedVersion="8" minRefreshableVersion="3" recordCount="309" xr:uid="{5D475A21-6466-45AF-B2DD-32A4CD9631CB}">
  <cacheSource type="worksheet">
    <worksheetSource ref="D8:E317" sheet="Toad Suck Daze"/>
  </cacheSource>
  <cacheFields count="2">
    <cacheField name="PRICE PLEDGED" numFmtId="0">
      <sharedItems containsString="0" containsBlank="1" containsNumber="1" containsInteger="1" minValue="0" maxValue="30000"/>
    </cacheField>
    <cacheField name="SOLD BY" numFmtId="0">
      <sharedItems containsBlank="1" count="20">
        <s v="BL"/>
        <s v="JG"/>
        <s v="BL-N"/>
        <m/>
        <s v="CP-N"/>
        <s v="LC"/>
        <s v="LH"/>
        <s v="LH-N"/>
        <s v="LC-N"/>
        <s v="JE-N"/>
        <s v="CP"/>
        <s v="JG-N"/>
        <s v="BL-O"/>
        <s v="CP-O"/>
        <s v="JG-O"/>
        <s v="JE-O"/>
        <s v="JE"/>
        <s v="LC-O"/>
        <s v="LH-O"/>
        <s v="CP-M" u="1"/>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820.415446527775" createdVersion="8" refreshedVersion="8" minRefreshableVersion="3" recordCount="309" xr:uid="{12AA6ADF-0B00-45A5-93D6-4B3972773555}">
  <cacheSource type="worksheet">
    <worksheetSource ref="D8:E317" sheet="Conway Area Healthcare Awards"/>
  </cacheSource>
  <cacheFields count="2">
    <cacheField name="PRICE PLEDGED" numFmtId="0">
      <sharedItems containsString="0" containsBlank="1" containsNumber="1" containsInteger="1" minValue="600" maxValue="10000"/>
    </cacheField>
    <cacheField name="SOLD BY" numFmtId="0">
      <sharedItems containsBlank="1" count="19">
        <s v="LH-N"/>
        <s v="BL-N"/>
        <m/>
        <s v="LH"/>
        <s v="LC"/>
        <s v="JG"/>
        <s v="BL"/>
        <s v="JE-N"/>
        <s v="BL-O"/>
        <s v="CP-O"/>
        <s v="CP-N"/>
        <s v="CP"/>
        <s v="JG-O"/>
        <s v="JG-N"/>
        <s v="JE-O"/>
        <s v="JE"/>
        <s v="LC-O"/>
        <s v="LC-N"/>
        <s v="LH-O"/>
      </sharedItems>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824.506547569443" createdVersion="8" refreshedVersion="8" minRefreshableVersion="3" recordCount="309" xr:uid="{AFC5DCE4-0E0E-41DA-B833-CEDF1B12AD9D}">
  <cacheSource type="worksheet">
    <worksheetSource ref="D8:E317" sheet="Bowling for Business"/>
  </cacheSource>
  <cacheFields count="2">
    <cacheField name="PRICE PLEDGED" numFmtId="0">
      <sharedItems containsString="0" containsBlank="1" containsNumber="1" containsInteger="1" minValue="0" maxValue="2500"/>
    </cacheField>
    <cacheField name="SOLD BY" numFmtId="0">
      <sharedItems containsBlank="1" count="19">
        <m/>
        <s v="LC"/>
        <s v="BL-N"/>
        <s v="CP"/>
        <s v="BL"/>
        <s v="JE"/>
        <s v="LC-N"/>
        <s v="LH-N"/>
        <s v="CP-N"/>
        <s v="JE-N"/>
        <s v="LH"/>
        <s v="JG-N"/>
        <s v="BL-O"/>
        <s v="CP-O"/>
        <s v="JG-O"/>
        <s v="JG"/>
        <s v="JE-O"/>
        <s v="LC-O"/>
        <s v="LH-O"/>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855.644675347219" createdVersion="8" refreshedVersion="8" minRefreshableVersion="3" recordCount="309" xr:uid="{5F0C0C3A-EB10-428B-90E9-CCD242853ACD}">
  <cacheSource type="worksheet">
    <worksheetSource ref="D8:E317" sheet="Purple Passion"/>
  </cacheSource>
  <cacheFields count="2">
    <cacheField name="PRICE PLEDGED" numFmtId="0">
      <sharedItems containsString="0" containsBlank="1" containsNumber="1" containsInteger="1" minValue="0" maxValue="6000"/>
    </cacheField>
    <cacheField name="SOLD BY" numFmtId="0">
      <sharedItems containsBlank="1" count="19">
        <m/>
        <s v="BL"/>
        <s v="BL-N"/>
        <s v="JG"/>
        <s v="JE-N"/>
        <s v="CP-N"/>
        <s v="LH"/>
        <s v="BL-O"/>
        <s v="CP-O"/>
        <s v="CP"/>
        <s v="JG-O"/>
        <s v="JG-N"/>
        <s v="JE-O"/>
        <s v="JE"/>
        <s v="LC-O"/>
        <s v="LC-N"/>
        <s v="LC"/>
        <s v="LH-O"/>
        <s v="LH-N"/>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876.407427430553" createdVersion="8" refreshedVersion="8" minRefreshableVersion="3" recordCount="309" xr:uid="{13BDEE4B-F2BB-4AF7-B89D-D6B561482F31}">
  <cacheSource type="worksheet">
    <worksheetSource ref="D8:E317" sheet="Welcome to Conway Box"/>
  </cacheSource>
  <cacheFields count="2">
    <cacheField name="PRICE PLEDGED" numFmtId="0">
      <sharedItems containsString="0" containsBlank="1" containsNumber="1" containsInteger="1" minValue="0" maxValue="1500"/>
    </cacheField>
    <cacheField name="SOLD BY" numFmtId="0">
      <sharedItems containsBlank="1" count="19">
        <s v="BL"/>
        <s v="BL-N"/>
        <s v="LH"/>
        <s v="LH-N"/>
        <m/>
        <s v="CP-N"/>
        <s v="JE-N"/>
        <s v="BL-O"/>
        <s v="CP-O"/>
        <s v="CP"/>
        <s v="JG-O"/>
        <s v="JG-N"/>
        <s v="JG"/>
        <s v="JE-O"/>
        <s v="JE"/>
        <s v="LC-O"/>
        <s v="LC-N"/>
        <s v="LC"/>
        <s v="LH-O"/>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887.619909490742" createdVersion="8" refreshedVersion="8" minRefreshableVersion="3" recordCount="309" xr:uid="{74820CAA-E9D2-4D0B-90BC-41042ADB279B}">
  <cacheSource type="worksheet">
    <worksheetSource ref="D8:E317" sheet="Teacher BKF &amp; Education Fair"/>
  </cacheSource>
  <cacheFields count="2">
    <cacheField name="PRICE PLEDGED" numFmtId="0">
      <sharedItems containsString="0" containsBlank="1" containsNumber="1" containsInteger="1" minValue="0" maxValue="5000"/>
    </cacheField>
    <cacheField name="SOLD BY" numFmtId="4">
      <sharedItems containsBlank="1" count="19">
        <s v="JG"/>
        <s v="BL"/>
        <s v="BL-N"/>
        <s v="LC"/>
        <s v="JG-N"/>
        <s v="LH"/>
        <m/>
        <s v="JE-N"/>
        <s v="LH-O"/>
        <s v="LC-N"/>
        <s v="JE"/>
        <s v="LH-N"/>
        <s v="JE-O"/>
        <s v="BL-O"/>
        <s v="CP-O"/>
        <s v="CP-N"/>
        <s v="CP"/>
        <s v="JG-O"/>
        <s v="LC-O"/>
      </sharedItems>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910.473878240744" createdVersion="8" refreshedVersion="8" minRefreshableVersion="3" recordCount="309" xr:uid="{571F1106-9ED1-4FE9-99C4-DC9541B218AD}">
  <cacheSource type="worksheet">
    <worksheetSource ref="D8:E317" sheet="Baggo for Business"/>
  </cacheSource>
  <cacheFields count="2">
    <cacheField name="PRICE PLEDGED" numFmtId="0">
      <sharedItems containsString="0" containsBlank="1" containsNumber="1" containsInteger="1" minValue="0" maxValue="5000"/>
    </cacheField>
    <cacheField name="SOLD BY" numFmtId="0">
      <sharedItems containsBlank="1" count="19">
        <s v="LH"/>
        <m/>
        <s v="BL-N"/>
        <s v="LC"/>
        <s v="JE"/>
        <s v="BL"/>
        <s v="LC-N"/>
        <s v="CP"/>
        <s v="LH-O"/>
        <s v="CP-N"/>
        <s v="JG-N"/>
        <s v="JE-N"/>
        <s v="BL-O"/>
        <s v="CP-O"/>
        <s v="JG-O"/>
        <s v="JG"/>
        <s v="JE-O"/>
        <s v="LC-O"/>
        <s v="LH-N"/>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929.395497800928" createdVersion="8" refreshedVersion="8" minRefreshableVersion="3" recordCount="309" xr:uid="{8B083CAA-11A8-4FB3-AE1B-3D4FD88B7D53}">
  <cacheSource type="worksheet">
    <worksheetSource ref="D8:E317" sheet="CDP Annual Meeting"/>
  </cacheSource>
  <cacheFields count="2">
    <cacheField name="PRICE PLEDGED" numFmtId="0">
      <sharedItems containsString="0" containsBlank="1" containsNumber="1" containsInteger="1" minValue="80" maxValue="5000"/>
    </cacheField>
    <cacheField name="SOLD BY" numFmtId="0">
      <sharedItems containsBlank="1" count="19">
        <m/>
        <s v="JG-N"/>
        <s v="CP-N"/>
        <s v="BL-N"/>
        <s v="LH"/>
        <s v="BL"/>
        <s v="LC"/>
        <s v="LC-N"/>
        <s v="BL-O"/>
        <s v="CP-O"/>
        <s v="CP"/>
        <s v="JG-O"/>
        <s v="JG"/>
        <s v="JE-O"/>
        <s v="JE-N"/>
        <s v="JE"/>
        <s v="LC-O"/>
        <s v="LH-O"/>
        <s v="LH-N"/>
      </sharedItems>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930.546694212964" createdVersion="8" refreshedVersion="8" minRefreshableVersion="3" recordCount="309" xr:uid="{F3A73A44-DB03-472F-9EEA-5CBB41F2EDBE}">
  <cacheSource type="worksheet">
    <worksheetSource ref="D8:E317" sheet="Happy Birthday Conway"/>
  </cacheSource>
  <cacheFields count="2">
    <cacheField name="PRICE PLEDGED" numFmtId="0">
      <sharedItems containsString="0" containsBlank="1" containsNumber="1" containsInteger="1" minValue="0" maxValue="5000"/>
    </cacheField>
    <cacheField name="SOLD BY" numFmtId="0">
      <sharedItems containsBlank="1" count="19">
        <s v="BL"/>
        <s v="BL-N"/>
        <s v="JG-N"/>
        <s v="LH-N"/>
        <m/>
        <s v="CP-N"/>
        <s v="LC-N"/>
        <s v="JE-N"/>
        <s v="BL-O"/>
        <s v="CP-O"/>
        <s v="CP"/>
        <s v="JG-O"/>
        <s v="JG"/>
        <s v="JE-O"/>
        <s v="JE"/>
        <s v="LC-O"/>
        <s v="LC"/>
        <s v="LH-O"/>
        <s v="LH"/>
      </sharedItems>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930.632236921294" createdVersion="8" refreshedVersion="8" minRefreshableVersion="3" recordCount="309" xr:uid="{16033712-6619-4E72-96D5-BFB29D335979}">
  <cacheSource type="worksheet">
    <worksheetSource ref="D8:E317" sheet="Launch Conway"/>
  </cacheSource>
  <cacheFields count="2">
    <cacheField name="PRICE PLEDGED" numFmtId="0">
      <sharedItems containsString="0" containsBlank="1" containsNumber="1" containsInteger="1" minValue="0" maxValue="7500"/>
    </cacheField>
    <cacheField name="SOLD BY" numFmtId="0">
      <sharedItems containsBlank="1" count="19">
        <s v="JG-N"/>
        <s v="BL"/>
        <s v="BL-N"/>
        <s v="CP"/>
        <s v="CP-N"/>
        <s v="LH"/>
        <s v="JG"/>
        <s v="LH-N"/>
        <m/>
        <s v="LC"/>
        <s v="BL-O"/>
        <s v="CP-O"/>
        <s v="JG-O"/>
        <s v="JE-O"/>
        <s v="JE-N"/>
        <s v="JE"/>
        <s v="LC-O"/>
        <s v="LC-N"/>
        <s v="LH-O"/>
      </sharedItems>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937.533833796297" createdVersion="8" refreshedVersion="8" minRefreshableVersion="3" recordCount="309" xr:uid="{1834831E-7746-4E9E-BA8B-5BC2F0DDC98D}">
  <cacheSource type="worksheet">
    <worksheetSource ref="D8:E317" sheet="Business Expo &amp; Taste of Conway"/>
  </cacheSource>
  <cacheFields count="2">
    <cacheField name="PRICE PLEDGED" numFmtId="0">
      <sharedItems containsBlank="1" containsMixedTypes="1" containsNumber="1" containsInteger="1" minValue="0" maxValue="5000"/>
    </cacheField>
    <cacheField name="SOLD BY" numFmtId="0">
      <sharedItems containsBlank="1" count="20">
        <m/>
        <s v="BL"/>
        <s v="LH"/>
        <s v="JG"/>
        <s v="JG-N"/>
        <s v="LC-N"/>
        <s v="CP"/>
        <s v="JE-N"/>
        <s v="LC"/>
        <s v="JE"/>
        <s v="CP-N"/>
        <s v="LH-N"/>
        <s v="BL-N"/>
        <s v="MM"/>
        <s v="BL-O"/>
        <s v="CP-O"/>
        <s v="JG-O"/>
        <s v="JE-O"/>
        <s v="LC-O"/>
        <s v="LH-O"/>
      </sharedItems>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937.659084143517" createdVersion="8" refreshedVersion="8" minRefreshableVersion="3" recordCount="310" xr:uid="{B8853C2E-9466-4A78-9068-1CA6DF79F044}">
  <cacheSource type="worksheet">
    <worksheetSource ref="D8:E318" sheet="CDC Membership"/>
  </cacheSource>
  <cacheFields count="2">
    <cacheField name="PRICE PLEDGED" numFmtId="0">
      <sharedItems containsBlank="1" containsMixedTypes="1" containsNumber="1" containsInteger="1" minValue="0" maxValue="5000"/>
    </cacheField>
    <cacheField name="SOLD BY" numFmtId="4">
      <sharedItems containsBlank="1" count="19">
        <s v="BL-N"/>
        <m/>
        <s v="LH-N"/>
        <s v="JG-N"/>
        <s v="LC"/>
        <s v="JG"/>
        <s v="CP-N"/>
        <s v="BL"/>
        <s v="CP"/>
        <s v="JE-N"/>
        <s v="LH"/>
        <s v="LC-N"/>
        <s v="LH-O"/>
        <s v="BL-O"/>
        <s v="CP-O"/>
        <s v="JG-O"/>
        <s v="JE-O"/>
        <s v="JE"/>
        <s v="LC-O"/>
      </sharedItems>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951.598476736108" createdVersion="8" refreshedVersion="8" minRefreshableVersion="3" recordCount="309" xr:uid="{812E3A70-0B48-4262-8E66-F45E1EAB1894}">
  <cacheSource type="worksheet">
    <worksheetSource ref="D8:E317" sheet="Diversity in Business"/>
  </cacheSource>
  <cacheFields count="2">
    <cacheField name="PRICE PLEDGED" numFmtId="0">
      <sharedItems containsString="0" containsBlank="1" containsNumber="1" containsInteger="1" minValue="0" maxValue="4500"/>
    </cacheField>
    <cacheField name="SOLD BY" numFmtId="0">
      <sharedItems containsBlank="1" count="19">
        <s v="CP-N"/>
        <s v="BL"/>
        <s v="BL-N"/>
        <m/>
        <s v="LH"/>
        <s v="LC"/>
        <s v="BL-O"/>
        <s v="CP-O"/>
        <s v="CP"/>
        <s v="JG-O"/>
        <s v="JG-N"/>
        <s v="JG"/>
        <s v="JE-O"/>
        <s v="JE-N"/>
        <s v="JE"/>
        <s v="LC-O"/>
        <s v="LC-N"/>
        <s v="LH-O"/>
        <s v="LH-N"/>
      </sharedItems>
    </cacheField>
  </cacheFields>
  <extLst>
    <ext xmlns:x14="http://schemas.microsoft.com/office/spreadsheetml/2009/9/main" uri="{725AE2AE-9491-48be-B2B4-4EB974FC3084}">
      <x14:pivotCacheDefinition/>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959.485819097223" createdVersion="8" refreshedVersion="8" minRefreshableVersion="3" recordCount="309" xr:uid="{219FCFA2-C0DB-4D19-9398-CB989B986980}">
  <cacheSource type="worksheet">
    <worksheetSource ref="D8:E317" sheet="Illuminate"/>
  </cacheSource>
  <cacheFields count="2">
    <cacheField name="PRICE PLEDGED" numFmtId="0">
      <sharedItems containsString="0" containsBlank="1" containsNumber="1" containsInteger="1" minValue="0" maxValue="10000"/>
    </cacheField>
    <cacheField name="SOLD BY" numFmtId="0">
      <sharedItems containsBlank="1" count="19">
        <s v="JG-N"/>
        <s v="BL"/>
        <s v="LC"/>
        <s v="BL-N"/>
        <s v="LH-N"/>
        <s v="CP"/>
        <s v="LC-N"/>
        <m/>
        <s v="CP-N"/>
        <s v="LH"/>
        <s v="JE-N"/>
        <s v="BL-O"/>
        <s v="CP-O"/>
        <s v="JG-O"/>
        <s v="JG"/>
        <s v="JE-O"/>
        <s v="JE"/>
        <s v="LC-O"/>
        <s v="LH-O"/>
      </sharedItems>
    </cacheField>
  </cacheFields>
  <extLst>
    <ext xmlns:x14="http://schemas.microsoft.com/office/spreadsheetml/2009/9/main" uri="{725AE2AE-9491-48be-B2B4-4EB974FC3084}">
      <x14:pivotCacheDefinition/>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961.511001041668" createdVersion="8" refreshedVersion="8" minRefreshableVersion="3" recordCount="309" xr:uid="{FC55C223-8E86-4649-B01E-81CDD40A6F78}">
  <cacheSource type="worksheet">
    <worksheetSource ref="D8:E317" sheet="SPARK!"/>
  </cacheSource>
  <cacheFields count="2">
    <cacheField name="PRICE PLEDGED" numFmtId="0">
      <sharedItems containsString="0" containsBlank="1" containsNumber="1" containsInteger="1" minValue="0" maxValue="20000"/>
    </cacheField>
    <cacheField name="SOLD BY" numFmtId="0">
      <sharedItems containsBlank="1" count="19">
        <s v="BL"/>
        <m/>
        <s v="JG"/>
        <s v="LH"/>
        <s v="JE-N"/>
        <s v="LC-N"/>
        <s v="BL-N"/>
        <s v="LC"/>
        <s v="CP"/>
        <s v="CP-N"/>
        <s v="JG-N"/>
        <s v="BL-O"/>
        <s v="CP-O"/>
        <s v="JG-O"/>
        <s v="JE-O"/>
        <s v="JE"/>
        <s v="LC-O"/>
        <s v="LH-O"/>
        <s v="LH-N"/>
      </sharedItems>
    </cacheField>
  </cacheFields>
  <extLst>
    <ext xmlns:x14="http://schemas.microsoft.com/office/spreadsheetml/2009/9/main" uri="{725AE2AE-9491-48be-B2B4-4EB974FC3084}">
      <x14:pivotCacheDefinition/>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985.401091087966" createdVersion="8" refreshedVersion="8" minRefreshableVersion="3" recordCount="310" xr:uid="{4B85E2AA-4CAC-4F2D-B479-B83D4F59EE94}">
  <cacheSource type="worksheet">
    <worksheetSource ref="D8:E318" sheet="Women in Business"/>
  </cacheSource>
  <cacheFields count="2">
    <cacheField name="PRICE PLEDGED" numFmtId="0">
      <sharedItems containsString="0" containsBlank="1" containsNumber="1" containsInteger="1" minValue="0" maxValue="7500"/>
    </cacheField>
    <cacheField name="SOLD BY" numFmtId="0">
      <sharedItems containsBlank="1" count="19">
        <s v="CP"/>
        <s v="JG"/>
        <s v="BL-N"/>
        <s v="LH"/>
        <s v="LH-N"/>
        <s v="BL"/>
        <s v="LC-N"/>
        <m/>
        <s v="JE-N"/>
        <s v="LC"/>
        <s v="CP-N"/>
        <s v="BL-O"/>
        <s v="CP-O"/>
        <s v="JG-O"/>
        <s v="JG-N"/>
        <s v="JE-O"/>
        <s v="JE"/>
        <s v="LC-O"/>
        <s v="LH-O"/>
      </sharedItems>
    </cacheField>
  </cacheFields>
  <extLst>
    <ext xmlns:x14="http://schemas.microsoft.com/office/spreadsheetml/2009/9/main" uri="{725AE2AE-9491-48be-B2B4-4EB974FC3084}">
      <x14:pivotCacheDefinition/>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985.402513194444" createdVersion="8" refreshedVersion="8" minRefreshableVersion="3" recordCount="311" xr:uid="{3D64425F-DE58-4BEA-81F2-58A96BFBCBB8}">
  <cacheSource type="worksheet">
    <worksheetSource ref="E8:F319" sheet="Pulse of Conway"/>
  </cacheSource>
  <cacheFields count="2">
    <cacheField name="PRICE PLEDGED" numFmtId="0">
      <sharedItems containsBlank="1" containsMixedTypes="1" containsNumber="1" containsInteger="1" minValue="600" maxValue="20166"/>
    </cacheField>
    <cacheField name="SOLD BY" numFmtId="0">
      <sharedItems containsBlank="1" count="21">
        <s v="LH"/>
        <s v="JG"/>
        <m/>
        <s v="SOLD BY"/>
        <s v="BL"/>
        <s v="BL-N"/>
        <s v="LC-N"/>
        <s v="LC"/>
        <s v="JG-N"/>
        <s v="LH-O"/>
        <s v="LH-N"/>
        <s v="JE-N"/>
        <s v="BL-O"/>
        <s v="CP-O"/>
        <s v="CP-N"/>
        <s v="CP"/>
        <s v="JG-O"/>
        <s v="JE-O"/>
        <s v="JE"/>
        <s v="LC-O"/>
        <s v="Logan" u="1"/>
      </sharedItems>
    </cacheField>
  </cacheFields>
  <extLst>
    <ext xmlns:x14="http://schemas.microsoft.com/office/spreadsheetml/2009/9/main" uri="{725AE2AE-9491-48be-B2B4-4EB974FC3084}">
      <x14:pivotCacheDefinition/>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995.430810648148" createdVersion="8" refreshedVersion="8" minRefreshableVersion="3" recordCount="309" xr:uid="{29169FF5-989D-4032-9082-2B9D131EE63B}">
  <cacheSource type="worksheet">
    <worksheetSource ref="D8:E317" sheet="CEO Luncheons"/>
  </cacheSource>
  <cacheFields count="2">
    <cacheField name="PRICE PLEDGED" numFmtId="0">
      <sharedItems containsString="0" containsBlank="1" containsNumber="1" containsInteger="1" minValue="0" maxValue="10000"/>
    </cacheField>
    <cacheField name="SOLD BY" numFmtId="0">
      <sharedItems containsBlank="1" count="19">
        <s v="BL"/>
        <s v="LH"/>
        <m/>
        <s v="LH-N"/>
        <s v="JE-N"/>
        <s v="CP-N"/>
        <s v="LC-N"/>
        <s v="LC"/>
        <s v="BL-O"/>
        <s v="BL-N"/>
        <s v="CP-O"/>
        <s v="CP"/>
        <s v="JG-O"/>
        <s v="JG-N"/>
        <s v="JG"/>
        <s v="JE-O"/>
        <s v="JE"/>
        <s v="LC-O"/>
        <s v="LH-O"/>
      </sharedItems>
    </cacheField>
  </cacheFields>
  <extLst>
    <ext xmlns:x14="http://schemas.microsoft.com/office/spreadsheetml/2009/9/main" uri="{725AE2AE-9491-48be-B2B4-4EB974FC3084}">
      <x14:pivotCacheDefinition/>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Henderson" refreshedDate="45999.657264351852" createdVersion="8" refreshedVersion="8" minRefreshableVersion="3" recordCount="309" xr:uid="{3A75E016-A2F5-4E11-A0FA-5FB00E0D339C}">
  <cacheSource type="worksheet">
    <worksheetSource ref="D8:E317" sheet="Conway+"/>
  </cacheSource>
  <cacheFields count="2">
    <cacheField name="PRICE PLEDGED" numFmtId="0">
      <sharedItems containsBlank="1" containsMixedTypes="1" containsNumber="1" containsInteger="1" minValue="0" maxValue="16850"/>
    </cacheField>
    <cacheField name="SOLD BY" numFmtId="4">
      <sharedItems containsBlank="1" count="19">
        <s v="LH"/>
        <s v="JG"/>
        <s v="BL"/>
        <s v="LH-O"/>
        <s v="BL-N"/>
        <m/>
        <s v="LC-N"/>
        <s v="CP-N"/>
        <s v="JE-N"/>
        <s v="JE"/>
        <s v="LC"/>
        <s v="JG-N"/>
        <s v="BL-O"/>
        <s v="CP-O"/>
        <s v="CP"/>
        <s v="JG-O"/>
        <s v="JE-O"/>
        <s v="LC-O"/>
        <s v="LH-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0"/>
  </r>
  <r>
    <x v="0"/>
    <x v="1"/>
  </r>
  <r>
    <x v="0"/>
    <x v="2"/>
  </r>
  <r>
    <x v="0"/>
    <x v="3"/>
  </r>
  <r>
    <x v="0"/>
    <x v="4"/>
  </r>
  <r>
    <x v="0"/>
    <x v="5"/>
  </r>
  <r>
    <x v="0"/>
    <x v="6"/>
  </r>
  <r>
    <x v="0"/>
    <x v="7"/>
  </r>
  <r>
    <x v="0"/>
    <x v="8"/>
  </r>
  <r>
    <x v="0"/>
    <x v="9"/>
  </r>
  <r>
    <x v="0"/>
    <x v="10"/>
  </r>
  <r>
    <x v="0"/>
    <x v="11"/>
  </r>
  <r>
    <x v="0"/>
    <x v="12"/>
  </r>
  <r>
    <x v="0"/>
    <x v="13"/>
  </r>
  <r>
    <x v="0"/>
    <x v="14"/>
  </r>
  <r>
    <x v="0"/>
    <x v="15"/>
  </r>
  <r>
    <x v="0"/>
    <x v="16"/>
  </r>
  <r>
    <x v="0"/>
    <x v="17"/>
  </r>
  <r>
    <x v="0"/>
    <x v="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5000"/>
    <x v="0"/>
  </r>
  <r>
    <n v="3500"/>
    <x v="0"/>
  </r>
  <r>
    <n v="2500"/>
    <x v="1"/>
  </r>
  <r>
    <m/>
    <x v="2"/>
  </r>
  <r>
    <n v="1000"/>
    <x v="0"/>
  </r>
  <r>
    <n v="1000"/>
    <x v="0"/>
  </r>
  <r>
    <n v="500"/>
    <x v="0"/>
  </r>
  <r>
    <n v="1500"/>
    <x v="1"/>
  </r>
  <r>
    <n v="1000"/>
    <x v="0"/>
  </r>
  <r>
    <n v="500"/>
    <x v="0"/>
  </r>
  <r>
    <n v="1000"/>
    <x v="0"/>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3"/>
  </r>
  <r>
    <m/>
    <x v="1"/>
  </r>
  <r>
    <m/>
    <x v="0"/>
  </r>
  <r>
    <m/>
    <x v="4"/>
  </r>
  <r>
    <m/>
    <x v="5"/>
  </r>
  <r>
    <m/>
    <x v="6"/>
  </r>
  <r>
    <m/>
    <x v="7"/>
  </r>
  <r>
    <m/>
    <x v="8"/>
  </r>
  <r>
    <m/>
    <x v="9"/>
  </r>
  <r>
    <m/>
    <x v="10"/>
  </r>
  <r>
    <m/>
    <x v="11"/>
  </r>
  <r>
    <m/>
    <x v="12"/>
  </r>
  <r>
    <m/>
    <x v="13"/>
  </r>
  <r>
    <m/>
    <x v="14"/>
  </r>
  <r>
    <m/>
    <x v="15"/>
  </r>
  <r>
    <m/>
    <x v="16"/>
  </r>
  <r>
    <m/>
    <x v="17"/>
  </r>
  <r>
    <m/>
    <x v="1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n v="1795"/>
    <x v="0"/>
  </r>
  <r>
    <n v="1795"/>
    <x v="0"/>
  </r>
  <r>
    <n v="1795"/>
    <x v="1"/>
  </r>
  <r>
    <n v="1795"/>
    <x v="1"/>
  </r>
  <r>
    <n v="1795"/>
    <x v="1"/>
  </r>
  <r>
    <n v="1795"/>
    <x v="0"/>
  </r>
  <r>
    <n v="1795"/>
    <x v="2"/>
  </r>
  <r>
    <n v="1795"/>
    <x v="3"/>
  </r>
  <r>
    <n v="0"/>
    <x v="2"/>
  </r>
  <r>
    <n v="1795"/>
    <x v="0"/>
  </r>
  <r>
    <n v="1795"/>
    <x v="0"/>
  </r>
  <r>
    <n v="1795"/>
    <x v="2"/>
  </r>
  <r>
    <n v="1795"/>
    <x v="0"/>
  </r>
  <r>
    <n v="1795"/>
    <x v="0"/>
  </r>
  <r>
    <n v="1795"/>
    <x v="0"/>
  </r>
  <r>
    <n v="1795"/>
    <x v="0"/>
  </r>
  <r>
    <n v="1795"/>
    <x v="0"/>
  </r>
  <r>
    <n v="1795"/>
    <x v="0"/>
  </r>
  <r>
    <n v="1795"/>
    <x v="2"/>
  </r>
  <r>
    <m/>
    <x v="2"/>
  </r>
  <r>
    <n v="1795"/>
    <x v="4"/>
  </r>
  <r>
    <n v="0"/>
    <x v="1"/>
  </r>
  <r>
    <n v="1795"/>
    <x v="0"/>
  </r>
  <r>
    <n v="1795"/>
    <x v="0"/>
  </r>
  <r>
    <n v="1795"/>
    <x v="0"/>
  </r>
  <r>
    <n v="1795"/>
    <x v="0"/>
  </r>
  <r>
    <n v="1795"/>
    <x v="2"/>
  </r>
  <r>
    <n v="1795"/>
    <x v="4"/>
  </r>
  <r>
    <n v="1795"/>
    <x v="4"/>
  </r>
  <r>
    <n v="1795"/>
    <x v="0"/>
  </r>
  <r>
    <n v="1795"/>
    <x v="1"/>
  </r>
  <r>
    <n v="1795"/>
    <x v="2"/>
  </r>
  <r>
    <n v="1795"/>
    <x v="1"/>
  </r>
  <r>
    <n v="1795"/>
    <x v="5"/>
  </r>
  <r>
    <m/>
    <x v="2"/>
  </r>
  <r>
    <n v="1795"/>
    <x v="0"/>
  </r>
  <r>
    <n v="1795"/>
    <x v="2"/>
  </r>
  <r>
    <n v="1795"/>
    <x v="2"/>
  </r>
  <r>
    <n v="1795"/>
    <x v="1"/>
  </r>
  <r>
    <n v="1795"/>
    <x v="6"/>
  </r>
  <r>
    <n v="1795"/>
    <x v="6"/>
  </r>
  <r>
    <n v="1795"/>
    <x v="0"/>
  </r>
  <r>
    <n v="1795"/>
    <x v="0"/>
  </r>
  <r>
    <m/>
    <x v="2"/>
  </r>
  <r>
    <n v="1795"/>
    <x v="0"/>
  </r>
  <r>
    <n v="1795"/>
    <x v="2"/>
  </r>
  <r>
    <n v="0"/>
    <x v="0"/>
  </r>
  <r>
    <n v="0"/>
    <x v="0"/>
  </r>
  <r>
    <n v="0"/>
    <x v="2"/>
  </r>
  <r>
    <n v="1795"/>
    <x v="1"/>
  </r>
  <r>
    <n v="1795"/>
    <x v="1"/>
  </r>
  <r>
    <n v="1795"/>
    <x v="1"/>
  </r>
  <r>
    <n v="0"/>
    <x v="1"/>
  </r>
  <r>
    <n v="1795"/>
    <x v="0"/>
  </r>
  <r>
    <n v="1795"/>
    <x v="0"/>
  </r>
  <r>
    <n v="1795"/>
    <x v="3"/>
  </r>
  <r>
    <n v="1795"/>
    <x v="0"/>
  </r>
  <r>
    <n v="1500"/>
    <x v="3"/>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7"/>
  </r>
  <r>
    <m/>
    <x v="0"/>
  </r>
  <r>
    <m/>
    <x v="8"/>
  </r>
  <r>
    <m/>
    <x v="9"/>
  </r>
  <r>
    <m/>
    <x v="4"/>
  </r>
  <r>
    <m/>
    <x v="10"/>
  </r>
  <r>
    <m/>
    <x v="11"/>
  </r>
  <r>
    <m/>
    <x v="3"/>
  </r>
  <r>
    <m/>
    <x v="12"/>
  </r>
  <r>
    <m/>
    <x v="13"/>
  </r>
  <r>
    <m/>
    <x v="5"/>
  </r>
  <r>
    <m/>
    <x v="14"/>
  </r>
  <r>
    <m/>
    <x v="15"/>
  </r>
  <r>
    <m/>
    <x v="6"/>
  </r>
  <r>
    <m/>
    <x v="16"/>
  </r>
  <r>
    <m/>
    <x v="17"/>
  </r>
  <r>
    <m/>
    <x v="1"/>
  </r>
  <r>
    <m/>
    <x v="1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7500"/>
    <x v="0"/>
  </r>
  <r>
    <n v="4000"/>
    <x v="1"/>
  </r>
  <r>
    <n v="5000"/>
    <x v="2"/>
  </r>
  <r>
    <m/>
    <x v="3"/>
  </r>
  <r>
    <m/>
    <x v="3"/>
  </r>
  <r>
    <m/>
    <x v="3"/>
  </r>
  <r>
    <m/>
    <x v="3"/>
  </r>
  <r>
    <m/>
    <x v="3"/>
  </r>
  <r>
    <m/>
    <x v="3"/>
  </r>
  <r>
    <m/>
    <x v="3"/>
  </r>
  <r>
    <m/>
    <x v="3"/>
  </r>
  <r>
    <m/>
    <x v="3"/>
  </r>
  <r>
    <n v="2500"/>
    <x v="0"/>
  </r>
  <r>
    <n v="2500"/>
    <x v="0"/>
  </r>
  <r>
    <n v="2500"/>
    <x v="0"/>
  </r>
  <r>
    <n v="0"/>
    <x v="2"/>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4"/>
  </r>
  <r>
    <m/>
    <x v="5"/>
  </r>
  <r>
    <m/>
    <x v="0"/>
  </r>
  <r>
    <m/>
    <x v="6"/>
  </r>
  <r>
    <m/>
    <x v="7"/>
  </r>
  <r>
    <m/>
    <x v="8"/>
  </r>
  <r>
    <m/>
    <x v="9"/>
  </r>
  <r>
    <m/>
    <x v="1"/>
  </r>
  <r>
    <m/>
    <x v="10"/>
  </r>
  <r>
    <m/>
    <x v="11"/>
  </r>
  <r>
    <m/>
    <x v="12"/>
  </r>
  <r>
    <m/>
    <x v="13"/>
  </r>
  <r>
    <m/>
    <x v="14"/>
  </r>
  <r>
    <m/>
    <x v="15"/>
  </r>
  <r>
    <m/>
    <x v="16"/>
  </r>
  <r>
    <m/>
    <x v="17"/>
  </r>
  <r>
    <m/>
    <x v="18"/>
  </r>
  <r>
    <m/>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15000"/>
    <x v="0"/>
  </r>
  <r>
    <n v="6795"/>
    <x v="1"/>
  </r>
  <r>
    <n v="5000"/>
    <x v="2"/>
  </r>
  <r>
    <n v="2500"/>
    <x v="3"/>
  </r>
  <r>
    <n v="3500"/>
    <x v="4"/>
  </r>
  <r>
    <m/>
    <x v="5"/>
  </r>
  <r>
    <n v="1000"/>
    <x v="3"/>
  </r>
  <r>
    <n v="1000"/>
    <x v="3"/>
  </r>
  <r>
    <n v="1000"/>
    <x v="0"/>
  </r>
  <r>
    <n v="1000"/>
    <x v="3"/>
  </r>
  <r>
    <n v="1000"/>
    <x v="2"/>
  </r>
  <r>
    <n v="0"/>
    <x v="0"/>
  </r>
  <r>
    <n v="1000"/>
    <x v="6"/>
  </r>
  <r>
    <n v="1000"/>
    <x v="3"/>
  </r>
  <r>
    <n v="1000"/>
    <x v="7"/>
  </r>
  <r>
    <n v="1250"/>
    <x v="2"/>
  </r>
  <r>
    <n v="1000"/>
    <x v="3"/>
  </r>
  <r>
    <m/>
    <x v="5"/>
  </r>
  <r>
    <m/>
    <x v="5"/>
  </r>
  <r>
    <m/>
    <x v="5"/>
  </r>
  <r>
    <m/>
    <x v="5"/>
  </r>
  <r>
    <m/>
    <x v="5"/>
  </r>
  <r>
    <m/>
    <x v="5"/>
  </r>
  <r>
    <m/>
    <x v="5"/>
  </r>
  <r>
    <m/>
    <x v="5"/>
  </r>
  <r>
    <m/>
    <x v="5"/>
  </r>
  <r>
    <m/>
    <x v="5"/>
  </r>
  <r>
    <m/>
    <x v="5"/>
  </r>
  <r>
    <m/>
    <x v="5"/>
  </r>
  <r>
    <m/>
    <x v="5"/>
  </r>
  <r>
    <s v="PRICE PLEDGED"/>
    <x v="8"/>
  </r>
  <r>
    <n v="1000"/>
    <x v="1"/>
  </r>
  <r>
    <n v="1000"/>
    <x v="1"/>
  </r>
  <r>
    <n v="600"/>
    <x v="3"/>
  </r>
  <r>
    <n v="750"/>
    <x v="9"/>
  </r>
  <r>
    <n v="750"/>
    <x v="1"/>
  </r>
  <r>
    <n v="1000"/>
    <x v="1"/>
  </r>
  <r>
    <n v="1000"/>
    <x v="1"/>
  </r>
  <r>
    <n v="1000"/>
    <x v="1"/>
  </r>
  <r>
    <n v="750"/>
    <x v="9"/>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10"/>
  </r>
  <r>
    <m/>
    <x v="1"/>
  </r>
  <r>
    <m/>
    <x v="3"/>
  </r>
  <r>
    <m/>
    <x v="11"/>
  </r>
  <r>
    <m/>
    <x v="2"/>
  </r>
  <r>
    <m/>
    <x v="12"/>
  </r>
  <r>
    <m/>
    <x v="13"/>
  </r>
  <r>
    <m/>
    <x v="14"/>
  </r>
  <r>
    <m/>
    <x v="4"/>
  </r>
  <r>
    <m/>
    <x v="6"/>
  </r>
  <r>
    <m/>
    <x v="15"/>
  </r>
  <r>
    <m/>
    <x v="16"/>
  </r>
  <r>
    <m/>
    <x v="17"/>
  </r>
  <r>
    <m/>
    <x v="18"/>
  </r>
  <r>
    <m/>
    <x v="7"/>
  </r>
  <r>
    <m/>
    <x v="9"/>
  </r>
  <r>
    <m/>
    <x v="19"/>
  </r>
  <r>
    <m/>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n v="7500"/>
    <x v="0"/>
  </r>
  <r>
    <n v="5000"/>
    <x v="1"/>
  </r>
  <r>
    <n v="4000"/>
    <x v="2"/>
  </r>
  <r>
    <n v="5000"/>
    <x v="3"/>
  </r>
  <r>
    <m/>
    <x v="4"/>
  </r>
  <r>
    <n v="2500"/>
    <x v="0"/>
  </r>
  <r>
    <n v="1000"/>
    <x v="5"/>
  </r>
  <r>
    <n v="2500"/>
    <x v="1"/>
  </r>
  <r>
    <n v="2500"/>
    <x v="1"/>
  </r>
  <r>
    <n v="2500"/>
    <x v="1"/>
  </r>
  <r>
    <m/>
    <x v="4"/>
  </r>
  <r>
    <m/>
    <x v="4"/>
  </r>
  <r>
    <m/>
    <x v="4"/>
  </r>
  <r>
    <n v="1000"/>
    <x v="1"/>
  </r>
  <r>
    <n v="1000"/>
    <x v="6"/>
  </r>
  <r>
    <n v="1000"/>
    <x v="6"/>
  </r>
  <r>
    <n v="1350"/>
    <x v="0"/>
  </r>
  <r>
    <n v="0"/>
    <x v="0"/>
  </r>
  <r>
    <n v="1000"/>
    <x v="3"/>
  </r>
  <r>
    <n v="0"/>
    <x v="4"/>
  </r>
  <r>
    <n v="0"/>
    <x v="4"/>
  </r>
  <r>
    <n v="0"/>
    <x v="4"/>
  </r>
  <r>
    <n v="1000"/>
    <x v="5"/>
  </r>
  <r>
    <n v="455"/>
    <x v="0"/>
  </r>
  <r>
    <n v="175"/>
    <x v="6"/>
  </r>
  <r>
    <n v="210"/>
    <x v="0"/>
  </r>
  <r>
    <n v="125"/>
    <x v="4"/>
  </r>
  <r>
    <n v="0"/>
    <x v="7"/>
  </r>
  <r>
    <n v="70"/>
    <x v="5"/>
  </r>
  <r>
    <n v="70"/>
    <x v="4"/>
  </r>
  <r>
    <n v="105"/>
    <x v="8"/>
  </r>
  <r>
    <n v="420"/>
    <x v="4"/>
  </r>
  <r>
    <n v="55"/>
    <x v="4"/>
  </r>
  <r>
    <n v="385"/>
    <x v="5"/>
  </r>
  <r>
    <n v="195"/>
    <x v="5"/>
  </r>
  <r>
    <n v="55"/>
    <x v="4"/>
  </r>
  <r>
    <n v="0"/>
    <x v="4"/>
  </r>
  <r>
    <n v="570"/>
    <x v="7"/>
  </r>
  <r>
    <n v="70"/>
    <x v="8"/>
  </r>
  <r>
    <m/>
    <x v="4"/>
  </r>
  <r>
    <n v="70"/>
    <x v="6"/>
  </r>
  <r>
    <n v="20"/>
    <x v="4"/>
  </r>
  <r>
    <n v="40"/>
    <x v="7"/>
  </r>
  <r>
    <n v="40"/>
    <x v="5"/>
  </r>
  <r>
    <n v="70"/>
    <x v="4"/>
  </r>
  <r>
    <n v="80"/>
    <x v="6"/>
  </r>
  <r>
    <n v="40"/>
    <x v="4"/>
  </r>
  <r>
    <n v="240"/>
    <x v="5"/>
  </r>
  <r>
    <n v="20"/>
    <x v="4"/>
  </r>
  <r>
    <m/>
    <x v="4"/>
  </r>
  <r>
    <n v="30"/>
    <x v="4"/>
  </r>
  <r>
    <n v="40"/>
    <x v="4"/>
  </r>
  <r>
    <n v="40"/>
    <x v="4"/>
  </r>
  <r>
    <n v="40"/>
    <x v="4"/>
  </r>
  <r>
    <n v="110"/>
    <x v="6"/>
  </r>
  <r>
    <n v="85"/>
    <x v="8"/>
  </r>
  <r>
    <n v="410"/>
    <x v="4"/>
  </r>
  <r>
    <n v="40"/>
    <x v="6"/>
  </r>
  <r>
    <n v="420"/>
    <x v="4"/>
  </r>
  <r>
    <n v="140"/>
    <x v="4"/>
  </r>
  <r>
    <n v="30"/>
    <x v="4"/>
  </r>
  <r>
    <n v="10"/>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9"/>
  </r>
  <r>
    <m/>
    <x v="3"/>
  </r>
  <r>
    <m/>
    <x v="1"/>
  </r>
  <r>
    <m/>
    <x v="10"/>
  </r>
  <r>
    <m/>
    <x v="11"/>
  </r>
  <r>
    <m/>
    <x v="12"/>
  </r>
  <r>
    <m/>
    <x v="13"/>
  </r>
  <r>
    <m/>
    <x v="2"/>
  </r>
  <r>
    <m/>
    <x v="14"/>
  </r>
  <r>
    <m/>
    <x v="15"/>
  </r>
  <r>
    <m/>
    <x v="8"/>
  </r>
  <r>
    <m/>
    <x v="7"/>
  </r>
  <r>
    <m/>
    <x v="16"/>
  </r>
  <r>
    <m/>
    <x v="6"/>
  </r>
  <r>
    <m/>
    <x v="5"/>
  </r>
  <r>
    <m/>
    <x v="17"/>
  </r>
  <r>
    <m/>
    <x v="18"/>
  </r>
  <r>
    <m/>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10000"/>
    <x v="0"/>
  </r>
  <r>
    <n v="6000"/>
    <x v="1"/>
  </r>
  <r>
    <n v="7500"/>
    <x v="0"/>
  </r>
  <r>
    <n v="0"/>
    <x v="2"/>
  </r>
  <r>
    <n v="5000"/>
    <x v="0"/>
  </r>
  <r>
    <n v="4000"/>
    <x v="3"/>
  </r>
  <r>
    <n v="5000"/>
    <x v="4"/>
  </r>
  <r>
    <n v="5000"/>
    <x v="3"/>
  </r>
  <r>
    <n v="2500"/>
    <x v="1"/>
  </r>
  <r>
    <n v="2500"/>
    <x v="1"/>
  </r>
  <r>
    <n v="2500"/>
    <x v="1"/>
  </r>
  <r>
    <n v="2500"/>
    <x v="5"/>
  </r>
  <r>
    <n v="3500"/>
    <x v="3"/>
  </r>
  <r>
    <n v="2500"/>
    <x v="1"/>
  </r>
  <r>
    <n v="2500"/>
    <x v="1"/>
  </r>
  <r>
    <n v="2500"/>
    <x v="3"/>
  </r>
  <r>
    <n v="2000"/>
    <x v="6"/>
  </r>
  <r>
    <n v="2000"/>
    <x v="6"/>
  </r>
  <r>
    <n v="1000"/>
    <x v="1"/>
  </r>
  <r>
    <n v="1000"/>
    <x v="0"/>
  </r>
  <r>
    <n v="1000"/>
    <x v="1"/>
  </r>
  <r>
    <n v="1000"/>
    <x v="1"/>
  </r>
  <r>
    <n v="1000"/>
    <x v="1"/>
  </r>
  <r>
    <n v="1000"/>
    <x v="1"/>
  </r>
  <r>
    <n v="500"/>
    <x v="1"/>
  </r>
  <r>
    <n v="1000"/>
    <x v="7"/>
  </r>
  <r>
    <n v="1500"/>
    <x v="7"/>
  </r>
  <r>
    <m/>
    <x v="2"/>
  </r>
  <r>
    <n v="0"/>
    <x v="7"/>
  </r>
  <r>
    <n v="0"/>
    <x v="8"/>
  </r>
  <r>
    <n v="0"/>
    <x v="8"/>
  </r>
  <r>
    <n v="5000"/>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9"/>
  </r>
  <r>
    <m/>
    <x v="3"/>
  </r>
  <r>
    <m/>
    <x v="1"/>
  </r>
  <r>
    <m/>
    <x v="10"/>
  </r>
  <r>
    <m/>
    <x v="8"/>
  </r>
  <r>
    <m/>
    <x v="11"/>
  </r>
  <r>
    <m/>
    <x v="12"/>
  </r>
  <r>
    <m/>
    <x v="6"/>
  </r>
  <r>
    <m/>
    <x v="5"/>
  </r>
  <r>
    <m/>
    <x v="13"/>
  </r>
  <r>
    <m/>
    <x v="14"/>
  </r>
  <r>
    <m/>
    <x v="15"/>
  </r>
  <r>
    <m/>
    <x v="16"/>
  </r>
  <r>
    <m/>
    <x v="17"/>
  </r>
  <r>
    <m/>
    <x v="4"/>
  </r>
  <r>
    <m/>
    <x v="18"/>
  </r>
  <r>
    <m/>
    <x v="7"/>
  </r>
  <r>
    <m/>
    <x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3000"/>
    <x v="0"/>
  </r>
  <r>
    <n v="3000"/>
    <x v="0"/>
  </r>
  <r>
    <n v="3000"/>
    <x v="1"/>
  </r>
  <r>
    <n v="0"/>
    <x v="2"/>
  </r>
  <r>
    <n v="3000"/>
    <x v="3"/>
  </r>
  <r>
    <n v="3000"/>
    <x v="0"/>
  </r>
  <r>
    <n v="3000"/>
    <x v="0"/>
  </r>
  <r>
    <m/>
    <x v="4"/>
  </r>
  <r>
    <n v="3000"/>
    <x v="0"/>
  </r>
  <r>
    <n v="3000"/>
    <x v="5"/>
  </r>
  <r>
    <n v="3000"/>
    <x v="6"/>
  </r>
  <r>
    <n v="3000"/>
    <x v="0"/>
  </r>
  <r>
    <n v="3000"/>
    <x v="6"/>
  </r>
  <r>
    <n v="3000"/>
    <x v="0"/>
  </r>
  <r>
    <n v="3000"/>
    <x v="1"/>
  </r>
  <r>
    <n v="3000"/>
    <x v="0"/>
  </r>
  <r>
    <n v="3000"/>
    <x v="7"/>
  </r>
  <r>
    <n v="3000"/>
    <x v="1"/>
  </r>
  <r>
    <n v="3000"/>
    <x v="5"/>
  </r>
  <r>
    <n v="3000"/>
    <x v="0"/>
  </r>
  <r>
    <m/>
    <x v="4"/>
  </r>
  <r>
    <n v="3000"/>
    <x v="0"/>
  </r>
  <r>
    <n v="3000"/>
    <x v="5"/>
  </r>
  <r>
    <n v="3000"/>
    <x v="6"/>
  </r>
  <r>
    <n v="3000"/>
    <x v="0"/>
  </r>
  <r>
    <m/>
    <x v="4"/>
  </r>
  <r>
    <n v="3000"/>
    <x v="5"/>
  </r>
  <r>
    <n v="3000"/>
    <x v="0"/>
  </r>
  <r>
    <m/>
    <x v="4"/>
  </r>
  <r>
    <n v="3000"/>
    <x v="6"/>
  </r>
  <r>
    <n v="3000"/>
    <x v="0"/>
  </r>
  <r>
    <m/>
    <x v="4"/>
  </r>
  <r>
    <n v="3000"/>
    <x v="5"/>
  </r>
  <r>
    <n v="3000"/>
    <x v="0"/>
  </r>
  <r>
    <n v="3000"/>
    <x v="1"/>
  </r>
  <r>
    <n v="3000"/>
    <x v="6"/>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8"/>
  </r>
  <r>
    <m/>
    <x v="6"/>
  </r>
  <r>
    <m/>
    <x v="0"/>
  </r>
  <r>
    <m/>
    <x v="9"/>
  </r>
  <r>
    <m/>
    <x v="2"/>
  </r>
  <r>
    <m/>
    <x v="10"/>
  </r>
  <r>
    <m/>
    <x v="11"/>
  </r>
  <r>
    <m/>
    <x v="12"/>
  </r>
  <r>
    <m/>
    <x v="1"/>
  </r>
  <r>
    <m/>
    <x v="13"/>
  </r>
  <r>
    <m/>
    <x v="14"/>
  </r>
  <r>
    <m/>
    <x v="15"/>
  </r>
  <r>
    <m/>
    <x v="16"/>
  </r>
  <r>
    <m/>
    <x v="17"/>
  </r>
  <r>
    <m/>
    <x v="18"/>
  </r>
  <r>
    <m/>
    <x v="3"/>
  </r>
  <r>
    <m/>
    <x v="7"/>
  </r>
  <r>
    <m/>
    <x v="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n v="20000"/>
    <x v="0"/>
  </r>
  <r>
    <n v="15000"/>
    <x v="1"/>
  </r>
  <r>
    <n v="15000"/>
    <x v="1"/>
  </r>
  <r>
    <m/>
    <x v="2"/>
  </r>
  <r>
    <n v="7000"/>
    <x v="3"/>
  </r>
  <r>
    <n v="10000"/>
    <x v="1"/>
  </r>
  <r>
    <n v="10000"/>
    <x v="1"/>
  </r>
  <r>
    <m/>
    <x v="2"/>
  </r>
  <r>
    <n v="5000"/>
    <x v="4"/>
  </r>
  <r>
    <n v="5000"/>
    <x v="1"/>
  </r>
  <r>
    <n v="5000"/>
    <x v="1"/>
  </r>
  <r>
    <n v="5000"/>
    <x v="1"/>
  </r>
  <r>
    <n v="5000"/>
    <x v="5"/>
  </r>
  <r>
    <n v="5000"/>
    <x v="1"/>
  </r>
  <r>
    <n v="5000"/>
    <x v="6"/>
  </r>
  <r>
    <n v="5000"/>
    <x v="5"/>
  </r>
  <r>
    <n v="5000"/>
    <x v="6"/>
  </r>
  <r>
    <n v="3500"/>
    <x v="6"/>
  </r>
  <r>
    <n v="4000"/>
    <x v="7"/>
  </r>
  <r>
    <n v="0"/>
    <x v="2"/>
  </r>
  <r>
    <n v="7500"/>
    <x v="1"/>
  </r>
  <r>
    <n v="4000"/>
    <x v="7"/>
  </r>
  <r>
    <m/>
    <x v="2"/>
  </r>
  <r>
    <n v="4000"/>
    <x v="5"/>
  </r>
  <r>
    <n v="15000"/>
    <x v="1"/>
  </r>
  <r>
    <n v="5000"/>
    <x v="8"/>
  </r>
  <r>
    <m/>
    <x v="2"/>
  </r>
  <r>
    <m/>
    <x v="2"/>
  </r>
  <r>
    <n v="2500"/>
    <x v="9"/>
  </r>
  <r>
    <n v="2850"/>
    <x v="1"/>
  </r>
  <r>
    <n v="2850"/>
    <x v="1"/>
  </r>
  <r>
    <n v="2850"/>
    <x v="1"/>
  </r>
  <r>
    <n v="2850"/>
    <x v="3"/>
  </r>
  <r>
    <n v="2850"/>
    <x v="1"/>
  </r>
  <r>
    <n v="2850"/>
    <x v="1"/>
  </r>
  <r>
    <n v="0"/>
    <x v="10"/>
  </r>
  <r>
    <n v="2850"/>
    <x v="1"/>
  </r>
  <r>
    <n v="2450"/>
    <x v="6"/>
  </r>
  <r>
    <n v="2850"/>
    <x v="7"/>
  </r>
  <r>
    <n v="2850"/>
    <x v="6"/>
  </r>
  <r>
    <n v="2850"/>
    <x v="4"/>
  </r>
  <r>
    <n v="2850"/>
    <x v="1"/>
  </r>
  <r>
    <n v="2850"/>
    <x v="11"/>
  </r>
  <r>
    <n v="2850"/>
    <x v="1"/>
  </r>
  <r>
    <n v="2850"/>
    <x v="1"/>
  </r>
  <r>
    <n v="2850"/>
    <x v="1"/>
  </r>
  <r>
    <n v="1500"/>
    <x v="12"/>
  </r>
  <r>
    <n v="1500"/>
    <x v="8"/>
  </r>
  <r>
    <n v="1500"/>
    <x v="13"/>
  </r>
  <r>
    <n v="925"/>
    <x v="6"/>
  </r>
  <r>
    <n v="1500"/>
    <x v="5"/>
  </r>
  <r>
    <m/>
    <x v="2"/>
  </r>
  <r>
    <n v="1500"/>
    <x v="1"/>
  </r>
  <r>
    <n v="1500"/>
    <x v="6"/>
  </r>
  <r>
    <n v="1500"/>
    <x v="11"/>
  </r>
  <r>
    <n v="1500"/>
    <x v="4"/>
  </r>
  <r>
    <n v="1500"/>
    <x v="4"/>
  </r>
  <r>
    <n v="1500"/>
    <x v="6"/>
  </r>
  <r>
    <n v="1500"/>
    <x v="8"/>
  </r>
  <r>
    <n v="1500"/>
    <x v="1"/>
  </r>
  <r>
    <n v="1500"/>
    <x v="5"/>
  </r>
  <r>
    <n v="1500"/>
    <x v="6"/>
  </r>
  <r>
    <n v="1500"/>
    <x v="9"/>
  </r>
  <r>
    <n v="1500"/>
    <x v="9"/>
  </r>
  <r>
    <n v="1500"/>
    <x v="9"/>
  </r>
  <r>
    <n v="1500"/>
    <x v="14"/>
  </r>
  <r>
    <n v="1500"/>
    <x v="14"/>
  </r>
  <r>
    <n v="1500"/>
    <x v="6"/>
  </r>
  <r>
    <n v="1500"/>
    <x v="2"/>
  </r>
  <r>
    <n v="1500"/>
    <x v="14"/>
  </r>
  <r>
    <n v="1500"/>
    <x v="15"/>
  </r>
  <r>
    <n v="1500"/>
    <x v="6"/>
  </r>
  <r>
    <n v="1500"/>
    <x v="11"/>
  </r>
  <r>
    <m/>
    <x v="2"/>
  </r>
  <r>
    <n v="1500"/>
    <x v="2"/>
  </r>
  <r>
    <n v="1500"/>
    <x v="1"/>
  </r>
  <r>
    <n v="1500"/>
    <x v="6"/>
  </r>
  <r>
    <n v="1500"/>
    <x v="6"/>
  </r>
  <r>
    <n v="1500"/>
    <x v="6"/>
  </r>
  <r>
    <n v="1500"/>
    <x v="3"/>
  </r>
  <r>
    <n v="1500"/>
    <x v="0"/>
  </r>
  <r>
    <n v="1500"/>
    <x v="12"/>
  </r>
  <r>
    <n v="1500"/>
    <x v="6"/>
  </r>
  <r>
    <n v="1500"/>
    <x v="1"/>
  </r>
  <r>
    <n v="1500"/>
    <x v="1"/>
  </r>
  <r>
    <n v="1500"/>
    <x v="9"/>
  </r>
  <r>
    <n v="1500"/>
    <x v="3"/>
  </r>
  <r>
    <n v="1500"/>
    <x v="1"/>
  </r>
  <r>
    <n v="1500"/>
    <x v="0"/>
  </r>
  <r>
    <n v="1500"/>
    <x v="1"/>
  </r>
  <r>
    <n v="1500"/>
    <x v="0"/>
  </r>
  <r>
    <n v="1500"/>
    <x v="6"/>
  </r>
  <r>
    <n v="1500"/>
    <x v="14"/>
  </r>
  <r>
    <n v="1500"/>
    <x v="14"/>
  </r>
  <r>
    <n v="1500"/>
    <x v="9"/>
  </r>
  <r>
    <n v="1500"/>
    <x v="4"/>
  </r>
  <r>
    <n v="1500"/>
    <x v="1"/>
  </r>
  <r>
    <n v="1500"/>
    <x v="5"/>
  </r>
  <r>
    <n v="1375"/>
    <x v="2"/>
  </r>
  <r>
    <n v="1500"/>
    <x v="2"/>
  </r>
  <r>
    <n v="1500"/>
    <x v="14"/>
  </r>
  <r>
    <n v="1500"/>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16"/>
  </r>
  <r>
    <m/>
    <x v="4"/>
  </r>
  <r>
    <m/>
    <x v="1"/>
  </r>
  <r>
    <m/>
    <x v="17"/>
  </r>
  <r>
    <m/>
    <x v="7"/>
  </r>
  <r>
    <m/>
    <x v="18"/>
  </r>
  <r>
    <m/>
    <x v="19"/>
  </r>
  <r>
    <m/>
    <x v="12"/>
  </r>
  <r>
    <m/>
    <x v="5"/>
  </r>
  <r>
    <m/>
    <x v="20"/>
  </r>
  <r>
    <m/>
    <x v="11"/>
  </r>
  <r>
    <m/>
    <x v="8"/>
  </r>
  <r>
    <m/>
    <x v="21"/>
  </r>
  <r>
    <m/>
    <x v="14"/>
  </r>
  <r>
    <m/>
    <x v="9"/>
  </r>
  <r>
    <m/>
    <x v="3"/>
  </r>
  <r>
    <m/>
    <x v="0"/>
  </r>
  <r>
    <m/>
    <x v="6"/>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m/>
    <x v="0"/>
  </r>
  <r>
    <m/>
    <x v="0"/>
  </r>
  <r>
    <n v="2500"/>
    <x v="1"/>
  </r>
  <r>
    <n v="3750"/>
    <x v="1"/>
  </r>
  <r>
    <n v="5000"/>
    <x v="2"/>
  </r>
  <r>
    <m/>
    <x v="0"/>
  </r>
  <r>
    <m/>
    <x v="0"/>
  </r>
  <r>
    <m/>
    <x v="0"/>
  </r>
  <r>
    <m/>
    <x v="0"/>
  </r>
  <r>
    <n v="1875"/>
    <x v="2"/>
  </r>
  <r>
    <n v="625"/>
    <x v="2"/>
  </r>
  <r>
    <m/>
    <x v="0"/>
  </r>
  <r>
    <m/>
    <x v="0"/>
  </r>
  <r>
    <m/>
    <x v="0"/>
  </r>
  <r>
    <m/>
    <x v="0"/>
  </r>
  <r>
    <m/>
    <x v="0"/>
  </r>
  <r>
    <n v="0"/>
    <x v="3"/>
  </r>
  <r>
    <n v="1000"/>
    <x v="2"/>
  </r>
  <r>
    <n v="0"/>
    <x v="0"/>
  </r>
  <r>
    <m/>
    <x v="0"/>
  </r>
  <r>
    <m/>
    <x v="0"/>
  </r>
  <r>
    <m/>
    <x v="0"/>
  </r>
  <r>
    <n v="2500"/>
    <x v="1"/>
  </r>
  <r>
    <n v="3750"/>
    <x v="1"/>
  </r>
  <r>
    <n v="4000"/>
    <x v="4"/>
  </r>
  <r>
    <m/>
    <x v="0"/>
  </r>
  <r>
    <m/>
    <x v="0"/>
  </r>
  <r>
    <m/>
    <x v="0"/>
  </r>
  <r>
    <m/>
    <x v="0"/>
  </r>
  <r>
    <n v="1875"/>
    <x v="2"/>
  </r>
  <r>
    <n v="625"/>
    <x v="2"/>
  </r>
  <r>
    <n v="2500"/>
    <x v="2"/>
  </r>
  <r>
    <n v="2500"/>
    <x v="2"/>
  </r>
  <r>
    <n v="2500"/>
    <x v="2"/>
  </r>
  <r>
    <n v="2500"/>
    <x v="2"/>
  </r>
  <r>
    <m/>
    <x v="0"/>
  </r>
  <r>
    <n v="1500"/>
    <x v="2"/>
  </r>
  <r>
    <n v="1000"/>
    <x v="2"/>
  </r>
  <r>
    <n v="1000"/>
    <x v="2"/>
  </r>
  <r>
    <n v="1000"/>
    <x v="2"/>
  </r>
  <r>
    <n v="500"/>
    <x v="5"/>
  </r>
  <r>
    <m/>
    <x v="0"/>
  </r>
  <r>
    <m/>
    <x v="0"/>
  </r>
  <r>
    <n v="2500"/>
    <x v="1"/>
  </r>
  <r>
    <n v="3750"/>
    <x v="1"/>
  </r>
  <r>
    <n v="4000"/>
    <x v="2"/>
  </r>
  <r>
    <m/>
    <x v="0"/>
  </r>
  <r>
    <m/>
    <x v="0"/>
  </r>
  <r>
    <m/>
    <x v="0"/>
  </r>
  <r>
    <m/>
    <x v="0"/>
  </r>
  <r>
    <n v="1875"/>
    <x v="2"/>
  </r>
  <r>
    <n v="625"/>
    <x v="2"/>
  </r>
  <r>
    <n v="2500"/>
    <x v="2"/>
  </r>
  <r>
    <n v="2500"/>
    <x v="2"/>
  </r>
  <r>
    <m/>
    <x v="0"/>
  </r>
  <r>
    <m/>
    <x v="0"/>
  </r>
  <r>
    <m/>
    <x v="0"/>
  </r>
  <r>
    <n v="1000"/>
    <x v="2"/>
  </r>
  <r>
    <n v="0"/>
    <x v="0"/>
  </r>
  <r>
    <m/>
    <x v="0"/>
  </r>
  <r>
    <m/>
    <x v="0"/>
  </r>
  <r>
    <m/>
    <x v="0"/>
  </r>
  <r>
    <m/>
    <x v="0"/>
  </r>
  <r>
    <n v="2500"/>
    <x v="1"/>
  </r>
  <r>
    <n v="3750"/>
    <x v="1"/>
  </r>
  <r>
    <m/>
    <x v="0"/>
  </r>
  <r>
    <m/>
    <x v="0"/>
  </r>
  <r>
    <m/>
    <x v="0"/>
  </r>
  <r>
    <m/>
    <x v="0"/>
  </r>
  <r>
    <m/>
    <x v="0"/>
  </r>
  <r>
    <n v="1875"/>
    <x v="2"/>
  </r>
  <r>
    <n v="2500"/>
    <x v="2"/>
  </r>
  <r>
    <n v="625"/>
    <x v="2"/>
  </r>
  <r>
    <n v="2500"/>
    <x v="5"/>
  </r>
  <r>
    <m/>
    <x v="0"/>
  </r>
  <r>
    <m/>
    <x v="0"/>
  </r>
  <r>
    <m/>
    <x v="0"/>
  </r>
  <r>
    <n v="1000"/>
    <x v="2"/>
  </r>
  <r>
    <n v="1000"/>
    <x v="2"/>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6"/>
  </r>
  <r>
    <m/>
    <x v="2"/>
  </r>
  <r>
    <m/>
    <x v="1"/>
  </r>
  <r>
    <m/>
    <x v="7"/>
  </r>
  <r>
    <m/>
    <x v="4"/>
  </r>
  <r>
    <m/>
    <x v="8"/>
  </r>
  <r>
    <m/>
    <x v="9"/>
  </r>
  <r>
    <m/>
    <x v="10"/>
  </r>
  <r>
    <m/>
    <x v="11"/>
  </r>
  <r>
    <m/>
    <x v="12"/>
  </r>
  <r>
    <m/>
    <x v="13"/>
  </r>
  <r>
    <m/>
    <x v="14"/>
  </r>
  <r>
    <m/>
    <x v="15"/>
  </r>
  <r>
    <m/>
    <x v="16"/>
  </r>
  <r>
    <m/>
    <x v="17"/>
  </r>
  <r>
    <m/>
    <x v="18"/>
  </r>
  <r>
    <m/>
    <x v="5"/>
  </r>
  <r>
    <m/>
    <x v="19"/>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25000"/>
    <x v="0"/>
  </r>
  <r>
    <n v="30000"/>
    <x v="1"/>
  </r>
  <r>
    <n v="3500"/>
    <x v="0"/>
  </r>
  <r>
    <n v="5000"/>
    <x v="2"/>
  </r>
  <r>
    <n v="7500"/>
    <x v="0"/>
  </r>
  <r>
    <n v="0"/>
    <x v="3"/>
  </r>
  <r>
    <n v="7500"/>
    <x v="4"/>
  </r>
  <r>
    <n v="5000"/>
    <x v="3"/>
  </r>
  <r>
    <n v="0"/>
    <x v="5"/>
  </r>
  <r>
    <n v="5000"/>
    <x v="0"/>
  </r>
  <r>
    <n v="0"/>
    <x v="0"/>
  </r>
  <r>
    <n v="7500"/>
    <x v="6"/>
  </r>
  <r>
    <n v="10000"/>
    <x v="6"/>
  </r>
  <r>
    <n v="3000"/>
    <x v="0"/>
  </r>
  <r>
    <n v="3500"/>
    <x v="5"/>
  </r>
  <r>
    <n v="3500"/>
    <x v="6"/>
  </r>
  <r>
    <n v="3500"/>
    <x v="6"/>
  </r>
  <r>
    <n v="3500"/>
    <x v="7"/>
  </r>
  <r>
    <n v="3500"/>
    <x v="1"/>
  </r>
  <r>
    <n v="3500"/>
    <x v="5"/>
  </r>
  <r>
    <n v="3500"/>
    <x v="8"/>
  </r>
  <r>
    <n v="3500"/>
    <x v="7"/>
  </r>
  <r>
    <n v="3500"/>
    <x v="5"/>
  </r>
  <r>
    <n v="3500"/>
    <x v="7"/>
  </r>
  <r>
    <n v="3500"/>
    <x v="7"/>
  </r>
  <r>
    <n v="15000"/>
    <x v="3"/>
  </r>
  <r>
    <n v="15000"/>
    <x v="0"/>
  </r>
  <r>
    <n v="3500"/>
    <x v="4"/>
  </r>
  <r>
    <n v="3500"/>
    <x v="4"/>
  </r>
  <r>
    <m/>
    <x v="3"/>
  </r>
  <r>
    <m/>
    <x v="3"/>
  </r>
  <r>
    <n v="5000"/>
    <x v="8"/>
  </r>
  <r>
    <m/>
    <x v="3"/>
  </r>
  <r>
    <n v="7500"/>
    <x v="0"/>
  </r>
  <r>
    <n v="10000"/>
    <x v="6"/>
  </r>
  <r>
    <n v="10000"/>
    <x v="0"/>
  </r>
  <r>
    <n v="5000"/>
    <x v="0"/>
  </r>
  <r>
    <m/>
    <x v="3"/>
  </r>
  <r>
    <n v="25000"/>
    <x v="6"/>
  </r>
  <r>
    <n v="15000"/>
    <x v="2"/>
  </r>
  <r>
    <n v="10000"/>
    <x v="0"/>
  </r>
  <r>
    <n v="10000"/>
    <x v="0"/>
  </r>
  <r>
    <n v="10000"/>
    <x v="0"/>
  </r>
  <r>
    <n v="9000"/>
    <x v="1"/>
  </r>
  <r>
    <n v="10000"/>
    <x v="2"/>
  </r>
  <r>
    <m/>
    <x v="3"/>
  </r>
  <r>
    <m/>
    <x v="3"/>
  </r>
  <r>
    <n v="10000"/>
    <x v="7"/>
  </r>
  <r>
    <n v="5000"/>
    <x v="9"/>
  </r>
  <r>
    <n v="2500"/>
    <x v="5"/>
  </r>
  <r>
    <m/>
    <x v="3"/>
  </r>
  <r>
    <n v="5000"/>
    <x v="2"/>
  </r>
  <r>
    <m/>
    <x v="3"/>
  </r>
  <r>
    <n v="7500"/>
    <x v="0"/>
  </r>
  <r>
    <n v="7500"/>
    <x v="7"/>
  </r>
  <r>
    <n v="7500"/>
    <x v="1"/>
  </r>
  <r>
    <n v="0"/>
    <x v="3"/>
  </r>
  <r>
    <n v="5000"/>
    <x v="4"/>
  </r>
  <r>
    <n v="2500"/>
    <x v="0"/>
  </r>
  <r>
    <m/>
    <x v="3"/>
  </r>
  <r>
    <n v="5000"/>
    <x v="10"/>
  </r>
  <r>
    <n v="5000"/>
    <x v="10"/>
  </r>
  <r>
    <n v="7500"/>
    <x v="9"/>
  </r>
  <r>
    <n v="25000"/>
    <x v="0"/>
  </r>
  <r>
    <n v="7500"/>
    <x v="6"/>
  </r>
  <r>
    <n v="5000"/>
    <x v="6"/>
  </r>
  <r>
    <m/>
    <x v="3"/>
  </r>
  <r>
    <m/>
    <x v="3"/>
  </r>
  <r>
    <m/>
    <x v="3"/>
  </r>
  <r>
    <m/>
    <x v="3"/>
  </r>
  <r>
    <n v="4500"/>
    <x v="11"/>
  </r>
  <r>
    <m/>
    <x v="3"/>
  </r>
  <r>
    <n v="2000"/>
    <x v="0"/>
  </r>
  <r>
    <n v="10000"/>
    <x v="0"/>
  </r>
  <r>
    <n v="17500"/>
    <x v="0"/>
  </r>
  <r>
    <n v="10000"/>
    <x v="7"/>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12"/>
  </r>
  <r>
    <m/>
    <x v="2"/>
  </r>
  <r>
    <m/>
    <x v="0"/>
  </r>
  <r>
    <m/>
    <x v="13"/>
  </r>
  <r>
    <m/>
    <x v="4"/>
  </r>
  <r>
    <m/>
    <x v="10"/>
  </r>
  <r>
    <m/>
    <x v="14"/>
  </r>
  <r>
    <m/>
    <x v="11"/>
  </r>
  <r>
    <m/>
    <x v="1"/>
  </r>
  <r>
    <m/>
    <x v="15"/>
  </r>
  <r>
    <m/>
    <x v="9"/>
  </r>
  <r>
    <m/>
    <x v="16"/>
  </r>
  <r>
    <m/>
    <x v="17"/>
  </r>
  <r>
    <m/>
    <x v="8"/>
  </r>
  <r>
    <m/>
    <x v="5"/>
  </r>
  <r>
    <m/>
    <x v="18"/>
  </r>
  <r>
    <m/>
    <x v="7"/>
  </r>
  <r>
    <m/>
    <x v="6"/>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10000"/>
    <x v="0"/>
  </r>
  <r>
    <n v="8000"/>
    <x v="1"/>
  </r>
  <r>
    <m/>
    <x v="2"/>
  </r>
  <r>
    <n v="5000"/>
    <x v="0"/>
  </r>
  <r>
    <n v="2500"/>
    <x v="3"/>
  </r>
  <r>
    <n v="2500"/>
    <x v="3"/>
  </r>
  <r>
    <n v="2500"/>
    <x v="4"/>
  </r>
  <r>
    <m/>
    <x v="2"/>
  </r>
  <r>
    <n v="2000"/>
    <x v="5"/>
  </r>
  <r>
    <n v="2500"/>
    <x v="6"/>
  </r>
  <r>
    <n v="2500"/>
    <x v="6"/>
  </r>
  <r>
    <m/>
    <x v="2"/>
  </r>
  <r>
    <n v="2500"/>
    <x v="7"/>
  </r>
  <r>
    <n v="1500"/>
    <x v="6"/>
  </r>
  <r>
    <n v="1200"/>
    <x v="6"/>
  </r>
  <r>
    <n v="600"/>
    <x v="5"/>
  </r>
  <r>
    <n v="600"/>
    <x v="7"/>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8"/>
  </r>
  <r>
    <m/>
    <x v="1"/>
  </r>
  <r>
    <m/>
    <x v="6"/>
  </r>
  <r>
    <m/>
    <x v="9"/>
  </r>
  <r>
    <m/>
    <x v="10"/>
  </r>
  <r>
    <m/>
    <x v="11"/>
  </r>
  <r>
    <m/>
    <x v="12"/>
  </r>
  <r>
    <m/>
    <x v="13"/>
  </r>
  <r>
    <m/>
    <x v="5"/>
  </r>
  <r>
    <m/>
    <x v="14"/>
  </r>
  <r>
    <m/>
    <x v="7"/>
  </r>
  <r>
    <m/>
    <x v="15"/>
  </r>
  <r>
    <m/>
    <x v="16"/>
  </r>
  <r>
    <m/>
    <x v="17"/>
  </r>
  <r>
    <m/>
    <x v="4"/>
  </r>
  <r>
    <m/>
    <x v="18"/>
  </r>
  <r>
    <m/>
    <x v="0"/>
  </r>
  <r>
    <m/>
    <x v="3"/>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m/>
    <x v="0"/>
  </r>
  <r>
    <n v="2500"/>
    <x v="1"/>
  </r>
  <r>
    <m/>
    <x v="0"/>
  </r>
  <r>
    <n v="1000"/>
    <x v="1"/>
  </r>
  <r>
    <n v="1350"/>
    <x v="2"/>
  </r>
  <r>
    <n v="1200"/>
    <x v="3"/>
  </r>
  <r>
    <m/>
    <x v="0"/>
  </r>
  <r>
    <n v="1000"/>
    <x v="2"/>
  </r>
  <r>
    <n v="1000"/>
    <x v="1"/>
  </r>
  <r>
    <n v="1000"/>
    <x v="4"/>
  </r>
  <r>
    <n v="500"/>
    <x v="4"/>
  </r>
  <r>
    <n v="600"/>
    <x v="5"/>
  </r>
  <r>
    <n v="600"/>
    <x v="5"/>
  </r>
  <r>
    <n v="500"/>
    <x v="4"/>
  </r>
  <r>
    <n v="500"/>
    <x v="4"/>
  </r>
  <r>
    <n v="500"/>
    <x v="4"/>
  </r>
  <r>
    <n v="1000"/>
    <x v="4"/>
  </r>
  <r>
    <n v="600"/>
    <x v="6"/>
  </r>
  <r>
    <n v="600"/>
    <x v="1"/>
  </r>
  <r>
    <n v="600"/>
    <x v="7"/>
  </r>
  <r>
    <n v="600"/>
    <x v="3"/>
  </r>
  <r>
    <n v="600"/>
    <x v="8"/>
  </r>
  <r>
    <n v="600"/>
    <x v="1"/>
  </r>
  <r>
    <n v="500"/>
    <x v="4"/>
  </r>
  <r>
    <n v="600"/>
    <x v="1"/>
  </r>
  <r>
    <n v="600"/>
    <x v="6"/>
  </r>
  <r>
    <n v="600"/>
    <x v="6"/>
  </r>
  <r>
    <n v="1200"/>
    <x v="6"/>
  </r>
  <r>
    <n v="600"/>
    <x v="6"/>
  </r>
  <r>
    <n v="350"/>
    <x v="9"/>
  </r>
  <r>
    <n v="0"/>
    <x v="4"/>
  </r>
  <r>
    <n v="0"/>
    <x v="7"/>
  </r>
  <r>
    <n v="0"/>
    <x v="10"/>
  </r>
  <r>
    <n v="1050"/>
    <x v="7"/>
  </r>
  <r>
    <n v="0"/>
    <x v="4"/>
  </r>
  <r>
    <n v="0"/>
    <x v="7"/>
  </r>
  <r>
    <n v="350"/>
    <x v="4"/>
  </r>
  <r>
    <n v="350"/>
    <x v="1"/>
  </r>
  <r>
    <n v="350"/>
    <x v="1"/>
  </r>
  <r>
    <n v="700"/>
    <x v="5"/>
  </r>
  <r>
    <n v="300"/>
    <x v="4"/>
  </r>
  <r>
    <n v="350"/>
    <x v="1"/>
  </r>
  <r>
    <n v="350"/>
    <x v="9"/>
  </r>
  <r>
    <n v="350"/>
    <x v="5"/>
  </r>
  <r>
    <m/>
    <x v="0"/>
  </r>
  <r>
    <n v="0"/>
    <x v="5"/>
  </r>
  <r>
    <n v="350"/>
    <x v="9"/>
  </r>
  <r>
    <n v="350"/>
    <x v="7"/>
  </r>
  <r>
    <n v="0"/>
    <x v="11"/>
  </r>
  <r>
    <n v="350"/>
    <x v="0"/>
  </r>
  <r>
    <n v="350"/>
    <x v="6"/>
  </r>
  <r>
    <n v="0"/>
    <x v="9"/>
  </r>
  <r>
    <n v="350"/>
    <x v="4"/>
  </r>
  <r>
    <n v="350"/>
    <x v="2"/>
  </r>
  <r>
    <n v="100"/>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12"/>
  </r>
  <r>
    <m/>
    <x v="2"/>
  </r>
  <r>
    <m/>
    <x v="4"/>
  </r>
  <r>
    <m/>
    <x v="13"/>
  </r>
  <r>
    <m/>
    <x v="8"/>
  </r>
  <r>
    <m/>
    <x v="3"/>
  </r>
  <r>
    <m/>
    <x v="14"/>
  </r>
  <r>
    <m/>
    <x v="11"/>
  </r>
  <r>
    <m/>
    <x v="15"/>
  </r>
  <r>
    <m/>
    <x v="16"/>
  </r>
  <r>
    <m/>
    <x v="9"/>
  </r>
  <r>
    <m/>
    <x v="5"/>
  </r>
  <r>
    <m/>
    <x v="17"/>
  </r>
  <r>
    <m/>
    <x v="6"/>
  </r>
  <r>
    <m/>
    <x v="1"/>
  </r>
  <r>
    <m/>
    <x v="18"/>
  </r>
  <r>
    <m/>
    <x v="7"/>
  </r>
  <r>
    <m/>
    <x v="10"/>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m/>
    <x v="0"/>
  </r>
  <r>
    <n v="6000"/>
    <x v="1"/>
  </r>
  <r>
    <n v="5000"/>
    <x v="2"/>
  </r>
  <r>
    <n v="4000"/>
    <x v="3"/>
  </r>
  <r>
    <m/>
    <x v="0"/>
  </r>
  <r>
    <m/>
    <x v="0"/>
  </r>
  <r>
    <m/>
    <x v="0"/>
  </r>
  <r>
    <n v="2500"/>
    <x v="2"/>
  </r>
  <r>
    <m/>
    <x v="0"/>
  </r>
  <r>
    <n v="2500"/>
    <x v="2"/>
  </r>
  <r>
    <m/>
    <x v="0"/>
  </r>
  <r>
    <n v="2500"/>
    <x v="4"/>
  </r>
  <r>
    <n v="2500"/>
    <x v="1"/>
  </r>
  <r>
    <n v="1750"/>
    <x v="5"/>
  </r>
  <r>
    <n v="2500"/>
    <x v="2"/>
  </r>
  <r>
    <n v="2500"/>
    <x v="4"/>
  </r>
  <r>
    <n v="1250"/>
    <x v="1"/>
  </r>
  <r>
    <m/>
    <x v="0"/>
  </r>
  <r>
    <n v="0"/>
    <x v="6"/>
  </r>
  <r>
    <n v="0"/>
    <x v="6"/>
  </r>
  <r>
    <n v="0"/>
    <x v="6"/>
  </r>
  <r>
    <n v="0"/>
    <x v="0"/>
  </r>
  <r>
    <n v="1000"/>
    <x v="4"/>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7"/>
  </r>
  <r>
    <m/>
    <x v="2"/>
  </r>
  <r>
    <m/>
    <x v="1"/>
  </r>
  <r>
    <m/>
    <x v="8"/>
  </r>
  <r>
    <m/>
    <x v="5"/>
  </r>
  <r>
    <m/>
    <x v="9"/>
  </r>
  <r>
    <m/>
    <x v="10"/>
  </r>
  <r>
    <m/>
    <x v="11"/>
  </r>
  <r>
    <m/>
    <x v="3"/>
  </r>
  <r>
    <m/>
    <x v="12"/>
  </r>
  <r>
    <m/>
    <x v="4"/>
  </r>
  <r>
    <m/>
    <x v="13"/>
  </r>
  <r>
    <m/>
    <x v="14"/>
  </r>
  <r>
    <m/>
    <x v="15"/>
  </r>
  <r>
    <m/>
    <x v="16"/>
  </r>
  <r>
    <m/>
    <x v="17"/>
  </r>
  <r>
    <m/>
    <x v="18"/>
  </r>
  <r>
    <m/>
    <x v="6"/>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1200"/>
    <x v="0"/>
  </r>
  <r>
    <n v="1200"/>
    <x v="0"/>
  </r>
  <r>
    <n v="0"/>
    <x v="1"/>
  </r>
  <r>
    <n v="1200"/>
    <x v="0"/>
  </r>
  <r>
    <n v="1200"/>
    <x v="0"/>
  </r>
  <r>
    <n v="1200"/>
    <x v="0"/>
  </r>
  <r>
    <n v="1200"/>
    <x v="2"/>
  </r>
  <r>
    <n v="1200"/>
    <x v="0"/>
  </r>
  <r>
    <n v="1200"/>
    <x v="0"/>
  </r>
  <r>
    <n v="1200"/>
    <x v="1"/>
  </r>
  <r>
    <n v="1200"/>
    <x v="2"/>
  </r>
  <r>
    <n v="1200"/>
    <x v="3"/>
  </r>
  <r>
    <n v="1200"/>
    <x v="0"/>
  </r>
  <r>
    <n v="1200"/>
    <x v="2"/>
  </r>
  <r>
    <n v="1200"/>
    <x v="2"/>
  </r>
  <r>
    <m/>
    <x v="4"/>
  </r>
  <r>
    <n v="1500"/>
    <x v="5"/>
  </r>
  <r>
    <n v="1500"/>
    <x v="1"/>
  </r>
  <r>
    <n v="1500"/>
    <x v="6"/>
  </r>
  <r>
    <n v="1500"/>
    <x v="6"/>
  </r>
  <r>
    <n v="1500"/>
    <x v="6"/>
  </r>
  <r>
    <n v="1500"/>
    <x v="6"/>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7"/>
  </r>
  <r>
    <m/>
    <x v="1"/>
  </r>
  <r>
    <m/>
    <x v="0"/>
  </r>
  <r>
    <m/>
    <x v="8"/>
  </r>
  <r>
    <m/>
    <x v="5"/>
  </r>
  <r>
    <m/>
    <x v="9"/>
  </r>
  <r>
    <m/>
    <x v="10"/>
  </r>
  <r>
    <m/>
    <x v="11"/>
  </r>
  <r>
    <m/>
    <x v="12"/>
  </r>
  <r>
    <m/>
    <x v="13"/>
  </r>
  <r>
    <m/>
    <x v="6"/>
  </r>
  <r>
    <m/>
    <x v="14"/>
  </r>
  <r>
    <m/>
    <x v="15"/>
  </r>
  <r>
    <m/>
    <x v="16"/>
  </r>
  <r>
    <m/>
    <x v="17"/>
  </r>
  <r>
    <m/>
    <x v="18"/>
  </r>
  <r>
    <m/>
    <x v="3"/>
  </r>
  <r>
    <m/>
    <x v="2"/>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5000"/>
    <x v="0"/>
  </r>
  <r>
    <n v="2500"/>
    <x v="1"/>
  </r>
  <r>
    <n v="4500"/>
    <x v="0"/>
  </r>
  <r>
    <n v="3955"/>
    <x v="2"/>
  </r>
  <r>
    <n v="2500"/>
    <x v="1"/>
  </r>
  <r>
    <n v="2500"/>
    <x v="3"/>
  </r>
  <r>
    <n v="2000"/>
    <x v="4"/>
  </r>
  <r>
    <n v="0"/>
    <x v="5"/>
  </r>
  <r>
    <n v="2000"/>
    <x v="1"/>
  </r>
  <r>
    <n v="0"/>
    <x v="5"/>
  </r>
  <r>
    <m/>
    <x v="6"/>
  </r>
  <r>
    <n v="2500"/>
    <x v="7"/>
  </r>
  <r>
    <n v="1000"/>
    <x v="3"/>
  </r>
  <r>
    <n v="2500"/>
    <x v="1"/>
  </r>
  <r>
    <n v="0"/>
    <x v="1"/>
  </r>
  <r>
    <n v="4000"/>
    <x v="2"/>
  </r>
  <r>
    <n v="2000"/>
    <x v="8"/>
  </r>
  <r>
    <n v="2000"/>
    <x v="9"/>
  </r>
  <r>
    <n v="2000"/>
    <x v="7"/>
  </r>
  <r>
    <n v="1250"/>
    <x v="7"/>
  </r>
  <r>
    <n v="1000"/>
    <x v="3"/>
  </r>
  <r>
    <n v="1000"/>
    <x v="3"/>
  </r>
  <r>
    <m/>
    <x v="6"/>
  </r>
  <r>
    <n v="1000"/>
    <x v="3"/>
  </r>
  <r>
    <m/>
    <x v="6"/>
  </r>
  <r>
    <m/>
    <x v="6"/>
  </r>
  <r>
    <m/>
    <x v="6"/>
  </r>
  <r>
    <n v="0"/>
    <x v="1"/>
  </r>
  <r>
    <n v="650"/>
    <x v="1"/>
  </r>
  <r>
    <n v="650"/>
    <x v="9"/>
  </r>
  <r>
    <n v="650"/>
    <x v="9"/>
  </r>
  <r>
    <n v="650"/>
    <x v="9"/>
  </r>
  <r>
    <n v="500"/>
    <x v="2"/>
  </r>
  <r>
    <n v="650"/>
    <x v="3"/>
  </r>
  <r>
    <n v="650"/>
    <x v="9"/>
  </r>
  <r>
    <n v="650"/>
    <x v="7"/>
  </r>
  <r>
    <n v="650"/>
    <x v="10"/>
  </r>
  <r>
    <m/>
    <x v="6"/>
  </r>
  <r>
    <m/>
    <x v="6"/>
  </r>
  <r>
    <m/>
    <x v="6"/>
  </r>
  <r>
    <n v="500"/>
    <x v="1"/>
  </r>
  <r>
    <m/>
    <x v="6"/>
  </r>
  <r>
    <m/>
    <x v="6"/>
  </r>
  <r>
    <m/>
    <x v="6"/>
  </r>
  <r>
    <m/>
    <x v="6"/>
  </r>
  <r>
    <m/>
    <x v="6"/>
  </r>
  <r>
    <m/>
    <x v="6"/>
  </r>
  <r>
    <m/>
    <x v="6"/>
  </r>
  <r>
    <n v="0"/>
    <x v="11"/>
  </r>
  <r>
    <n v="500"/>
    <x v="7"/>
  </r>
  <r>
    <n v="450"/>
    <x v="5"/>
  </r>
  <r>
    <n v="450"/>
    <x v="3"/>
  </r>
  <r>
    <n v="0"/>
    <x v="1"/>
  </r>
  <r>
    <n v="450"/>
    <x v="5"/>
  </r>
  <r>
    <m/>
    <x v="6"/>
  </r>
  <r>
    <n v="400"/>
    <x v="1"/>
  </r>
  <r>
    <n v="450"/>
    <x v="9"/>
  </r>
  <r>
    <n v="450"/>
    <x v="3"/>
  </r>
  <r>
    <n v="450"/>
    <x v="11"/>
  </r>
  <r>
    <n v="500"/>
    <x v="9"/>
  </r>
  <r>
    <n v="450"/>
    <x v="12"/>
  </r>
  <r>
    <n v="450"/>
    <x v="5"/>
  </r>
  <r>
    <n v="450"/>
    <x v="5"/>
  </r>
  <r>
    <n v="450"/>
    <x v="3"/>
  </r>
  <r>
    <n v="450"/>
    <x v="6"/>
  </r>
  <r>
    <n v="450"/>
    <x v="3"/>
  </r>
  <r>
    <n v="450"/>
    <x v="9"/>
  </r>
  <r>
    <n v="500"/>
    <x v="7"/>
  </r>
  <r>
    <n v="450"/>
    <x v="7"/>
  </r>
  <r>
    <n v="500"/>
    <x v="7"/>
  </r>
  <r>
    <n v="500"/>
    <x v="7"/>
  </r>
  <r>
    <n v="500"/>
    <x v="7"/>
  </r>
  <r>
    <n v="500"/>
    <x v="7"/>
  </r>
  <r>
    <n v="450"/>
    <x v="7"/>
  </r>
  <r>
    <n v="450"/>
    <x v="4"/>
  </r>
  <r>
    <n v="450"/>
    <x v="5"/>
  </r>
  <r>
    <n v="450"/>
    <x v="3"/>
  </r>
  <r>
    <n v="450"/>
    <x v="9"/>
  </r>
  <r>
    <n v="750"/>
    <x v="7"/>
  </r>
  <r>
    <n v="450"/>
    <x v="6"/>
  </r>
  <r>
    <n v="500"/>
    <x v="7"/>
  </r>
  <r>
    <n v="450"/>
    <x v="3"/>
  </r>
  <r>
    <n v="450"/>
    <x v="7"/>
  </r>
  <r>
    <n v="450"/>
    <x v="7"/>
  </r>
  <r>
    <n v="450"/>
    <x v="3"/>
  </r>
  <r>
    <n v="750"/>
    <x v="7"/>
  </r>
  <r>
    <n v="500"/>
    <x v="7"/>
  </r>
  <r>
    <n v="500"/>
    <x v="7"/>
  </r>
  <r>
    <n v="450"/>
    <x v="7"/>
  </r>
  <r>
    <n v="450"/>
    <x v="7"/>
  </r>
  <r>
    <n v="450"/>
    <x v="7"/>
  </r>
  <r>
    <n v="750"/>
    <x v="7"/>
  </r>
  <r>
    <n v="450"/>
    <x v="6"/>
  </r>
  <r>
    <n v="450"/>
    <x v="9"/>
  </r>
  <r>
    <n v="450"/>
    <x v="6"/>
  </r>
  <r>
    <n v="0"/>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13"/>
  </r>
  <r>
    <m/>
    <x v="2"/>
  </r>
  <r>
    <m/>
    <x v="1"/>
  </r>
  <r>
    <m/>
    <x v="14"/>
  </r>
  <r>
    <m/>
    <x v="15"/>
  </r>
  <r>
    <m/>
    <x v="16"/>
  </r>
  <r>
    <m/>
    <x v="17"/>
  </r>
  <r>
    <m/>
    <x v="4"/>
  </r>
  <r>
    <m/>
    <x v="0"/>
  </r>
  <r>
    <m/>
    <x v="12"/>
  </r>
  <r>
    <m/>
    <x v="7"/>
  </r>
  <r>
    <m/>
    <x v="10"/>
  </r>
  <r>
    <m/>
    <x v="18"/>
  </r>
  <r>
    <m/>
    <x v="9"/>
  </r>
  <r>
    <m/>
    <x v="3"/>
  </r>
  <r>
    <m/>
    <x v="8"/>
  </r>
  <r>
    <m/>
    <x v="11"/>
  </r>
  <r>
    <m/>
    <x v="5"/>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5000"/>
    <x v="0"/>
  </r>
  <r>
    <m/>
    <x v="1"/>
  </r>
  <r>
    <n v="2500"/>
    <x v="2"/>
  </r>
  <r>
    <n v="2500"/>
    <x v="3"/>
  </r>
  <r>
    <n v="1000"/>
    <x v="3"/>
  </r>
  <r>
    <n v="1000"/>
    <x v="4"/>
  </r>
  <r>
    <n v="1000"/>
    <x v="5"/>
  </r>
  <r>
    <n v="0"/>
    <x v="3"/>
  </r>
  <r>
    <n v="1000"/>
    <x v="6"/>
  </r>
  <r>
    <n v="1000"/>
    <x v="2"/>
  </r>
  <r>
    <n v="0"/>
    <x v="1"/>
  </r>
  <r>
    <n v="1000"/>
    <x v="3"/>
  </r>
  <r>
    <n v="500"/>
    <x v="5"/>
  </r>
  <r>
    <n v="500"/>
    <x v="5"/>
  </r>
  <r>
    <n v="500"/>
    <x v="5"/>
  </r>
  <r>
    <n v="500"/>
    <x v="7"/>
  </r>
  <r>
    <n v="600"/>
    <x v="8"/>
  </r>
  <r>
    <n v="600"/>
    <x v="7"/>
  </r>
  <r>
    <n v="600"/>
    <x v="9"/>
  </r>
  <r>
    <n v="600"/>
    <x v="3"/>
  </r>
  <r>
    <n v="500"/>
    <x v="2"/>
  </r>
  <r>
    <n v="600"/>
    <x v="3"/>
  </r>
  <r>
    <n v="500"/>
    <x v="5"/>
  </r>
  <r>
    <n v="1800"/>
    <x v="5"/>
  </r>
  <r>
    <n v="600"/>
    <x v="6"/>
  </r>
  <r>
    <m/>
    <x v="1"/>
  </r>
  <r>
    <m/>
    <x v="1"/>
  </r>
  <r>
    <n v="350"/>
    <x v="8"/>
  </r>
  <r>
    <n v="0"/>
    <x v="5"/>
  </r>
  <r>
    <n v="0"/>
    <x v="8"/>
  </r>
  <r>
    <n v="0"/>
    <x v="0"/>
  </r>
  <r>
    <n v="0"/>
    <x v="5"/>
  </r>
  <r>
    <n v="350"/>
    <x v="5"/>
  </r>
  <r>
    <n v="350"/>
    <x v="3"/>
  </r>
  <r>
    <n v="850"/>
    <x v="4"/>
  </r>
  <r>
    <n v="350"/>
    <x v="0"/>
  </r>
  <r>
    <n v="350"/>
    <x v="6"/>
  </r>
  <r>
    <n v="0"/>
    <x v="10"/>
  </r>
  <r>
    <n v="350"/>
    <x v="6"/>
  </r>
  <r>
    <n v="0"/>
    <x v="11"/>
  </r>
  <r>
    <n v="350"/>
    <x v="11"/>
  </r>
  <r>
    <n v="350"/>
    <x v="1"/>
  </r>
  <r>
    <n v="350"/>
    <x v="6"/>
  </r>
  <r>
    <n v="350"/>
    <x v="0"/>
  </r>
  <r>
    <n v="350"/>
    <x v="1"/>
  </r>
  <r>
    <n v="350"/>
    <x v="1"/>
  </r>
  <r>
    <n v="350"/>
    <x v="6"/>
  </r>
  <r>
    <n v="0"/>
    <x v="0"/>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2"/>
  </r>
  <r>
    <m/>
    <x v="2"/>
  </r>
  <r>
    <m/>
    <x v="5"/>
  </r>
  <r>
    <m/>
    <x v="13"/>
  </r>
  <r>
    <m/>
    <x v="9"/>
  </r>
  <r>
    <m/>
    <x v="7"/>
  </r>
  <r>
    <m/>
    <x v="14"/>
  </r>
  <r>
    <m/>
    <x v="10"/>
  </r>
  <r>
    <m/>
    <x v="15"/>
  </r>
  <r>
    <m/>
    <x v="16"/>
  </r>
  <r>
    <m/>
    <x v="11"/>
  </r>
  <r>
    <m/>
    <x v="4"/>
  </r>
  <r>
    <m/>
    <x v="17"/>
  </r>
  <r>
    <m/>
    <x v="6"/>
  </r>
  <r>
    <m/>
    <x v="3"/>
  </r>
  <r>
    <m/>
    <x v="8"/>
  </r>
  <r>
    <m/>
    <x v="18"/>
  </r>
  <r>
    <m/>
    <x v="0"/>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m/>
    <x v="0"/>
  </r>
  <r>
    <n v="3000"/>
    <x v="1"/>
  </r>
  <r>
    <n v="2500"/>
    <x v="2"/>
  </r>
  <r>
    <n v="5000"/>
    <x v="3"/>
  </r>
  <r>
    <n v="5000"/>
    <x v="0"/>
  </r>
  <r>
    <n v="2500"/>
    <x v="4"/>
  </r>
  <r>
    <n v="2500"/>
    <x v="3"/>
  </r>
  <r>
    <n v="2000"/>
    <x v="5"/>
  </r>
  <r>
    <n v="2500"/>
    <x v="5"/>
  </r>
  <r>
    <n v="1000"/>
    <x v="5"/>
  </r>
  <r>
    <n v="1000"/>
    <x v="5"/>
  </r>
  <r>
    <n v="500"/>
    <x v="4"/>
  </r>
  <r>
    <n v="1000"/>
    <x v="5"/>
  </r>
  <r>
    <n v="1000"/>
    <x v="5"/>
  </r>
  <r>
    <n v="1000"/>
    <x v="5"/>
  </r>
  <r>
    <n v="1000"/>
    <x v="5"/>
  </r>
  <r>
    <n v="1000"/>
    <x v="5"/>
  </r>
  <r>
    <n v="1000"/>
    <x v="4"/>
  </r>
  <r>
    <n v="1000"/>
    <x v="5"/>
  </r>
  <r>
    <n v="1000"/>
    <x v="5"/>
  </r>
  <r>
    <n v="1000"/>
    <x v="3"/>
  </r>
  <r>
    <n v="1000"/>
    <x v="6"/>
  </r>
  <r>
    <n v="1000"/>
    <x v="5"/>
  </r>
  <r>
    <n v="1000"/>
    <x v="7"/>
  </r>
  <r>
    <n v="1000"/>
    <x v="3"/>
  </r>
  <r>
    <n v="80"/>
    <x v="0"/>
  </r>
  <r>
    <n v="120"/>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8"/>
  </r>
  <r>
    <m/>
    <x v="3"/>
  </r>
  <r>
    <m/>
    <x v="5"/>
  </r>
  <r>
    <m/>
    <x v="9"/>
  </r>
  <r>
    <m/>
    <x v="2"/>
  </r>
  <r>
    <m/>
    <x v="10"/>
  </r>
  <r>
    <m/>
    <x v="11"/>
  </r>
  <r>
    <m/>
    <x v="1"/>
  </r>
  <r>
    <m/>
    <x v="12"/>
  </r>
  <r>
    <m/>
    <x v="13"/>
  </r>
  <r>
    <m/>
    <x v="14"/>
  </r>
  <r>
    <m/>
    <x v="15"/>
  </r>
  <r>
    <m/>
    <x v="16"/>
  </r>
  <r>
    <m/>
    <x v="7"/>
  </r>
  <r>
    <m/>
    <x v="6"/>
  </r>
  <r>
    <m/>
    <x v="17"/>
  </r>
  <r>
    <m/>
    <x v="18"/>
  </r>
  <r>
    <m/>
    <x v="4"/>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2500"/>
    <x v="0"/>
  </r>
  <r>
    <n v="5000"/>
    <x v="1"/>
  </r>
  <r>
    <n v="5000"/>
    <x v="1"/>
  </r>
  <r>
    <n v="5000"/>
    <x v="2"/>
  </r>
  <r>
    <n v="5000"/>
    <x v="1"/>
  </r>
  <r>
    <n v="5000"/>
    <x v="3"/>
  </r>
  <r>
    <n v="3500"/>
    <x v="2"/>
  </r>
  <r>
    <n v="5000"/>
    <x v="1"/>
  </r>
  <r>
    <m/>
    <x v="4"/>
  </r>
  <r>
    <m/>
    <x v="4"/>
  </r>
  <r>
    <n v="2500"/>
    <x v="1"/>
  </r>
  <r>
    <n v="2500"/>
    <x v="1"/>
  </r>
  <r>
    <n v="2500"/>
    <x v="1"/>
  </r>
  <r>
    <n v="2500"/>
    <x v="5"/>
  </r>
  <r>
    <n v="2500"/>
    <x v="5"/>
  </r>
  <r>
    <n v="2500"/>
    <x v="5"/>
  </r>
  <r>
    <n v="0"/>
    <x v="3"/>
  </r>
  <r>
    <n v="2500"/>
    <x v="1"/>
  </r>
  <r>
    <n v="2000"/>
    <x v="6"/>
  </r>
  <r>
    <n v="2500"/>
    <x v="3"/>
  </r>
  <r>
    <n v="2500"/>
    <x v="1"/>
  </r>
  <r>
    <n v="2500"/>
    <x v="1"/>
  </r>
  <r>
    <n v="2500"/>
    <x v="1"/>
  </r>
  <r>
    <n v="1000"/>
    <x v="1"/>
  </r>
  <r>
    <n v="2500"/>
    <x v="1"/>
  </r>
  <r>
    <n v="2500"/>
    <x v="7"/>
  </r>
  <r>
    <m/>
    <x v="4"/>
  </r>
  <r>
    <n v="1000"/>
    <x v="1"/>
  </r>
  <r>
    <n v="1000"/>
    <x v="2"/>
  </r>
  <r>
    <n v="1000"/>
    <x v="1"/>
  </r>
  <r>
    <n v="1500"/>
    <x v="1"/>
  </r>
  <r>
    <n v="750"/>
    <x v="2"/>
  </r>
  <r>
    <n v="1000"/>
    <x v="3"/>
  </r>
  <r>
    <n v="0"/>
    <x v="3"/>
  </r>
  <r>
    <n v="1000"/>
    <x v="1"/>
  </r>
  <r>
    <n v="1000"/>
    <x v="1"/>
  </r>
  <r>
    <n v="1000"/>
    <x v="1"/>
  </r>
  <r>
    <n v="1000"/>
    <x v="1"/>
  </r>
  <r>
    <n v="1000"/>
    <x v="7"/>
  </r>
  <r>
    <n v="1000"/>
    <x v="7"/>
  </r>
  <r>
    <n v="1000"/>
    <x v="7"/>
  </r>
  <r>
    <n v="1000"/>
    <x v="6"/>
  </r>
  <r>
    <n v="1000"/>
    <x v="6"/>
  </r>
  <r>
    <n v="1000"/>
    <x v="6"/>
  </r>
  <r>
    <n v="1000"/>
    <x v="6"/>
  </r>
  <r>
    <n v="1000"/>
    <x v="1"/>
  </r>
  <r>
    <n v="1000"/>
    <x v="1"/>
  </r>
  <r>
    <n v="1000"/>
    <x v="1"/>
  </r>
  <r>
    <n v="1000"/>
    <x v="6"/>
  </r>
  <r>
    <n v="1000"/>
    <x v="6"/>
  </r>
  <r>
    <n v="1000"/>
    <x v="3"/>
  </r>
  <r>
    <n v="1000"/>
    <x v="3"/>
  </r>
  <r>
    <n v="1000"/>
    <x v="3"/>
  </r>
  <r>
    <n v="1000"/>
    <x v="7"/>
  </r>
  <r>
    <n v="1000"/>
    <x v="1"/>
  </r>
  <r>
    <n v="1000"/>
    <x v="3"/>
  </r>
  <r>
    <n v="1000"/>
    <x v="3"/>
  </r>
  <r>
    <n v="1000"/>
    <x v="3"/>
  </r>
  <r>
    <n v="1000"/>
    <x v="3"/>
  </r>
  <r>
    <n v="1000"/>
    <x v="3"/>
  </r>
  <r>
    <n v="1000"/>
    <x v="3"/>
  </r>
  <r>
    <n v="1000"/>
    <x v="1"/>
  </r>
  <r>
    <n v="1000"/>
    <x v="3"/>
  </r>
  <r>
    <n v="1000"/>
    <x v="1"/>
  </r>
  <r>
    <n v="1000"/>
    <x v="1"/>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8"/>
  </r>
  <r>
    <m/>
    <x v="1"/>
  </r>
  <r>
    <m/>
    <x v="0"/>
  </r>
  <r>
    <m/>
    <x v="9"/>
  </r>
  <r>
    <m/>
    <x v="5"/>
  </r>
  <r>
    <m/>
    <x v="10"/>
  </r>
  <r>
    <m/>
    <x v="11"/>
  </r>
  <r>
    <m/>
    <x v="2"/>
  </r>
  <r>
    <m/>
    <x v="12"/>
  </r>
  <r>
    <m/>
    <x v="13"/>
  </r>
  <r>
    <m/>
    <x v="7"/>
  </r>
  <r>
    <m/>
    <x v="14"/>
  </r>
  <r>
    <m/>
    <x v="15"/>
  </r>
  <r>
    <m/>
    <x v="6"/>
  </r>
  <r>
    <m/>
    <x v="16"/>
  </r>
  <r>
    <m/>
    <x v="17"/>
  </r>
  <r>
    <m/>
    <x v="3"/>
  </r>
  <r>
    <m/>
    <x v="18"/>
  </r>
</pivotCacheRecords>
</file>

<file path=xl/pivotCache/pivotCacheRecords2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6500"/>
    <x v="0"/>
  </r>
  <r>
    <n v="5000"/>
    <x v="0"/>
  </r>
  <r>
    <n v="5000"/>
    <x v="1"/>
  </r>
  <r>
    <n v="7500"/>
    <x v="2"/>
  </r>
  <r>
    <n v="3000"/>
    <x v="1"/>
  </r>
  <r>
    <n v="3500"/>
    <x v="1"/>
  </r>
  <r>
    <n v="3500"/>
    <x v="1"/>
  </r>
  <r>
    <n v="3000"/>
    <x v="1"/>
  </r>
  <r>
    <n v="1500"/>
    <x v="1"/>
  </r>
  <r>
    <n v="1500"/>
    <x v="3"/>
  </r>
  <r>
    <n v="2500"/>
    <x v="3"/>
  </r>
  <r>
    <n v="2500"/>
    <x v="4"/>
  </r>
  <r>
    <n v="2500"/>
    <x v="2"/>
  </r>
  <r>
    <n v="1500"/>
    <x v="1"/>
  </r>
  <r>
    <n v="0"/>
    <x v="5"/>
  </r>
  <r>
    <n v="1500"/>
    <x v="1"/>
  </r>
  <r>
    <n v="1500"/>
    <x v="1"/>
  </r>
  <r>
    <n v="1500"/>
    <x v="2"/>
  </r>
  <r>
    <n v="0"/>
    <x v="6"/>
  </r>
  <r>
    <n v="750"/>
    <x v="5"/>
  </r>
  <r>
    <n v="1000"/>
    <x v="2"/>
  </r>
  <r>
    <n v="1000"/>
    <x v="4"/>
  </r>
  <r>
    <n v="1000"/>
    <x v="1"/>
  </r>
  <r>
    <n v="1000"/>
    <x v="7"/>
  </r>
  <r>
    <m/>
    <x v="8"/>
  </r>
  <r>
    <n v="1500"/>
    <x v="9"/>
  </r>
  <r>
    <m/>
    <x v="8"/>
  </r>
  <r>
    <m/>
    <x v="8"/>
  </r>
  <r>
    <m/>
    <x v="8"/>
  </r>
  <r>
    <m/>
    <x v="8"/>
  </r>
  <r>
    <m/>
    <x v="8"/>
  </r>
  <r>
    <n v="2500"/>
    <x v="1"/>
  </r>
  <r>
    <m/>
    <x v="8"/>
  </r>
  <r>
    <m/>
    <x v="8"/>
  </r>
  <r>
    <m/>
    <x v="8"/>
  </r>
  <r>
    <m/>
    <x v="8"/>
  </r>
  <r>
    <n v="3500"/>
    <x v="1"/>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8"/>
  </r>
  <r>
    <m/>
    <x v="10"/>
  </r>
  <r>
    <m/>
    <x v="2"/>
  </r>
  <r>
    <m/>
    <x v="1"/>
  </r>
  <r>
    <m/>
    <x v="11"/>
  </r>
  <r>
    <m/>
    <x v="4"/>
  </r>
  <r>
    <m/>
    <x v="3"/>
  </r>
  <r>
    <m/>
    <x v="12"/>
  </r>
  <r>
    <m/>
    <x v="0"/>
  </r>
  <r>
    <m/>
    <x v="6"/>
  </r>
  <r>
    <m/>
    <x v="13"/>
  </r>
  <r>
    <m/>
    <x v="14"/>
  </r>
  <r>
    <m/>
    <x v="15"/>
  </r>
  <r>
    <m/>
    <x v="16"/>
  </r>
  <r>
    <m/>
    <x v="17"/>
  </r>
  <r>
    <m/>
    <x v="9"/>
  </r>
  <r>
    <m/>
    <x v="18"/>
  </r>
  <r>
    <m/>
    <x v="7"/>
  </r>
  <r>
    <m/>
    <x v="5"/>
  </r>
</pivotCacheRecords>
</file>

<file path=xl/pivotCache/pivotCacheRecords2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m/>
    <x v="0"/>
  </r>
  <r>
    <n v="5000"/>
    <x v="1"/>
  </r>
  <r>
    <n v="5000"/>
    <x v="2"/>
  </r>
  <r>
    <n v="3000"/>
    <x v="3"/>
  </r>
  <r>
    <n v="0"/>
    <x v="2"/>
  </r>
  <r>
    <n v="3500"/>
    <x v="4"/>
  </r>
  <r>
    <n v="2500"/>
    <x v="5"/>
  </r>
  <r>
    <n v="1000"/>
    <x v="6"/>
  </r>
  <r>
    <n v="2000"/>
    <x v="1"/>
  </r>
  <r>
    <n v="2500"/>
    <x v="1"/>
  </r>
  <r>
    <n v="2000"/>
    <x v="4"/>
  </r>
  <r>
    <n v="1000"/>
    <x v="4"/>
  </r>
  <r>
    <n v="1000"/>
    <x v="7"/>
  </r>
  <r>
    <n v="1400"/>
    <x v="1"/>
  </r>
  <r>
    <n v="1000"/>
    <x v="1"/>
  </r>
  <r>
    <n v="1000"/>
    <x v="1"/>
  </r>
  <r>
    <n v="1000"/>
    <x v="1"/>
  </r>
  <r>
    <n v="1000"/>
    <x v="1"/>
  </r>
  <r>
    <n v="1000"/>
    <x v="8"/>
  </r>
  <r>
    <n v="1090"/>
    <x v="1"/>
  </r>
  <r>
    <n v="1000"/>
    <x v="1"/>
  </r>
  <r>
    <n v="1000"/>
    <x v="5"/>
  </r>
  <r>
    <n v="1000"/>
    <x v="5"/>
  </r>
  <r>
    <n v="1000"/>
    <x v="8"/>
  </r>
  <r>
    <n v="1000"/>
    <x v="7"/>
  </r>
  <r>
    <n v="1000"/>
    <x v="0"/>
  </r>
  <r>
    <n v="0"/>
    <x v="0"/>
  </r>
  <r>
    <n v="2000"/>
    <x v="1"/>
  </r>
  <r>
    <n v="3500"/>
    <x v="1"/>
  </r>
  <r>
    <n v="2500"/>
    <x v="8"/>
  </r>
  <r>
    <n v="2000"/>
    <x v="1"/>
  </r>
  <r>
    <n v="1350"/>
    <x v="3"/>
  </r>
  <r>
    <n v="2500"/>
    <x v="1"/>
  </r>
  <r>
    <n v="2000"/>
    <x v="7"/>
  </r>
  <r>
    <m/>
    <x v="0"/>
  </r>
  <r>
    <n v="3500"/>
    <x v="1"/>
  </r>
  <r>
    <n v="750"/>
    <x v="9"/>
  </r>
  <r>
    <n v="750"/>
    <x v="7"/>
  </r>
  <r>
    <n v="750"/>
    <x v="8"/>
  </r>
  <r>
    <s v="Transfer"/>
    <x v="5"/>
  </r>
  <r>
    <n v="750"/>
    <x v="5"/>
  </r>
  <r>
    <n v="0"/>
    <x v="10"/>
  </r>
  <r>
    <m/>
    <x v="0"/>
  </r>
  <r>
    <n v="600"/>
    <x v="1"/>
  </r>
  <r>
    <n v="750"/>
    <x v="8"/>
  </r>
  <r>
    <n v="750"/>
    <x v="3"/>
  </r>
  <r>
    <n v="750"/>
    <x v="2"/>
  </r>
  <r>
    <n v="750"/>
    <x v="5"/>
  </r>
  <r>
    <n v="750"/>
    <x v="8"/>
  </r>
  <r>
    <s v="DROP"/>
    <x v="3"/>
  </r>
  <r>
    <n v="785"/>
    <x v="8"/>
  </r>
  <r>
    <n v="750"/>
    <x v="8"/>
  </r>
  <r>
    <n v="750"/>
    <x v="9"/>
  </r>
  <r>
    <n v="750"/>
    <x v="8"/>
  </r>
  <r>
    <n v="750"/>
    <x v="7"/>
  </r>
  <r>
    <n v="820"/>
    <x v="7"/>
  </r>
  <r>
    <n v="785"/>
    <x v="0"/>
  </r>
  <r>
    <n v="870"/>
    <x v="0"/>
  </r>
  <r>
    <n v="750"/>
    <x v="0"/>
  </r>
  <r>
    <n v="750"/>
    <x v="10"/>
  </r>
  <r>
    <s v="Transfer"/>
    <x v="7"/>
  </r>
  <r>
    <n v="0"/>
    <x v="2"/>
  </r>
  <r>
    <n v="300"/>
    <x v="0"/>
  </r>
  <r>
    <n v="425"/>
    <x v="2"/>
  </r>
  <r>
    <n v="500"/>
    <x v="1"/>
  </r>
  <r>
    <n v="530"/>
    <x v="1"/>
  </r>
  <r>
    <n v="500"/>
    <x v="1"/>
  </r>
  <r>
    <n v="500"/>
    <x v="8"/>
  </r>
  <r>
    <n v="500"/>
    <x v="10"/>
  </r>
  <r>
    <n v="500"/>
    <x v="7"/>
  </r>
  <r>
    <n v="500"/>
    <x v="2"/>
  </r>
  <r>
    <n v="500"/>
    <x v="8"/>
  </r>
  <r>
    <n v="500"/>
    <x v="1"/>
  </r>
  <r>
    <n v="500"/>
    <x v="1"/>
  </r>
  <r>
    <n v="500"/>
    <x v="0"/>
  </r>
  <r>
    <n v="500"/>
    <x v="8"/>
  </r>
  <r>
    <n v="500"/>
    <x v="0"/>
  </r>
  <r>
    <n v="500"/>
    <x v="8"/>
  </r>
  <r>
    <n v="500"/>
    <x v="8"/>
  </r>
  <r>
    <n v="500"/>
    <x v="7"/>
  </r>
  <r>
    <n v="500"/>
    <x v="2"/>
  </r>
  <r>
    <n v="500"/>
    <x v="11"/>
  </r>
  <r>
    <n v="500"/>
    <x v="0"/>
  </r>
  <r>
    <n v="500"/>
    <x v="7"/>
  </r>
  <r>
    <n v="0"/>
    <x v="12"/>
  </r>
  <r>
    <n v="500"/>
    <x v="7"/>
  </r>
  <r>
    <n v="500"/>
    <x v="0"/>
  </r>
  <r>
    <n v="600"/>
    <x v="7"/>
  </r>
  <r>
    <n v="500"/>
    <x v="5"/>
  </r>
  <r>
    <n v="500"/>
    <x v="9"/>
  </r>
  <r>
    <n v="500"/>
    <x v="9"/>
  </r>
  <r>
    <n v="500"/>
    <x v="8"/>
  </r>
  <r>
    <n v="500"/>
    <x v="0"/>
  </r>
  <r>
    <n v="500"/>
    <x v="3"/>
  </r>
  <r>
    <n v="570"/>
    <x v="8"/>
  </r>
  <r>
    <n v="500"/>
    <x v="0"/>
  </r>
  <r>
    <n v="530"/>
    <x v="9"/>
  </r>
  <r>
    <n v="500"/>
    <x v="0"/>
  </r>
  <r>
    <n v="0"/>
    <x v="2"/>
  </r>
  <r>
    <n v="500"/>
    <x v="8"/>
  </r>
  <r>
    <n v="500"/>
    <x v="5"/>
  </r>
  <r>
    <n v="530"/>
    <x v="0"/>
  </r>
  <r>
    <n v="500"/>
    <x v="0"/>
  </r>
  <r>
    <n v="500"/>
    <x v="0"/>
  </r>
  <r>
    <n v="535"/>
    <x v="0"/>
  </r>
  <r>
    <n v="500"/>
    <x v="9"/>
  </r>
  <r>
    <n v="800"/>
    <x v="0"/>
  </r>
  <r>
    <n v="800"/>
    <x v="0"/>
  </r>
  <r>
    <n v="0"/>
    <x v="10"/>
  </r>
  <r>
    <n v="0"/>
    <x v="12"/>
  </r>
  <r>
    <n v="0"/>
    <x v="10"/>
  </r>
  <r>
    <n v="500"/>
    <x v="12"/>
  </r>
  <r>
    <m/>
    <x v="0"/>
  </r>
  <r>
    <m/>
    <x v="0"/>
  </r>
  <r>
    <n v="0"/>
    <x v="8"/>
  </r>
  <r>
    <n v="0"/>
    <x v="2"/>
  </r>
  <r>
    <n v="0"/>
    <x v="13"/>
  </r>
  <r>
    <n v="0"/>
    <x v="13"/>
  </r>
  <r>
    <n v="0"/>
    <x v="13"/>
  </r>
  <r>
    <n v="0"/>
    <x v="13"/>
  </r>
  <r>
    <n v="0"/>
    <x v="13"/>
  </r>
  <r>
    <n v="0"/>
    <x v="13"/>
  </r>
  <r>
    <n v="0"/>
    <x v="0"/>
  </r>
  <r>
    <n v="0"/>
    <x v="0"/>
  </r>
  <r>
    <n v="0"/>
    <x v="0"/>
  </r>
  <r>
    <n v="0"/>
    <x v="0"/>
  </r>
  <r>
    <n v="0"/>
    <x v="0"/>
  </r>
  <r>
    <n v="0"/>
    <x v="0"/>
  </r>
  <r>
    <n v="0"/>
    <x v="0"/>
  </r>
  <r>
    <n v="0"/>
    <x v="0"/>
  </r>
  <r>
    <n v="0"/>
    <x v="0"/>
  </r>
  <r>
    <n v="0"/>
    <x v="0"/>
  </r>
  <r>
    <n v="0"/>
    <x v="0"/>
  </r>
  <r>
    <n v="0"/>
    <x v="0"/>
  </r>
  <r>
    <n v="0"/>
    <x v="0"/>
  </r>
  <r>
    <n v="0"/>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0"/>
  </r>
  <r>
    <m/>
    <x v="14"/>
  </r>
  <r>
    <m/>
    <x v="12"/>
  </r>
  <r>
    <m/>
    <x v="1"/>
  </r>
  <r>
    <m/>
    <x v="15"/>
  </r>
  <r>
    <m/>
    <x v="10"/>
  </r>
  <r>
    <m/>
    <x v="6"/>
  </r>
  <r>
    <m/>
    <x v="16"/>
  </r>
  <r>
    <m/>
    <x v="4"/>
  </r>
  <r>
    <m/>
    <x v="3"/>
  </r>
  <r>
    <m/>
    <x v="17"/>
  </r>
  <r>
    <m/>
    <x v="7"/>
  </r>
  <r>
    <m/>
    <x v="9"/>
  </r>
  <r>
    <m/>
    <x v="18"/>
  </r>
  <r>
    <m/>
    <x v="5"/>
  </r>
  <r>
    <m/>
    <x v="8"/>
  </r>
  <r>
    <m/>
    <x v="19"/>
  </r>
  <r>
    <m/>
    <x v="11"/>
  </r>
  <r>
    <m/>
    <x v="2"/>
  </r>
</pivotCacheRecords>
</file>

<file path=xl/pivotCache/pivotCacheRecords2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n v="3000"/>
    <x v="0"/>
  </r>
  <r>
    <m/>
    <x v="1"/>
  </r>
  <r>
    <n v="1500"/>
    <x v="2"/>
  </r>
  <r>
    <n v="3000"/>
    <x v="0"/>
  </r>
  <r>
    <n v="1500"/>
    <x v="3"/>
  </r>
  <r>
    <n v="1500"/>
    <x v="4"/>
  </r>
  <r>
    <n v="1500"/>
    <x v="3"/>
  </r>
  <r>
    <n v="1500"/>
    <x v="5"/>
  </r>
  <r>
    <n v="1500"/>
    <x v="2"/>
  </r>
  <r>
    <n v="1350"/>
    <x v="0"/>
  </r>
  <r>
    <n v="1500"/>
    <x v="1"/>
  </r>
  <r>
    <n v="1500"/>
    <x v="2"/>
  </r>
  <r>
    <m/>
    <x v="1"/>
  </r>
  <r>
    <n v="1500"/>
    <x v="2"/>
  </r>
  <r>
    <n v="1500"/>
    <x v="0"/>
  </r>
  <r>
    <n v="1500"/>
    <x v="2"/>
  </r>
  <r>
    <m/>
    <x v="1"/>
  </r>
  <r>
    <n v="3000"/>
    <x v="6"/>
  </r>
  <r>
    <n v="1500"/>
    <x v="7"/>
  </r>
  <r>
    <n v="1500"/>
    <x v="2"/>
  </r>
  <r>
    <m/>
    <x v="1"/>
  </r>
  <r>
    <n v="1500"/>
    <x v="2"/>
  </r>
  <r>
    <n v="0"/>
    <x v="1"/>
  </r>
  <r>
    <n v="3000"/>
    <x v="7"/>
  </r>
  <r>
    <n v="1500"/>
    <x v="7"/>
  </r>
  <r>
    <n v="1500"/>
    <x v="0"/>
  </r>
  <r>
    <n v="1500"/>
    <x v="0"/>
  </r>
  <r>
    <n v="1500"/>
    <x v="0"/>
  </r>
  <r>
    <m/>
    <x v="1"/>
  </r>
  <r>
    <m/>
    <x v="1"/>
  </r>
  <r>
    <n v="1500"/>
    <x v="5"/>
  </r>
  <r>
    <n v="1500"/>
    <x v="8"/>
  </r>
  <r>
    <m/>
    <x v="1"/>
  </r>
  <r>
    <n v="3000"/>
    <x v="7"/>
  </r>
  <r>
    <n v="1500"/>
    <x v="8"/>
  </r>
  <r>
    <n v="1500"/>
    <x v="2"/>
  </r>
  <r>
    <n v="1500"/>
    <x v="2"/>
  </r>
  <r>
    <m/>
    <x v="1"/>
  </r>
  <r>
    <n v="1500"/>
    <x v="9"/>
  </r>
  <r>
    <n v="1500"/>
    <x v="1"/>
  </r>
  <r>
    <n v="1500"/>
    <x v="10"/>
  </r>
  <r>
    <n v="1500"/>
    <x v="0"/>
  </r>
  <r>
    <n v="5000"/>
    <x v="7"/>
  </r>
  <r>
    <m/>
    <x v="1"/>
  </r>
  <r>
    <n v="3000"/>
    <x v="7"/>
  </r>
  <r>
    <n v="1500"/>
    <x v="0"/>
  </r>
  <r>
    <n v="1500"/>
    <x v="11"/>
  </r>
  <r>
    <n v="3000"/>
    <x v="5"/>
  </r>
  <r>
    <n v="1500"/>
    <x v="0"/>
  </r>
  <r>
    <n v="1500"/>
    <x v="2"/>
  </r>
  <r>
    <n v="1500"/>
    <x v="2"/>
  </r>
  <r>
    <n v="1500"/>
    <x v="6"/>
  </r>
  <r>
    <n v="1500"/>
    <x v="11"/>
  </r>
  <r>
    <n v="1500"/>
    <x v="1"/>
  </r>
  <r>
    <n v="1500"/>
    <x v="3"/>
  </r>
  <r>
    <n v="1500"/>
    <x v="10"/>
  </r>
  <r>
    <n v="3000"/>
    <x v="6"/>
  </r>
  <r>
    <n v="1500"/>
    <x v="1"/>
  </r>
  <r>
    <m/>
    <x v="1"/>
  </r>
  <r>
    <m/>
    <x v="1"/>
  </r>
  <r>
    <n v="1500"/>
    <x v="2"/>
  </r>
  <r>
    <n v="3000"/>
    <x v="0"/>
  </r>
  <r>
    <n v="1500"/>
    <x v="0"/>
  </r>
  <r>
    <n v="1500"/>
    <x v="2"/>
  </r>
  <r>
    <n v="1500"/>
    <x v="1"/>
  </r>
  <r>
    <n v="1500"/>
    <x v="1"/>
  </r>
  <r>
    <n v="1500"/>
    <x v="3"/>
  </r>
  <r>
    <n v="1500"/>
    <x v="3"/>
  </r>
  <r>
    <n v="1500"/>
    <x v="1"/>
  </r>
  <r>
    <n v="1500"/>
    <x v="2"/>
  </r>
  <r>
    <n v="1500"/>
    <x v="10"/>
  </r>
  <r>
    <n v="1500"/>
    <x v="3"/>
  </r>
  <r>
    <m/>
    <x v="1"/>
  </r>
  <r>
    <s v="DROP"/>
    <x v="1"/>
  </r>
  <r>
    <n v="1500"/>
    <x v="11"/>
  </r>
  <r>
    <n v="3000"/>
    <x v="0"/>
  </r>
  <r>
    <m/>
    <x v="1"/>
  </r>
  <r>
    <n v="1500"/>
    <x v="2"/>
  </r>
  <r>
    <n v="3000"/>
    <x v="10"/>
  </r>
  <r>
    <n v="1500"/>
    <x v="0"/>
  </r>
  <r>
    <n v="1500"/>
    <x v="1"/>
  </r>
  <r>
    <n v="1500"/>
    <x v="1"/>
  </r>
  <r>
    <n v="3000"/>
    <x v="10"/>
  </r>
  <r>
    <n v="1500"/>
    <x v="2"/>
  </r>
  <r>
    <n v="1500"/>
    <x v="7"/>
  </r>
  <r>
    <m/>
    <x v="1"/>
  </r>
  <r>
    <n v="1500"/>
    <x v="7"/>
  </r>
  <r>
    <n v="3000"/>
    <x v="8"/>
  </r>
  <r>
    <m/>
    <x v="1"/>
  </r>
  <r>
    <n v="1500"/>
    <x v="7"/>
  </r>
  <r>
    <n v="1500"/>
    <x v="0"/>
  </r>
  <r>
    <n v="1500"/>
    <x v="2"/>
  </r>
  <r>
    <n v="1500"/>
    <x v="0"/>
  </r>
  <r>
    <n v="1500"/>
    <x v="3"/>
  </r>
  <r>
    <n v="1500"/>
    <x v="2"/>
  </r>
  <r>
    <n v="1500"/>
    <x v="2"/>
  </r>
  <r>
    <m/>
    <x v="1"/>
  </r>
  <r>
    <n v="1500"/>
    <x v="2"/>
  </r>
  <r>
    <n v="3000"/>
    <x v="0"/>
  </r>
  <r>
    <n v="5000"/>
    <x v="12"/>
  </r>
  <r>
    <n v="3000"/>
    <x v="0"/>
  </r>
  <r>
    <n v="3000"/>
    <x v="11"/>
  </r>
  <r>
    <n v="1500"/>
    <x v="5"/>
  </r>
  <r>
    <n v="1500"/>
    <x v="3"/>
  </r>
  <r>
    <n v="1500"/>
    <x v="0"/>
  </r>
  <r>
    <m/>
    <x v="1"/>
  </r>
  <r>
    <m/>
    <x v="1"/>
  </r>
  <r>
    <n v="1500"/>
    <x v="2"/>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3"/>
  </r>
  <r>
    <m/>
    <x v="0"/>
  </r>
  <r>
    <m/>
    <x v="7"/>
  </r>
  <r>
    <m/>
    <x v="14"/>
  </r>
  <r>
    <m/>
    <x v="6"/>
  </r>
  <r>
    <m/>
    <x v="8"/>
  </r>
  <r>
    <m/>
    <x v="15"/>
  </r>
  <r>
    <m/>
    <x v="3"/>
  </r>
  <r>
    <m/>
    <x v="5"/>
  </r>
  <r>
    <m/>
    <x v="16"/>
  </r>
  <r>
    <m/>
    <x v="9"/>
  </r>
  <r>
    <m/>
    <x v="17"/>
  </r>
  <r>
    <m/>
    <x v="18"/>
  </r>
  <r>
    <m/>
    <x v="11"/>
  </r>
  <r>
    <m/>
    <x v="4"/>
  </r>
  <r>
    <m/>
    <x v="12"/>
  </r>
  <r>
    <m/>
    <x v="2"/>
  </r>
  <r>
    <m/>
    <x v="10"/>
  </r>
</pivotCacheRecords>
</file>

<file path=xl/pivotCache/pivotCacheRecords2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4500"/>
    <x v="0"/>
  </r>
  <r>
    <n v="2500"/>
    <x v="1"/>
  </r>
  <r>
    <n v="2500"/>
    <x v="2"/>
  </r>
  <r>
    <m/>
    <x v="3"/>
  </r>
  <r>
    <n v="1500"/>
    <x v="4"/>
  </r>
  <r>
    <n v="1000"/>
    <x v="5"/>
  </r>
  <r>
    <m/>
    <x v="3"/>
  </r>
  <r>
    <m/>
    <x v="3"/>
  </r>
  <r>
    <n v="500"/>
    <x v="4"/>
  </r>
  <r>
    <n v="1000"/>
    <x v="1"/>
  </r>
  <r>
    <n v="1000"/>
    <x v="1"/>
  </r>
  <r>
    <n v="1000"/>
    <x v="1"/>
  </r>
  <r>
    <n v="0"/>
    <x v="4"/>
  </r>
  <r>
    <n v="1000"/>
    <x v="1"/>
  </r>
  <r>
    <n v="300"/>
    <x v="0"/>
  </r>
  <r>
    <n v="350"/>
    <x v="1"/>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3"/>
  </r>
  <r>
    <m/>
    <x v="6"/>
  </r>
  <r>
    <m/>
    <x v="2"/>
  </r>
  <r>
    <m/>
    <x v="1"/>
  </r>
  <r>
    <m/>
    <x v="7"/>
  </r>
  <r>
    <m/>
    <x v="0"/>
  </r>
  <r>
    <m/>
    <x v="8"/>
  </r>
  <r>
    <m/>
    <x v="9"/>
  </r>
  <r>
    <m/>
    <x v="10"/>
  </r>
  <r>
    <m/>
    <x v="11"/>
  </r>
  <r>
    <m/>
    <x v="12"/>
  </r>
  <r>
    <m/>
    <x v="13"/>
  </r>
  <r>
    <m/>
    <x v="14"/>
  </r>
  <r>
    <m/>
    <x v="15"/>
  </r>
  <r>
    <m/>
    <x v="16"/>
  </r>
  <r>
    <m/>
    <x v="5"/>
  </r>
  <r>
    <m/>
    <x v="17"/>
  </r>
  <r>
    <m/>
    <x v="18"/>
  </r>
  <r>
    <m/>
    <x v="4"/>
  </r>
</pivotCacheRecords>
</file>

<file path=xl/pivotCache/pivotCacheRecords2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10000"/>
    <x v="0"/>
  </r>
  <r>
    <n v="3000"/>
    <x v="1"/>
  </r>
  <r>
    <n v="5000"/>
    <x v="1"/>
  </r>
  <r>
    <n v="5000"/>
    <x v="2"/>
  </r>
  <r>
    <n v="2500"/>
    <x v="3"/>
  </r>
  <r>
    <n v="5000"/>
    <x v="3"/>
  </r>
  <r>
    <n v="5000"/>
    <x v="3"/>
  </r>
  <r>
    <n v="7500"/>
    <x v="4"/>
  </r>
  <r>
    <n v="3500"/>
    <x v="5"/>
  </r>
  <r>
    <n v="5000"/>
    <x v="6"/>
  </r>
  <r>
    <m/>
    <x v="7"/>
  </r>
  <r>
    <n v="3000"/>
    <x v="1"/>
  </r>
  <r>
    <n v="2000"/>
    <x v="1"/>
  </r>
  <r>
    <m/>
    <x v="7"/>
  </r>
  <r>
    <n v="7500"/>
    <x v="3"/>
  </r>
  <r>
    <n v="2500"/>
    <x v="1"/>
  </r>
  <r>
    <n v="2500"/>
    <x v="8"/>
  </r>
  <r>
    <n v="0"/>
    <x v="9"/>
  </r>
  <r>
    <n v="2500"/>
    <x v="1"/>
  </r>
  <r>
    <n v="1350"/>
    <x v="10"/>
  </r>
  <r>
    <n v="2500"/>
    <x v="10"/>
  </r>
  <r>
    <n v="1000"/>
    <x v="2"/>
  </r>
  <r>
    <n v="1000"/>
    <x v="4"/>
  </r>
  <r>
    <n v="0"/>
    <x v="4"/>
  </r>
  <r>
    <n v="1500"/>
    <x v="1"/>
  </r>
  <r>
    <n v="1000"/>
    <x v="1"/>
  </r>
  <r>
    <n v="1000"/>
    <x v="6"/>
  </r>
  <r>
    <n v="0"/>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11"/>
  </r>
  <r>
    <m/>
    <x v="3"/>
  </r>
  <r>
    <m/>
    <x v="1"/>
  </r>
  <r>
    <m/>
    <x v="12"/>
  </r>
  <r>
    <m/>
    <x v="8"/>
  </r>
  <r>
    <m/>
    <x v="5"/>
  </r>
  <r>
    <m/>
    <x v="13"/>
  </r>
  <r>
    <m/>
    <x v="0"/>
  </r>
  <r>
    <m/>
    <x v="14"/>
  </r>
  <r>
    <m/>
    <x v="15"/>
  </r>
  <r>
    <m/>
    <x v="10"/>
  </r>
  <r>
    <m/>
    <x v="16"/>
  </r>
  <r>
    <m/>
    <x v="17"/>
  </r>
  <r>
    <m/>
    <x v="6"/>
  </r>
  <r>
    <m/>
    <x v="2"/>
  </r>
  <r>
    <m/>
    <x v="18"/>
  </r>
  <r>
    <m/>
    <x v="4"/>
  </r>
  <r>
    <m/>
    <x v="9"/>
  </r>
</pivotCacheRecords>
</file>

<file path=xl/pivotCache/pivotCacheRecords2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20000"/>
    <x v="0"/>
  </r>
  <r>
    <n v="10000"/>
    <x v="0"/>
  </r>
  <r>
    <n v="10000"/>
    <x v="0"/>
  </r>
  <r>
    <n v="10000"/>
    <x v="0"/>
  </r>
  <r>
    <n v="10000"/>
    <x v="0"/>
  </r>
  <r>
    <m/>
    <x v="1"/>
  </r>
  <r>
    <n v="7000"/>
    <x v="2"/>
  </r>
  <r>
    <m/>
    <x v="1"/>
  </r>
  <r>
    <n v="7500"/>
    <x v="3"/>
  </r>
  <r>
    <n v="3200"/>
    <x v="0"/>
  </r>
  <r>
    <n v="0"/>
    <x v="4"/>
  </r>
  <r>
    <n v="2000"/>
    <x v="5"/>
  </r>
  <r>
    <m/>
    <x v="1"/>
  </r>
  <r>
    <m/>
    <x v="1"/>
  </r>
  <r>
    <n v="5000"/>
    <x v="0"/>
  </r>
  <r>
    <n v="5000"/>
    <x v="0"/>
  </r>
  <r>
    <n v="5000"/>
    <x v="2"/>
  </r>
  <r>
    <n v="5000"/>
    <x v="6"/>
  </r>
  <r>
    <m/>
    <x v="1"/>
  </r>
  <r>
    <n v="2500"/>
    <x v="0"/>
  </r>
  <r>
    <n v="1000"/>
    <x v="0"/>
  </r>
  <r>
    <n v="2500"/>
    <x v="6"/>
  </r>
  <r>
    <n v="2500"/>
    <x v="3"/>
  </r>
  <r>
    <n v="0"/>
    <x v="3"/>
  </r>
  <r>
    <n v="0"/>
    <x v="5"/>
  </r>
  <r>
    <n v="0"/>
    <x v="1"/>
  </r>
  <r>
    <n v="2300"/>
    <x v="7"/>
  </r>
  <r>
    <m/>
    <x v="1"/>
  </r>
  <r>
    <m/>
    <x v="1"/>
  </r>
  <r>
    <n v="1000"/>
    <x v="0"/>
  </r>
  <r>
    <n v="750"/>
    <x v="7"/>
  </r>
  <r>
    <n v="0"/>
    <x v="8"/>
  </r>
  <r>
    <n v="0"/>
    <x v="8"/>
  </r>
  <r>
    <n v="2000"/>
    <x v="6"/>
  </r>
  <r>
    <n v="0"/>
    <x v="9"/>
  </r>
  <r>
    <n v="1000"/>
    <x v="0"/>
  </r>
  <r>
    <n v="750"/>
    <x v="3"/>
  </r>
  <r>
    <m/>
    <x v="1"/>
  </r>
  <r>
    <m/>
    <x v="1"/>
  </r>
  <r>
    <n v="750"/>
    <x v="3"/>
  </r>
  <r>
    <n v="500"/>
    <x v="10"/>
  </r>
  <r>
    <n v="350"/>
    <x v="10"/>
  </r>
  <r>
    <n v="0"/>
    <x v="3"/>
  </r>
  <r>
    <n v="0"/>
    <x v="1"/>
  </r>
  <r>
    <n v="500"/>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
  </r>
  <r>
    <m/>
    <x v="11"/>
  </r>
  <r>
    <m/>
    <x v="6"/>
  </r>
  <r>
    <m/>
    <x v="0"/>
  </r>
  <r>
    <m/>
    <x v="12"/>
  </r>
  <r>
    <m/>
    <x v="9"/>
  </r>
  <r>
    <m/>
    <x v="8"/>
  </r>
  <r>
    <m/>
    <x v="13"/>
  </r>
  <r>
    <m/>
    <x v="10"/>
  </r>
  <r>
    <m/>
    <x v="2"/>
  </r>
  <r>
    <m/>
    <x v="14"/>
  </r>
  <r>
    <m/>
    <x v="4"/>
  </r>
  <r>
    <m/>
    <x v="15"/>
  </r>
  <r>
    <m/>
    <x v="16"/>
  </r>
  <r>
    <m/>
    <x v="5"/>
  </r>
  <r>
    <m/>
    <x v="7"/>
  </r>
  <r>
    <m/>
    <x v="17"/>
  </r>
  <r>
    <m/>
    <x v="18"/>
  </r>
  <r>
    <m/>
    <x v="3"/>
  </r>
</pivotCacheRecords>
</file>

<file path=xl/pivotCache/pivotCacheRecords2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n v="7500"/>
    <x v="0"/>
  </r>
  <r>
    <n v="5000"/>
    <x v="1"/>
  </r>
  <r>
    <n v="4000"/>
    <x v="2"/>
  </r>
  <r>
    <n v="5000"/>
    <x v="3"/>
  </r>
  <r>
    <n v="3500"/>
    <x v="4"/>
  </r>
  <r>
    <n v="3500"/>
    <x v="2"/>
  </r>
  <r>
    <n v="3500"/>
    <x v="1"/>
  </r>
  <r>
    <n v="2500"/>
    <x v="5"/>
  </r>
  <r>
    <n v="2500"/>
    <x v="6"/>
  </r>
  <r>
    <n v="2500"/>
    <x v="5"/>
  </r>
  <r>
    <n v="1500"/>
    <x v="4"/>
  </r>
  <r>
    <n v="2500"/>
    <x v="2"/>
  </r>
  <r>
    <n v="0"/>
    <x v="5"/>
  </r>
  <r>
    <n v="2500"/>
    <x v="5"/>
  </r>
  <r>
    <m/>
    <x v="7"/>
  </r>
  <r>
    <n v="3500"/>
    <x v="4"/>
  </r>
  <r>
    <m/>
    <x v="7"/>
  </r>
  <r>
    <n v="2000"/>
    <x v="4"/>
  </r>
  <r>
    <m/>
    <x v="7"/>
  </r>
  <r>
    <m/>
    <x v="7"/>
  </r>
  <r>
    <n v="1000"/>
    <x v="5"/>
  </r>
  <r>
    <n v="1250"/>
    <x v="6"/>
  </r>
  <r>
    <n v="0"/>
    <x v="4"/>
  </r>
  <r>
    <n v="0"/>
    <x v="8"/>
  </r>
  <r>
    <m/>
    <x v="7"/>
  </r>
  <r>
    <n v="1200"/>
    <x v="5"/>
  </r>
  <r>
    <n v="1300"/>
    <x v="3"/>
  </r>
  <r>
    <n v="1000"/>
    <x v="5"/>
  </r>
  <r>
    <n v="1000"/>
    <x v="5"/>
  </r>
  <r>
    <n v="1000"/>
    <x v="5"/>
  </r>
  <r>
    <n v="1000"/>
    <x v="5"/>
  </r>
  <r>
    <n v="1300"/>
    <x v="9"/>
  </r>
  <r>
    <n v="1300"/>
    <x v="5"/>
  </r>
  <r>
    <n v="1500"/>
    <x v="5"/>
  </r>
  <r>
    <n v="680"/>
    <x v="8"/>
  </r>
  <r>
    <n v="0"/>
    <x v="3"/>
  </r>
  <r>
    <n v="0"/>
    <x v="10"/>
  </r>
  <r>
    <n v="0"/>
    <x v="8"/>
  </r>
  <r>
    <n v="2600"/>
    <x v="7"/>
  </r>
  <r>
    <n v="255"/>
    <x v="7"/>
  </r>
  <r>
    <n v="425"/>
    <x v="7"/>
  </r>
  <r>
    <n v="255"/>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7"/>
  </r>
  <r>
    <m/>
    <x v="11"/>
  </r>
  <r>
    <m/>
    <x v="2"/>
  </r>
  <r>
    <m/>
    <x v="5"/>
  </r>
  <r>
    <m/>
    <x v="12"/>
  </r>
  <r>
    <m/>
    <x v="10"/>
  </r>
  <r>
    <m/>
    <x v="0"/>
  </r>
  <r>
    <m/>
    <x v="13"/>
  </r>
  <r>
    <m/>
    <x v="14"/>
  </r>
  <r>
    <m/>
    <x v="1"/>
  </r>
  <r>
    <m/>
    <x v="15"/>
  </r>
  <r>
    <m/>
    <x v="8"/>
  </r>
  <r>
    <m/>
    <x v="16"/>
  </r>
  <r>
    <m/>
    <x v="17"/>
  </r>
  <r>
    <m/>
    <x v="6"/>
  </r>
  <r>
    <m/>
    <x v="9"/>
  </r>
  <r>
    <m/>
    <x v="18"/>
  </r>
  <r>
    <m/>
    <x v="4"/>
  </r>
  <r>
    <m/>
    <x v="3"/>
  </r>
</pivotCacheRecords>
</file>

<file path=xl/pivotCache/pivotCacheRecords2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n v="10000"/>
    <x v="0"/>
  </r>
  <r>
    <n v="7500"/>
    <x v="0"/>
  </r>
  <r>
    <n v="2500"/>
    <x v="1"/>
  </r>
  <r>
    <m/>
    <x v="2"/>
  </r>
  <r>
    <m/>
    <x v="2"/>
  </r>
  <r>
    <s v="PRICE PLEDGED"/>
    <x v="3"/>
  </r>
  <r>
    <n v="3200"/>
    <x v="1"/>
  </r>
  <r>
    <n v="5000"/>
    <x v="4"/>
  </r>
  <r>
    <n v="4000"/>
    <x v="5"/>
  </r>
  <r>
    <n v="4000"/>
    <x v="4"/>
  </r>
  <r>
    <n v="4000"/>
    <x v="4"/>
  </r>
  <r>
    <n v="4000"/>
    <x v="6"/>
  </r>
  <r>
    <n v="4000"/>
    <x v="7"/>
  </r>
  <r>
    <n v="4000"/>
    <x v="4"/>
  </r>
  <r>
    <n v="4000"/>
    <x v="5"/>
  </r>
  <r>
    <n v="4000"/>
    <x v="8"/>
  </r>
  <r>
    <n v="4000"/>
    <x v="4"/>
  </r>
  <r>
    <n v="4000"/>
    <x v="6"/>
  </r>
  <r>
    <m/>
    <x v="2"/>
  </r>
  <r>
    <m/>
    <x v="2"/>
  </r>
  <r>
    <s v="PRICE PLEDGED"/>
    <x v="3"/>
  </r>
  <r>
    <m/>
    <x v="2"/>
  </r>
  <r>
    <n v="20166"/>
    <x v="5"/>
  </r>
  <r>
    <m/>
    <x v="5"/>
  </r>
  <r>
    <m/>
    <x v="5"/>
  </r>
  <r>
    <m/>
    <x v="5"/>
  </r>
  <r>
    <m/>
    <x v="5"/>
  </r>
  <r>
    <m/>
    <x v="5"/>
  </r>
  <r>
    <m/>
    <x v="5"/>
  </r>
  <r>
    <m/>
    <x v="5"/>
  </r>
  <r>
    <m/>
    <x v="5"/>
  </r>
  <r>
    <m/>
    <x v="5"/>
  </r>
  <r>
    <m/>
    <x v="5"/>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n v="1700"/>
    <x v="9"/>
  </r>
  <r>
    <m/>
    <x v="2"/>
  </r>
  <r>
    <m/>
    <x v="2"/>
  </r>
  <r>
    <m/>
    <x v="2"/>
  </r>
  <r>
    <m/>
    <x v="2"/>
  </r>
  <r>
    <n v="1250"/>
    <x v="10"/>
  </r>
  <r>
    <n v="2500"/>
    <x v="10"/>
  </r>
  <r>
    <m/>
    <x v="2"/>
  </r>
  <r>
    <m/>
    <x v="2"/>
  </r>
  <r>
    <m/>
    <x v="2"/>
  </r>
  <r>
    <n v="871"/>
    <x v="2"/>
  </r>
  <r>
    <m/>
    <x v="2"/>
  </r>
  <r>
    <m/>
    <x v="2"/>
  </r>
  <r>
    <n v="1500"/>
    <x v="6"/>
  </r>
  <r>
    <n v="1333"/>
    <x v="8"/>
  </r>
  <r>
    <n v="13000"/>
    <x v="11"/>
  </r>
  <r>
    <m/>
    <x v="2"/>
  </r>
  <r>
    <m/>
    <x v="2"/>
  </r>
  <r>
    <n v="1333"/>
    <x v="8"/>
  </r>
  <r>
    <n v="1500"/>
    <x v="5"/>
  </r>
  <r>
    <n v="1500"/>
    <x v="11"/>
  </r>
  <r>
    <n v="1500"/>
    <x v="1"/>
  </r>
  <r>
    <n v="1333"/>
    <x v="8"/>
  </r>
  <r>
    <n v="1500"/>
    <x v="10"/>
  </r>
  <r>
    <n v="1500"/>
    <x v="8"/>
  </r>
  <r>
    <n v="1250"/>
    <x v="10"/>
  </r>
  <r>
    <n v="1500"/>
    <x v="10"/>
  </r>
  <r>
    <n v="1200"/>
    <x v="1"/>
  </r>
  <r>
    <n v="1200"/>
    <x v="10"/>
  </r>
  <r>
    <n v="1500"/>
    <x v="8"/>
  </r>
  <r>
    <n v="1250"/>
    <x v="10"/>
  </r>
  <r>
    <n v="750"/>
    <x v="5"/>
  </r>
  <r>
    <n v="1000"/>
    <x v="4"/>
  </r>
  <r>
    <m/>
    <x v="2"/>
  </r>
  <r>
    <n v="750"/>
    <x v="0"/>
  </r>
  <r>
    <n v="750"/>
    <x v="9"/>
  </r>
  <r>
    <m/>
    <x v="2"/>
  </r>
  <r>
    <n v="750"/>
    <x v="5"/>
  </r>
  <r>
    <m/>
    <x v="2"/>
  </r>
  <r>
    <n v="750"/>
    <x v="4"/>
  </r>
  <r>
    <m/>
    <x v="2"/>
  </r>
  <r>
    <n v="750"/>
    <x v="4"/>
  </r>
  <r>
    <n v="750"/>
    <x v="5"/>
  </r>
  <r>
    <n v="750"/>
    <x v="4"/>
  </r>
  <r>
    <n v="750"/>
    <x v="5"/>
  </r>
  <r>
    <n v="750"/>
    <x v="4"/>
  </r>
  <r>
    <n v="750"/>
    <x v="4"/>
  </r>
  <r>
    <n v="750"/>
    <x v="5"/>
  </r>
  <r>
    <n v="750"/>
    <x v="10"/>
  </r>
  <r>
    <n v="750"/>
    <x v="5"/>
  </r>
  <r>
    <n v="750"/>
    <x v="4"/>
  </r>
  <r>
    <n v="750"/>
    <x v="5"/>
  </r>
  <r>
    <n v="750"/>
    <x v="5"/>
  </r>
  <r>
    <n v="750"/>
    <x v="5"/>
  </r>
  <r>
    <n v="750"/>
    <x v="10"/>
  </r>
  <r>
    <n v="750"/>
    <x v="10"/>
  </r>
  <r>
    <n v="750"/>
    <x v="10"/>
  </r>
  <r>
    <n v="750"/>
    <x v="4"/>
  </r>
  <r>
    <n v="750"/>
    <x v="5"/>
  </r>
  <r>
    <n v="750"/>
    <x v="5"/>
  </r>
  <r>
    <m/>
    <x v="2"/>
  </r>
  <r>
    <n v="750"/>
    <x v="0"/>
  </r>
  <r>
    <m/>
    <x v="2"/>
  </r>
  <r>
    <n v="600"/>
    <x v="1"/>
  </r>
  <r>
    <n v="750"/>
    <x v="11"/>
  </r>
  <r>
    <m/>
    <x v="2"/>
  </r>
  <r>
    <n v="5000"/>
    <x v="4"/>
  </r>
  <r>
    <n v="5000"/>
    <x v="4"/>
  </r>
  <r>
    <n v="7200"/>
    <x v="9"/>
  </r>
  <r>
    <n v="7200"/>
    <x v="0"/>
  </r>
  <r>
    <n v="7700"/>
    <x v="5"/>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12"/>
  </r>
  <r>
    <m/>
    <x v="5"/>
  </r>
  <r>
    <m/>
    <x v="4"/>
  </r>
  <r>
    <m/>
    <x v="13"/>
  </r>
  <r>
    <m/>
    <x v="14"/>
  </r>
  <r>
    <m/>
    <x v="15"/>
  </r>
  <r>
    <m/>
    <x v="16"/>
  </r>
  <r>
    <m/>
    <x v="8"/>
  </r>
  <r>
    <m/>
    <x v="1"/>
  </r>
  <r>
    <m/>
    <x v="17"/>
  </r>
  <r>
    <m/>
    <x v="11"/>
  </r>
  <r>
    <m/>
    <x v="18"/>
  </r>
  <r>
    <m/>
    <x v="19"/>
  </r>
  <r>
    <m/>
    <x v="6"/>
  </r>
  <r>
    <m/>
    <x v="7"/>
  </r>
  <r>
    <m/>
    <x v="9"/>
  </r>
  <r>
    <m/>
    <x v="10"/>
  </r>
  <r>
    <m/>
    <x v="0"/>
  </r>
</pivotCacheRecords>
</file>

<file path=xl/pivotCache/pivotCacheRecords2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10000"/>
    <x v="0"/>
  </r>
  <r>
    <n v="6000"/>
    <x v="1"/>
  </r>
  <r>
    <m/>
    <x v="2"/>
  </r>
  <r>
    <n v="0"/>
    <x v="1"/>
  </r>
  <r>
    <m/>
    <x v="2"/>
  </r>
  <r>
    <n v="1500"/>
    <x v="3"/>
  </r>
  <r>
    <n v="1500"/>
    <x v="3"/>
  </r>
  <r>
    <n v="1500"/>
    <x v="3"/>
  </r>
  <r>
    <m/>
    <x v="2"/>
  </r>
  <r>
    <m/>
    <x v="2"/>
  </r>
  <r>
    <m/>
    <x v="2"/>
  </r>
  <r>
    <n v="200"/>
    <x v="4"/>
  </r>
  <r>
    <n v="120"/>
    <x v="2"/>
  </r>
  <r>
    <n v="30"/>
    <x v="2"/>
  </r>
  <r>
    <n v="30"/>
    <x v="2"/>
  </r>
  <r>
    <n v="90"/>
    <x v="2"/>
  </r>
  <r>
    <n v="60"/>
    <x v="2"/>
  </r>
  <r>
    <n v="60"/>
    <x v="2"/>
  </r>
  <r>
    <n v="30"/>
    <x v="2"/>
  </r>
  <r>
    <n v="60"/>
    <x v="2"/>
  </r>
  <r>
    <n v="120"/>
    <x v="2"/>
  </r>
  <r>
    <n v="30"/>
    <x v="3"/>
  </r>
  <r>
    <m/>
    <x v="2"/>
  </r>
  <r>
    <m/>
    <x v="2"/>
  </r>
  <r>
    <n v="200"/>
    <x v="4"/>
  </r>
  <r>
    <n v="0"/>
    <x v="5"/>
  </r>
  <r>
    <m/>
    <x v="2"/>
  </r>
  <r>
    <n v="30"/>
    <x v="6"/>
  </r>
  <r>
    <n v="60"/>
    <x v="2"/>
  </r>
  <r>
    <n v="60"/>
    <x v="2"/>
  </r>
  <r>
    <n v="30"/>
    <x v="2"/>
  </r>
  <r>
    <n v="30"/>
    <x v="2"/>
  </r>
  <r>
    <m/>
    <x v="2"/>
  </r>
  <r>
    <n v="30"/>
    <x v="2"/>
  </r>
  <r>
    <n v="30"/>
    <x v="2"/>
  </r>
  <r>
    <n v="30"/>
    <x v="2"/>
  </r>
  <r>
    <n v="30"/>
    <x v="2"/>
  </r>
  <r>
    <n v="30"/>
    <x v="2"/>
  </r>
  <r>
    <n v="90"/>
    <x v="2"/>
  </r>
  <r>
    <n v="60"/>
    <x v="2"/>
  </r>
  <r>
    <n v="120"/>
    <x v="7"/>
  </r>
  <r>
    <n v="60"/>
    <x v="2"/>
  </r>
  <r>
    <n v="60"/>
    <x v="2"/>
  </r>
  <r>
    <n v="30"/>
    <x v="2"/>
  </r>
  <r>
    <n v="120"/>
    <x v="2"/>
  </r>
  <r>
    <n v="30"/>
    <x v="2"/>
  </r>
  <r>
    <n v="30"/>
    <x v="2"/>
  </r>
  <r>
    <n v="30"/>
    <x v="2"/>
  </r>
  <r>
    <n v="120"/>
    <x v="2"/>
  </r>
  <r>
    <m/>
    <x v="2"/>
  </r>
  <r>
    <m/>
    <x v="2"/>
  </r>
  <r>
    <m/>
    <x v="2"/>
  </r>
  <r>
    <n v="200"/>
    <x v="4"/>
  </r>
  <r>
    <n v="0"/>
    <x v="5"/>
  </r>
  <r>
    <n v="60"/>
    <x v="2"/>
  </r>
  <r>
    <n v="30"/>
    <x v="2"/>
  </r>
  <r>
    <n v="60"/>
    <x v="2"/>
  </r>
  <r>
    <n v="0"/>
    <x v="2"/>
  </r>
  <r>
    <n v="0"/>
    <x v="2"/>
  </r>
  <r>
    <n v="60"/>
    <x v="2"/>
  </r>
  <r>
    <m/>
    <x v="2"/>
  </r>
  <r>
    <m/>
    <x v="2"/>
  </r>
  <r>
    <m/>
    <x v="2"/>
  </r>
  <r>
    <n v="200"/>
    <x v="4"/>
  </r>
  <r>
    <n v="0"/>
    <x v="5"/>
  </r>
  <r>
    <n v="30"/>
    <x v="2"/>
  </r>
  <r>
    <n v="60"/>
    <x v="2"/>
  </r>
  <r>
    <n v="30"/>
    <x v="2"/>
  </r>
  <r>
    <n v="30"/>
    <x v="2"/>
  </r>
  <r>
    <n v="30"/>
    <x v="2"/>
  </r>
  <r>
    <n v="30"/>
    <x v="2"/>
  </r>
  <r>
    <n v="30"/>
    <x v="2"/>
  </r>
  <r>
    <n v="60"/>
    <x v="2"/>
  </r>
  <r>
    <n v="30"/>
    <x v="2"/>
  </r>
  <r>
    <n v="200"/>
    <x v="2"/>
  </r>
  <r>
    <n v="60"/>
    <x v="2"/>
  </r>
  <r>
    <n v="0"/>
    <x v="2"/>
  </r>
  <r>
    <n v="0"/>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2"/>
  </r>
  <r>
    <m/>
    <x v="8"/>
  </r>
  <r>
    <m/>
    <x v="9"/>
  </r>
  <r>
    <m/>
    <x v="0"/>
  </r>
  <r>
    <m/>
    <x v="10"/>
  </r>
  <r>
    <m/>
    <x v="5"/>
  </r>
  <r>
    <m/>
    <x v="11"/>
  </r>
  <r>
    <m/>
    <x v="12"/>
  </r>
  <r>
    <m/>
    <x v="13"/>
  </r>
  <r>
    <m/>
    <x v="14"/>
  </r>
  <r>
    <m/>
    <x v="15"/>
  </r>
  <r>
    <m/>
    <x v="4"/>
  </r>
  <r>
    <m/>
    <x v="16"/>
  </r>
  <r>
    <m/>
    <x v="17"/>
  </r>
  <r>
    <m/>
    <x v="6"/>
  </r>
  <r>
    <m/>
    <x v="7"/>
  </r>
  <r>
    <m/>
    <x v="18"/>
  </r>
  <r>
    <m/>
    <x v="3"/>
  </r>
  <r>
    <m/>
    <x v="1"/>
  </r>
</pivotCacheRecords>
</file>

<file path=xl/pivotCache/pivotCacheRecords2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
  <r>
    <n v="16850"/>
    <x v="0"/>
  </r>
  <r>
    <n v="500"/>
    <x v="0"/>
  </r>
  <r>
    <n v="6250"/>
    <x v="1"/>
  </r>
  <r>
    <n v="1500"/>
    <x v="0"/>
  </r>
  <r>
    <n v="3000"/>
    <x v="2"/>
  </r>
  <r>
    <n v="3495"/>
    <x v="2"/>
  </r>
  <r>
    <n v="2990"/>
    <x v="3"/>
  </r>
  <r>
    <n v="3000"/>
    <x v="4"/>
  </r>
  <r>
    <m/>
    <x v="5"/>
  </r>
  <r>
    <n v="2495"/>
    <x v="2"/>
  </r>
  <r>
    <n v="2000"/>
    <x v="1"/>
  </r>
  <r>
    <n v="2495"/>
    <x v="6"/>
  </r>
  <r>
    <n v="3990"/>
    <x v="2"/>
  </r>
  <r>
    <n v="3000"/>
    <x v="2"/>
  </r>
  <r>
    <n v="2295"/>
    <x v="2"/>
  </r>
  <r>
    <n v="0"/>
    <x v="7"/>
  </r>
  <r>
    <m/>
    <x v="5"/>
  </r>
  <r>
    <n v="2065"/>
    <x v="1"/>
  </r>
  <r>
    <n v="2295"/>
    <x v="2"/>
  </r>
  <r>
    <n v="2000"/>
    <x v="0"/>
  </r>
  <r>
    <n v="2295"/>
    <x v="0"/>
  </r>
  <r>
    <n v="1650"/>
    <x v="8"/>
  </r>
  <r>
    <n v="2295"/>
    <x v="2"/>
  </r>
  <r>
    <n v="2000"/>
    <x v="5"/>
  </r>
  <r>
    <n v="2295"/>
    <x v="2"/>
  </r>
  <r>
    <m/>
    <x v="5"/>
  </r>
  <r>
    <m/>
    <x v="5"/>
  </r>
  <r>
    <n v="1500"/>
    <x v="9"/>
  </r>
  <r>
    <n v="1495"/>
    <x v="0"/>
  </r>
  <r>
    <n v="1495"/>
    <x v="2"/>
  </r>
  <r>
    <n v="1495"/>
    <x v="2"/>
  </r>
  <r>
    <n v="1495"/>
    <x v="2"/>
  </r>
  <r>
    <n v="0"/>
    <x v="2"/>
  </r>
  <r>
    <n v="1495"/>
    <x v="10"/>
  </r>
  <r>
    <n v="1495"/>
    <x v="2"/>
  </r>
  <r>
    <n v="1495"/>
    <x v="2"/>
  </r>
  <r>
    <n v="1495"/>
    <x v="2"/>
  </r>
  <r>
    <n v="1495"/>
    <x v="0"/>
  </r>
  <r>
    <n v="1495"/>
    <x v="10"/>
  </r>
  <r>
    <n v="1495"/>
    <x v="6"/>
  </r>
  <r>
    <n v="1495"/>
    <x v="0"/>
  </r>
  <r>
    <n v="1495"/>
    <x v="0"/>
  </r>
  <r>
    <n v="1495"/>
    <x v="8"/>
  </r>
  <r>
    <s v="DROP"/>
    <x v="6"/>
  </r>
  <r>
    <n v="1495"/>
    <x v="10"/>
  </r>
  <r>
    <n v="1495"/>
    <x v="10"/>
  </r>
  <r>
    <n v="2000"/>
    <x v="11"/>
  </r>
  <r>
    <n v="1495"/>
    <x v="6"/>
  </r>
  <r>
    <n v="1495"/>
    <x v="2"/>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5"/>
  </r>
  <r>
    <m/>
    <x v="12"/>
  </r>
  <r>
    <m/>
    <x v="4"/>
  </r>
  <r>
    <m/>
    <x v="2"/>
  </r>
  <r>
    <m/>
    <x v="13"/>
  </r>
  <r>
    <m/>
    <x v="7"/>
  </r>
  <r>
    <m/>
    <x v="14"/>
  </r>
  <r>
    <m/>
    <x v="15"/>
  </r>
  <r>
    <m/>
    <x v="11"/>
  </r>
  <r>
    <m/>
    <x v="1"/>
  </r>
  <r>
    <m/>
    <x v="16"/>
  </r>
  <r>
    <m/>
    <x v="8"/>
  </r>
  <r>
    <m/>
    <x v="9"/>
  </r>
  <r>
    <m/>
    <x v="17"/>
  </r>
  <r>
    <m/>
    <x v="6"/>
  </r>
  <r>
    <m/>
    <x v="10"/>
  </r>
  <r>
    <m/>
    <x v="3"/>
  </r>
  <r>
    <m/>
    <x v="18"/>
  </r>
  <r>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AD6D01-FA75-4585-A266-D73CBF2CFCA5}" name="PivotTable1" cacheId="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0"/>
        <item x="1"/>
        <item x="3"/>
        <item x="6"/>
        <item x="5"/>
        <item x="4"/>
        <item x="12"/>
        <item x="11"/>
        <item x="10"/>
        <item x="9"/>
        <item x="8"/>
        <item x="7"/>
        <item x="15"/>
        <item x="14"/>
        <item x="13"/>
        <item x="18"/>
        <item x="17"/>
        <item x="16"/>
        <item x="2"/>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6">
    <format dxfId="421">
      <pivotArea field="1" type="button" dataOnly="0" labelOnly="1" outline="0" axis="axisRow" fieldPosition="0"/>
    </format>
    <format dxfId="420">
      <pivotArea dataOnly="0" labelOnly="1" outline="0" axis="axisValues" fieldPosition="0"/>
    </format>
    <format dxfId="419">
      <pivotArea field="1" type="button" dataOnly="0" labelOnly="1" outline="0" axis="axisRow" fieldPosition="0"/>
    </format>
    <format dxfId="418">
      <pivotArea dataOnly="0" labelOnly="1" outline="0" axis="axisValues" fieldPosition="0"/>
    </format>
    <format dxfId="417">
      <pivotArea grandRow="1" outline="0" collapsedLevelsAreSubtotals="1" fieldPosition="0"/>
    </format>
    <format dxfId="416">
      <pivotArea dataOnly="0" labelOnly="1" grandRow="1" outline="0" fieldPosition="0"/>
    </format>
    <format dxfId="415">
      <pivotArea grandRow="1" outline="0" collapsedLevelsAreSubtotals="1" fieldPosition="0"/>
    </format>
    <format dxfId="414">
      <pivotArea dataOnly="0" labelOnly="1" grandRow="1" outline="0" fieldPosition="0"/>
    </format>
    <format dxfId="413">
      <pivotArea dataOnly="0" fieldPosition="0">
        <references count="1">
          <reference field="1" count="0"/>
        </references>
      </pivotArea>
    </format>
    <format dxfId="412">
      <pivotArea outline="0" collapsedLevelsAreSubtotals="1" fieldPosition="0"/>
    </format>
    <format dxfId="411">
      <pivotArea type="all" dataOnly="0" outline="0" fieldPosition="0"/>
    </format>
    <format dxfId="410">
      <pivotArea outline="0" collapsedLevelsAreSubtotals="1" fieldPosition="0"/>
    </format>
    <format dxfId="409">
      <pivotArea field="1" type="button" dataOnly="0" labelOnly="1" outline="0" axis="axisRow" fieldPosition="0"/>
    </format>
    <format dxfId="408">
      <pivotArea dataOnly="0" labelOnly="1" fieldPosition="0">
        <references count="1">
          <reference field="1" count="0"/>
        </references>
      </pivotArea>
    </format>
    <format dxfId="407">
      <pivotArea dataOnly="0" labelOnly="1" grandRow="1" outline="0" fieldPosition="0"/>
    </format>
    <format dxfId="40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4D49D7-47B8-48EE-B508-89601B1A0063}" name="PivotTable2" cacheId="8"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31" firstHeaderRow="1" firstDataRow="1" firstDataCol="1"/>
  <pivotFields count="2">
    <pivotField dataField="1" showAll="0"/>
    <pivotField axis="axisRow" showAll="0">
      <items count="23">
        <item x="1"/>
        <item x="4"/>
        <item x="16"/>
        <item x="18"/>
        <item x="7"/>
        <item x="17"/>
        <item x="8"/>
        <item x="11"/>
        <item x="20"/>
        <item x="5"/>
        <item x="12"/>
        <item x="19"/>
        <item x="9"/>
        <item x="14"/>
        <item x="21"/>
        <item x="6"/>
        <item x="0"/>
        <item x="3"/>
        <item x="2"/>
        <item x="13"/>
        <item x="10"/>
        <item x="15"/>
        <item t="default"/>
      </items>
    </pivotField>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PLEDGED" fld="0" baseField="1" baseItem="0" numFmtId="164"/>
  </dataFields>
  <formats count="14">
    <format dxfId="405">
      <pivotArea field="1" type="button" dataOnly="0" labelOnly="1" outline="0" axis="axisRow" fieldPosition="0"/>
    </format>
    <format dxfId="404">
      <pivotArea dataOnly="0" labelOnly="1" outline="0" axis="axisValues" fieldPosition="0"/>
    </format>
    <format dxfId="403">
      <pivotArea field="1" type="button" dataOnly="0" labelOnly="1" outline="0" axis="axisRow" fieldPosition="0"/>
    </format>
    <format dxfId="402">
      <pivotArea dataOnly="0" labelOnly="1" outline="0" axis="axisValues" fieldPosition="0"/>
    </format>
    <format dxfId="401">
      <pivotArea dataOnly="0" grandRow="1" fieldPosition="0"/>
    </format>
    <format dxfId="400">
      <pivotArea dataOnly="0" grandRow="1" fieldPosition="0"/>
    </format>
    <format dxfId="399">
      <pivotArea dataOnly="0" fieldPosition="0">
        <references count="1">
          <reference field="1" count="0"/>
        </references>
      </pivotArea>
    </format>
    <format dxfId="398">
      <pivotArea type="all" dataOnly="0" outline="0" fieldPosition="0"/>
    </format>
    <format dxfId="397">
      <pivotArea outline="0" collapsedLevelsAreSubtotals="1" fieldPosition="0"/>
    </format>
    <format dxfId="396">
      <pivotArea field="1" type="button" dataOnly="0" labelOnly="1" outline="0" axis="axisRow" fieldPosition="0"/>
    </format>
    <format dxfId="395">
      <pivotArea dataOnly="0" labelOnly="1" fieldPosition="0">
        <references count="1">
          <reference field="1" count="0"/>
        </references>
      </pivotArea>
    </format>
    <format dxfId="394">
      <pivotArea dataOnly="0" labelOnly="1" grandRow="1" outline="0" fieldPosition="0"/>
    </format>
    <format dxfId="393">
      <pivotArea dataOnly="0" labelOnly="1" outline="0" axis="axisValues" fieldPosition="0"/>
    </format>
    <format dxfId="3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9EF506-BE48-4055-BF13-5E9BFFF5BA1C}" name="PivotTable3" cacheId="1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5"/>
        <item x="2"/>
        <item x="12"/>
        <item x="7"/>
        <item x="9"/>
        <item x="13"/>
        <item x="4"/>
        <item x="11"/>
        <item x="16"/>
        <item x="15"/>
        <item x="10"/>
        <item x="14"/>
        <item x="3"/>
        <item x="6"/>
        <item x="17"/>
        <item x="0"/>
        <item x="18"/>
        <item x="8"/>
        <item x="1"/>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5">
    <format dxfId="391">
      <pivotArea field="1" type="button" dataOnly="0" labelOnly="1" outline="0" axis="axisRow" fieldPosition="0"/>
    </format>
    <format dxfId="390">
      <pivotArea dataOnly="0" labelOnly="1" outline="0" axis="axisValues" fieldPosition="0"/>
    </format>
    <format dxfId="389">
      <pivotArea field="1" type="button" dataOnly="0" labelOnly="1" outline="0" axis="axisRow" fieldPosition="0"/>
    </format>
    <format dxfId="388">
      <pivotArea dataOnly="0" labelOnly="1" outline="0" axis="axisValues" fieldPosition="0"/>
    </format>
    <format dxfId="387">
      <pivotArea dataOnly="0" grandRow="1" fieldPosition="0"/>
    </format>
    <format dxfId="386">
      <pivotArea dataOnly="0" grandRow="1" fieldPosition="0"/>
    </format>
    <format dxfId="385">
      <pivotArea collapsedLevelsAreSubtotals="1" fieldPosition="0">
        <references count="1">
          <reference field="1" count="0"/>
        </references>
      </pivotArea>
    </format>
    <format dxfId="384">
      <pivotArea dataOnly="0" labelOnly="1" fieldPosition="0">
        <references count="1">
          <reference field="1" count="0"/>
        </references>
      </pivotArea>
    </format>
    <format dxfId="383">
      <pivotArea outline="0" collapsedLevelsAreSubtotals="1" fieldPosition="0"/>
    </format>
    <format dxfId="382">
      <pivotArea type="all" dataOnly="0" outline="0" fieldPosition="0"/>
    </format>
    <format dxfId="381">
      <pivotArea outline="0" collapsedLevelsAreSubtotals="1" fieldPosition="0"/>
    </format>
    <format dxfId="380">
      <pivotArea field="1" type="button" dataOnly="0" labelOnly="1" outline="0" axis="axisRow" fieldPosition="0"/>
    </format>
    <format dxfId="379">
      <pivotArea dataOnly="0" labelOnly="1" fieldPosition="0">
        <references count="1">
          <reference field="1" count="0"/>
        </references>
      </pivotArea>
    </format>
    <format dxfId="378">
      <pivotArea dataOnly="0" labelOnly="1" grandRow="1" outline="0" fieldPosition="0"/>
    </format>
    <format dxfId="3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D6569A-4DB6-4427-93B4-5D0A6F32A90E}" name="PivotTable4" cacheId="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0"/>
        <item x="5"/>
        <item x="4"/>
        <item x="8"/>
        <item x="7"/>
        <item x="6"/>
        <item x="13"/>
        <item x="12"/>
        <item x="11"/>
        <item x="10"/>
        <item x="1"/>
        <item x="9"/>
        <item x="16"/>
        <item x="15"/>
        <item x="14"/>
        <item x="2"/>
        <item x="18"/>
        <item x="17"/>
        <item x="3"/>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4">
    <format dxfId="376">
      <pivotArea dataOnly="0" fieldPosition="0">
        <references count="1">
          <reference field="1" count="0"/>
        </references>
      </pivotArea>
    </format>
    <format dxfId="375">
      <pivotArea field="1" type="button" dataOnly="0" labelOnly="1" outline="0" axis="axisRow" fieldPosition="0"/>
    </format>
    <format dxfId="374">
      <pivotArea dataOnly="0" labelOnly="1" outline="0" axis="axisValues" fieldPosition="0"/>
    </format>
    <format dxfId="373">
      <pivotArea field="1" type="button" dataOnly="0" labelOnly="1" outline="0" axis="axisRow" fieldPosition="0"/>
    </format>
    <format dxfId="372">
      <pivotArea dataOnly="0" labelOnly="1" outline="0" axis="axisValues" fieldPosition="0"/>
    </format>
    <format dxfId="371">
      <pivotArea dataOnly="0" grandRow="1" fieldPosition="0"/>
    </format>
    <format dxfId="370">
      <pivotArea dataOnly="0" grandRow="1" fieldPosition="0"/>
    </format>
    <format dxfId="369">
      <pivotArea outline="0" collapsedLevelsAreSubtotals="1" fieldPosition="0"/>
    </format>
    <format dxfId="368">
      <pivotArea type="all" dataOnly="0" outline="0" fieldPosition="0"/>
    </format>
    <format dxfId="367">
      <pivotArea outline="0" collapsedLevelsAreSubtotals="1" fieldPosition="0"/>
    </format>
    <format dxfId="366">
      <pivotArea field="1" type="button" dataOnly="0" labelOnly="1" outline="0" axis="axisRow" fieldPosition="0"/>
    </format>
    <format dxfId="365">
      <pivotArea dataOnly="0" labelOnly="1" fieldPosition="0">
        <references count="1">
          <reference field="1" count="0"/>
        </references>
      </pivotArea>
    </format>
    <format dxfId="364">
      <pivotArea dataOnly="0" labelOnly="1" grandRow="1" outline="0" fieldPosition="0"/>
    </format>
    <format dxfId="3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F1D836-3091-402D-8913-D7950609BDA5}" name="PivotTable5" cacheId="12"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
  <location ref="P8:Q28" firstHeaderRow="1" firstDataRow="1" firstDataCol="1"/>
  <pivotFields count="2">
    <pivotField dataField="1" showAll="0"/>
    <pivotField axis="axisRow" showAll="0">
      <items count="20">
        <item x="4"/>
        <item x="2"/>
        <item x="12"/>
        <item x="3"/>
        <item x="8"/>
        <item x="13"/>
        <item x="5"/>
        <item x="9"/>
        <item x="16"/>
        <item x="15"/>
        <item x="11"/>
        <item x="14"/>
        <item x="1"/>
        <item x="6"/>
        <item x="17"/>
        <item x="10"/>
        <item x="7"/>
        <item x="18"/>
        <item x="0"/>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4">
    <format dxfId="362">
      <pivotArea field="1" type="button" dataOnly="0" labelOnly="1" outline="0" axis="axisRow" fieldPosition="0"/>
    </format>
    <format dxfId="361">
      <pivotArea dataOnly="0" labelOnly="1" outline="0" axis="axisValues" fieldPosition="0"/>
    </format>
    <format dxfId="360">
      <pivotArea field="1" type="button" dataOnly="0" labelOnly="1" outline="0" axis="axisRow" fieldPosition="0"/>
    </format>
    <format dxfId="359">
      <pivotArea dataOnly="0" labelOnly="1" outline="0" axis="axisValues" fieldPosition="0"/>
    </format>
    <format dxfId="358">
      <pivotArea dataOnly="0" grandRow="1" fieldPosition="0"/>
    </format>
    <format dxfId="357">
      <pivotArea dataOnly="0" grandRow="1" fieldPosition="0"/>
    </format>
    <format dxfId="356">
      <pivotArea dataOnly="0" fieldPosition="0">
        <references count="1">
          <reference field="1" count="0"/>
        </references>
      </pivotArea>
    </format>
    <format dxfId="355">
      <pivotArea outline="0" collapsedLevelsAreSubtotals="1" fieldPosition="0"/>
    </format>
    <format dxfId="354">
      <pivotArea type="all" dataOnly="0" outline="0" fieldPosition="0"/>
    </format>
    <format dxfId="353">
      <pivotArea outline="0" collapsedLevelsAreSubtotals="1" fieldPosition="0"/>
    </format>
    <format dxfId="352">
      <pivotArea field="1" type="button" dataOnly="0" labelOnly="1" outline="0" axis="axisRow" fieldPosition="0"/>
    </format>
    <format dxfId="351">
      <pivotArea dataOnly="0" labelOnly="1" fieldPosition="0">
        <references count="1">
          <reference field="1" count="0"/>
        </references>
      </pivotArea>
    </format>
    <format dxfId="350">
      <pivotArea dataOnly="0" labelOnly="1" grandRow="1" outline="0" fieldPosition="0"/>
    </format>
    <format dxfId="3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55759E-CB24-4F70-889F-999FCB95B04D}" name="PivotTable6" cacheId="2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9" firstHeaderRow="1" firstDataRow="1" firstDataCol="1"/>
  <pivotFields count="2">
    <pivotField dataField="1" showAll="0"/>
    <pivotField axis="axisRow" showAll="0">
      <items count="21">
        <item x="1"/>
        <item x="12"/>
        <item x="14"/>
        <item x="6"/>
        <item x="10"/>
        <item x="15"/>
        <item x="9"/>
        <item x="7"/>
        <item x="17"/>
        <item x="3"/>
        <item x="4"/>
        <item x="16"/>
        <item x="8"/>
        <item x="5"/>
        <item x="18"/>
        <item x="2"/>
        <item x="11"/>
        <item x="19"/>
        <item x="0"/>
        <item x="13"/>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PLEDGED" fld="0" baseField="1" baseItem="0" numFmtId="164"/>
  </dataFields>
  <formats count="14">
    <format dxfId="348">
      <pivotArea field="1" type="button" dataOnly="0" labelOnly="1" outline="0" axis="axisRow" fieldPosition="0"/>
    </format>
    <format dxfId="347">
      <pivotArea dataOnly="0" labelOnly="1" outline="0" axis="axisValues" fieldPosition="0"/>
    </format>
    <format dxfId="346">
      <pivotArea field="1" type="button" dataOnly="0" labelOnly="1" outline="0" axis="axisRow" fieldPosition="0"/>
    </format>
    <format dxfId="345">
      <pivotArea dataOnly="0" labelOnly="1" outline="0" axis="axisValues" fieldPosition="0"/>
    </format>
    <format dxfId="344">
      <pivotArea dataOnly="0" grandRow="1" fieldPosition="0"/>
    </format>
    <format dxfId="343">
      <pivotArea dataOnly="0" grandRow="1" fieldPosition="0"/>
    </format>
    <format dxfId="342">
      <pivotArea dataOnly="0" fieldPosition="0">
        <references count="1">
          <reference field="1" count="0"/>
        </references>
      </pivotArea>
    </format>
    <format dxfId="341">
      <pivotArea outline="0" collapsedLevelsAreSubtotals="1" fieldPosition="0"/>
    </format>
    <format dxfId="340">
      <pivotArea type="all" dataOnly="0" outline="0" fieldPosition="0"/>
    </format>
    <format dxfId="339">
      <pivotArea outline="0" collapsedLevelsAreSubtotals="1" fieldPosition="0"/>
    </format>
    <format dxfId="338">
      <pivotArea field="1" type="button" dataOnly="0" labelOnly="1" outline="0" axis="axisRow" fieldPosition="0"/>
    </format>
    <format dxfId="337">
      <pivotArea dataOnly="0" labelOnly="1" fieldPosition="0">
        <references count="1">
          <reference field="1" count="0"/>
        </references>
      </pivotArea>
    </format>
    <format dxfId="336">
      <pivotArea dataOnly="0" labelOnly="1" grandRow="1" outline="0" fieldPosition="0"/>
    </format>
    <format dxfId="3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D565E6-2BB6-49B8-B3A5-83D38764C7F7}" name="PivotTable7" cacheId="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1"/>
        <item x="3"/>
        <item x="9"/>
        <item x="12"/>
        <item x="11"/>
        <item x="10"/>
        <item x="7"/>
        <item x="8"/>
        <item x="15"/>
        <item x="14"/>
        <item x="2"/>
        <item x="13"/>
        <item x="5"/>
        <item x="6"/>
        <item x="16"/>
        <item x="0"/>
        <item x="18"/>
        <item x="17"/>
        <item x="4"/>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4" numFmtId="164"/>
  </dataFields>
  <formats count="17">
    <format dxfId="334">
      <pivotArea field="1" type="button" dataOnly="0" labelOnly="1" outline="0" axis="axisRow" fieldPosition="0"/>
    </format>
    <format dxfId="333">
      <pivotArea dataOnly="0" labelOnly="1" outline="0" axis="axisValues" fieldPosition="0"/>
    </format>
    <format dxfId="332">
      <pivotArea field="1" type="button" dataOnly="0" labelOnly="1" outline="0" axis="axisRow" fieldPosition="0"/>
    </format>
    <format dxfId="331">
      <pivotArea dataOnly="0" labelOnly="1" outline="0" axis="axisValues" fieldPosition="0"/>
    </format>
    <format dxfId="330">
      <pivotArea dataOnly="0" grandRow="1" fieldPosition="0"/>
    </format>
    <format dxfId="329">
      <pivotArea dataOnly="0" grandRow="1" fieldPosition="0"/>
    </format>
    <format dxfId="328">
      <pivotArea dataOnly="0" labelOnly="1" fieldPosition="0">
        <references count="1">
          <reference field="1" count="0"/>
        </references>
      </pivotArea>
    </format>
    <format dxfId="327">
      <pivotArea collapsedLevelsAreSubtotals="1" fieldPosition="0">
        <references count="1">
          <reference field="1" count="0"/>
        </references>
      </pivotArea>
    </format>
    <format dxfId="326">
      <pivotArea dataOnly="0" labelOnly="1" fieldPosition="0">
        <references count="1">
          <reference field="1" count="0"/>
        </references>
      </pivotArea>
    </format>
    <format dxfId="325">
      <pivotArea collapsedLevelsAreSubtotals="1" fieldPosition="0">
        <references count="1">
          <reference field="1" count="0"/>
        </references>
      </pivotArea>
    </format>
    <format dxfId="324">
      <pivotArea outline="0" collapsedLevelsAreSubtotals="1" fieldPosition="0"/>
    </format>
    <format dxfId="323">
      <pivotArea type="all" dataOnly="0" outline="0" fieldPosition="0"/>
    </format>
    <format dxfId="322">
      <pivotArea outline="0" collapsedLevelsAreSubtotals="1" fieldPosition="0"/>
    </format>
    <format dxfId="321">
      <pivotArea field="1" type="button" dataOnly="0" labelOnly="1" outline="0" axis="axisRow" fieldPosition="0"/>
    </format>
    <format dxfId="320">
      <pivotArea dataOnly="0" labelOnly="1" fieldPosition="0">
        <references count="1">
          <reference field="1" count="0"/>
        </references>
      </pivotArea>
    </format>
    <format dxfId="319">
      <pivotArea dataOnly="0" labelOnly="1" grandRow="1" outline="0" fieldPosition="0"/>
    </format>
    <format dxfId="3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AB6ECC-70C9-4975-BEEE-B83F37E65A6F}" name="PivotTable8" cacheId="2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7"/>
        <item x="0"/>
        <item x="13"/>
        <item x="8"/>
        <item x="6"/>
        <item x="14"/>
        <item x="17"/>
        <item x="9"/>
        <item x="16"/>
        <item x="5"/>
        <item x="3"/>
        <item x="15"/>
        <item x="4"/>
        <item x="11"/>
        <item x="18"/>
        <item x="10"/>
        <item x="2"/>
        <item x="12"/>
        <item x="1"/>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4"/>
  </dataFields>
  <formats count="13">
    <format dxfId="317">
      <pivotArea field="1" type="button" dataOnly="0" labelOnly="1" outline="0" axis="axisRow" fieldPosition="0"/>
    </format>
    <format dxfId="316">
      <pivotArea dataOnly="0" labelOnly="1" outline="0" axis="axisValues" fieldPosition="0"/>
    </format>
    <format dxfId="315">
      <pivotArea field="1" type="button" dataOnly="0" labelOnly="1" outline="0" axis="axisRow" fieldPosition="0"/>
    </format>
    <format dxfId="314">
      <pivotArea dataOnly="0" labelOnly="1" outline="0" axis="axisValues" fieldPosition="0"/>
    </format>
    <format dxfId="313">
      <pivotArea dataOnly="0" grandRow="1" fieldPosition="0"/>
    </format>
    <format dxfId="312">
      <pivotArea dataOnly="0" grandRow="1" fieldPosition="0"/>
    </format>
    <format dxfId="311">
      <pivotArea dataOnly="0" fieldPosition="0">
        <references count="1">
          <reference field="1" count="0"/>
        </references>
      </pivotArea>
    </format>
    <format dxfId="310">
      <pivotArea type="all" dataOnly="0" outline="0" fieldPosition="0"/>
    </format>
    <format dxfId="309">
      <pivotArea outline="0" collapsedLevelsAreSubtotals="1" fieldPosition="0"/>
    </format>
    <format dxfId="308">
      <pivotArea field="1" type="button" dataOnly="0" labelOnly="1" outline="0" axis="axisRow" fieldPosition="0"/>
    </format>
    <format dxfId="307">
      <pivotArea dataOnly="0" labelOnly="1" fieldPosition="0">
        <references count="1">
          <reference field="1" count="0"/>
        </references>
      </pivotArea>
    </format>
    <format dxfId="306">
      <pivotArea dataOnly="0" labelOnly="1" grandRow="1" outline="0" fieldPosition="0"/>
    </format>
    <format dxfId="3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8C777E-3592-47A1-A93A-4E1570EB4E3A}" name="PivotTable10" cacheId="17"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5"/>
        <item x="3"/>
        <item x="8"/>
        <item x="10"/>
        <item x="2"/>
        <item x="9"/>
        <item x="15"/>
        <item x="14"/>
        <item x="13"/>
        <item x="12"/>
        <item x="1"/>
        <item x="11"/>
        <item x="6"/>
        <item x="7"/>
        <item x="16"/>
        <item x="4"/>
        <item x="18"/>
        <item x="17"/>
        <item x="0"/>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4">
    <format dxfId="304">
      <pivotArea field="1" type="button" dataOnly="0" labelOnly="1" outline="0" axis="axisRow" fieldPosition="0"/>
    </format>
    <format dxfId="303">
      <pivotArea dataOnly="0" labelOnly="1" outline="0" axis="axisValues" fieldPosition="0"/>
    </format>
    <format dxfId="302">
      <pivotArea field="1" type="button" dataOnly="0" labelOnly="1" outline="0" axis="axisRow" fieldPosition="0"/>
    </format>
    <format dxfId="301">
      <pivotArea dataOnly="0" labelOnly="1" outline="0" axis="axisValues" fieldPosition="0"/>
    </format>
    <format dxfId="300">
      <pivotArea dataOnly="0" grandRow="1" fieldPosition="0"/>
    </format>
    <format dxfId="299">
      <pivotArea dataOnly="0" grandRow="1" fieldPosition="0"/>
    </format>
    <format dxfId="298">
      <pivotArea dataOnly="0" fieldPosition="0">
        <references count="1">
          <reference field="1" count="0"/>
        </references>
      </pivotArea>
    </format>
    <format dxfId="297">
      <pivotArea outline="0" collapsedLevelsAreSubtotals="1" fieldPosition="0"/>
    </format>
    <format dxfId="296">
      <pivotArea type="all" dataOnly="0" outline="0" fieldPosition="0"/>
    </format>
    <format dxfId="295">
      <pivotArea outline="0" collapsedLevelsAreSubtotals="1" fieldPosition="0"/>
    </format>
    <format dxfId="294">
      <pivotArea field="1" type="button" dataOnly="0" labelOnly="1" outline="0" axis="axisRow" fieldPosition="0"/>
    </format>
    <format dxfId="293">
      <pivotArea dataOnly="0" labelOnly="1" fieldPosition="0">
        <references count="1">
          <reference field="1" count="0"/>
        </references>
      </pivotArea>
    </format>
    <format dxfId="292">
      <pivotArea dataOnly="0" labelOnly="1" grandRow="1" outline="0" fieldPosition="0"/>
    </format>
    <format dxfId="2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0CFA56-0887-4B2A-8329-36E28694C114}" name="PivotTable11" cacheId="27"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0"/>
        <item x="9"/>
        <item x="8"/>
        <item x="11"/>
        <item x="5"/>
        <item x="10"/>
        <item x="16"/>
        <item x="4"/>
        <item x="15"/>
        <item x="14"/>
        <item x="13"/>
        <item x="12"/>
        <item x="7"/>
        <item x="6"/>
        <item x="17"/>
        <item x="1"/>
        <item x="3"/>
        <item x="18"/>
        <item x="2"/>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4">
    <format dxfId="290">
      <pivotArea field="1" type="button" dataOnly="0" labelOnly="1" outline="0" axis="axisRow" fieldPosition="0"/>
    </format>
    <format dxfId="289">
      <pivotArea dataOnly="0" labelOnly="1" outline="0" axis="axisValues" fieldPosition="0"/>
    </format>
    <format dxfId="288">
      <pivotArea field="1" type="button" dataOnly="0" labelOnly="1" outline="0" axis="axisRow" fieldPosition="0"/>
    </format>
    <format dxfId="287">
      <pivotArea dataOnly="0" labelOnly="1" outline="0" axis="axisValues" fieldPosition="0"/>
    </format>
    <format dxfId="286">
      <pivotArea dataOnly="0" grandRow="1" fieldPosition="0"/>
    </format>
    <format dxfId="285">
      <pivotArea dataOnly="0" grandRow="1" fieldPosition="0"/>
    </format>
    <format dxfId="284">
      <pivotArea dataOnly="0" fieldPosition="0">
        <references count="1">
          <reference field="1" count="0"/>
        </references>
      </pivotArea>
    </format>
    <format dxfId="283">
      <pivotArea outline="0" collapsedLevelsAreSubtotals="1" fieldPosition="0"/>
    </format>
    <format dxfId="282">
      <pivotArea type="all" dataOnly="0" outline="0" fieldPosition="0"/>
    </format>
    <format dxfId="281">
      <pivotArea outline="0" collapsedLevelsAreSubtotals="1" fieldPosition="0"/>
    </format>
    <format dxfId="280">
      <pivotArea field="1" type="button" dataOnly="0" labelOnly="1" outline="0" axis="axisRow" fieldPosition="0"/>
    </format>
    <format dxfId="279">
      <pivotArea dataOnly="0" labelOnly="1" fieldPosition="0">
        <references count="1">
          <reference field="1" count="0"/>
        </references>
      </pivotArea>
    </format>
    <format dxfId="278">
      <pivotArea dataOnly="0" labelOnly="1" grandRow="1" outline="0" fieldPosition="0"/>
    </format>
    <format dxfId="2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0BCAF1-7FF1-4134-8159-DDA8EC81396B}" name="PivotTable13" cacheId="28"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2"/>
        <item x="4"/>
        <item x="12"/>
        <item x="14"/>
        <item x="7"/>
        <item x="13"/>
        <item x="9"/>
        <item x="8"/>
        <item x="16"/>
        <item x="1"/>
        <item x="11"/>
        <item x="15"/>
        <item x="10"/>
        <item x="6"/>
        <item x="17"/>
        <item x="0"/>
        <item x="18"/>
        <item x="3"/>
        <item x="5"/>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4"/>
  </dataFields>
  <formats count="19">
    <format dxfId="276">
      <pivotArea field="1" type="button" dataOnly="0" labelOnly="1" outline="0" axis="axisRow" fieldPosition="0"/>
    </format>
    <format dxfId="275">
      <pivotArea dataOnly="0" labelOnly="1" outline="0" axis="axisValues" fieldPosition="0"/>
    </format>
    <format dxfId="274">
      <pivotArea field="1" type="button" dataOnly="0" labelOnly="1" outline="0" axis="axisRow" fieldPosition="0"/>
    </format>
    <format dxfId="273">
      <pivotArea dataOnly="0" labelOnly="1" outline="0" axis="axisValues" fieldPosition="0"/>
    </format>
    <format dxfId="272">
      <pivotArea dataOnly="0" grandRow="1" fieldPosition="0"/>
    </format>
    <format dxfId="271">
      <pivotArea dataOnly="0" grandRow="1" fieldPosition="0"/>
    </format>
    <format dxfId="270">
      <pivotArea dataOnly="0" fieldPosition="0">
        <references count="1">
          <reference field="1" count="0"/>
        </references>
      </pivotArea>
    </format>
    <format dxfId="269">
      <pivotArea type="all" dataOnly="0" outline="0" fieldPosition="0"/>
    </format>
    <format dxfId="268">
      <pivotArea outline="0" collapsedLevelsAreSubtotals="1" fieldPosition="0"/>
    </format>
    <format dxfId="267">
      <pivotArea field="1" type="button" dataOnly="0" labelOnly="1" outline="0" axis="axisRow" fieldPosition="0"/>
    </format>
    <format dxfId="266">
      <pivotArea dataOnly="0" labelOnly="1" fieldPosition="0">
        <references count="1">
          <reference field="1" count="0"/>
        </references>
      </pivotArea>
    </format>
    <format dxfId="265">
      <pivotArea dataOnly="0" labelOnly="1" grandRow="1" outline="0"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field="1" type="button" dataOnly="0" labelOnly="1" outline="0" axis="axisRow" fieldPosition="0"/>
    </format>
    <format dxfId="260">
      <pivotArea dataOnly="0" labelOnly="1" fieldPosition="0">
        <references count="1">
          <reference field="1" count="0"/>
        </references>
      </pivotArea>
    </format>
    <format dxfId="259">
      <pivotArea dataOnly="0" labelOnly="1" grandRow="1" outline="0" fieldPosition="0"/>
    </format>
    <format dxfId="2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C5F523-3FE9-4BC0-8D05-02CFA447FD82}" name="PivotTable14" cacheId="1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6"/>
        <item x="1"/>
        <item x="8"/>
        <item x="11"/>
        <item x="10"/>
        <item x="9"/>
        <item x="15"/>
        <item x="7"/>
        <item x="14"/>
        <item x="5"/>
        <item x="13"/>
        <item x="12"/>
        <item x="4"/>
        <item x="17"/>
        <item x="16"/>
        <item x="3"/>
        <item x="0"/>
        <item x="18"/>
        <item x="2"/>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6">
    <format dxfId="257">
      <pivotArea field="1" type="button" dataOnly="0" labelOnly="1" outline="0" axis="axisRow" fieldPosition="0"/>
    </format>
    <format dxfId="256">
      <pivotArea dataOnly="0" labelOnly="1" outline="0" axis="axisValues" fieldPosition="0"/>
    </format>
    <format dxfId="255">
      <pivotArea field="1" type="button" dataOnly="0" labelOnly="1" outline="0" axis="axisRow" fieldPosition="0"/>
    </format>
    <format dxfId="254">
      <pivotArea dataOnly="0" labelOnly="1" outline="0" axis="axisValues" fieldPosition="0"/>
    </format>
    <format dxfId="253">
      <pivotArea dataOnly="0" grandRow="1" fieldPosition="0"/>
    </format>
    <format dxfId="252">
      <pivotArea dataOnly="0" grandRow="1" fieldPosition="0"/>
    </format>
    <format dxfId="251">
      <pivotArea dataOnly="0" fieldPosition="0">
        <references count="1">
          <reference field="1" count="0"/>
        </references>
      </pivotArea>
    </format>
    <format dxfId="250">
      <pivotArea type="all" dataOnly="0" outline="0" fieldPosition="0"/>
    </format>
    <format dxfId="249">
      <pivotArea outline="0" collapsedLevelsAreSubtotals="1" fieldPosition="0"/>
    </format>
    <format dxfId="248">
      <pivotArea outline="0" collapsedLevelsAreSubtotals="1" fieldPosition="0"/>
    </format>
    <format dxfId="247">
      <pivotArea type="all" dataOnly="0" outline="0" fieldPosition="0"/>
    </format>
    <format dxfId="246">
      <pivotArea outline="0" collapsedLevelsAreSubtotals="1" fieldPosition="0"/>
    </format>
    <format dxfId="245">
      <pivotArea field="1" type="button" dataOnly="0" labelOnly="1" outline="0" axis="axisRow" fieldPosition="0"/>
    </format>
    <format dxfId="244">
      <pivotArea dataOnly="0" labelOnly="1" fieldPosition="0">
        <references count="1">
          <reference field="1" count="0"/>
        </references>
      </pivotArea>
    </format>
    <format dxfId="243">
      <pivotArea dataOnly="0" labelOnly="1" grandRow="1" outline="0" fieldPosition="0"/>
    </format>
    <format dxfId="2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80C5A95-093A-4A0E-8F02-CADAB971697E}" name="PivotTable15" cacheId="2"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Q8:R28" firstHeaderRow="1" firstDataRow="1" firstDataCol="1"/>
  <pivotFields count="2">
    <pivotField dataField="1" showAll="0"/>
    <pivotField axis="axisRow" showAll="0">
      <items count="20">
        <item x="8"/>
        <item x="0"/>
        <item x="7"/>
        <item x="10"/>
        <item x="4"/>
        <item x="9"/>
        <item x="14"/>
        <item x="5"/>
        <item x="13"/>
        <item x="12"/>
        <item x="3"/>
        <item x="11"/>
        <item x="16"/>
        <item x="6"/>
        <item x="15"/>
        <item x="18"/>
        <item x="1"/>
        <item x="17"/>
        <item x="2"/>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4">
    <format dxfId="241">
      <pivotArea field="1" type="button" dataOnly="0" labelOnly="1" outline="0" axis="axisRow" fieldPosition="0"/>
    </format>
    <format dxfId="240">
      <pivotArea dataOnly="0" labelOnly="1" outline="0" axis="axisValues" fieldPosition="0"/>
    </format>
    <format dxfId="239">
      <pivotArea field="1" type="button" dataOnly="0" labelOnly="1" outline="0" axis="axisRow" fieldPosition="0"/>
    </format>
    <format dxfId="238">
      <pivotArea dataOnly="0" labelOnly="1" outline="0" axis="axisValues" fieldPosition="0"/>
    </format>
    <format dxfId="237">
      <pivotArea dataOnly="0" grandRow="1" fieldPosition="0"/>
    </format>
    <format dxfId="236">
      <pivotArea dataOnly="0" grandRow="1" fieldPosition="0"/>
    </format>
    <format dxfId="235">
      <pivotArea dataOnly="0" fieldPosition="0">
        <references count="1">
          <reference field="1" count="0"/>
        </references>
      </pivotArea>
    </format>
    <format dxfId="234">
      <pivotArea outline="0" collapsedLevelsAreSubtotals="1" fieldPosition="0"/>
    </format>
    <format dxfId="233">
      <pivotArea type="all" dataOnly="0" outline="0" fieldPosition="0"/>
    </format>
    <format dxfId="232">
      <pivotArea outline="0" collapsedLevelsAreSubtotals="1" fieldPosition="0"/>
    </format>
    <format dxfId="231">
      <pivotArea field="1" type="button" dataOnly="0" labelOnly="1" outline="0" axis="axisRow" fieldPosition="0"/>
    </format>
    <format dxfId="230">
      <pivotArea dataOnly="0" labelOnly="1" fieldPosition="0">
        <references count="1">
          <reference field="1" count="0"/>
        </references>
      </pivotArea>
    </format>
    <format dxfId="229">
      <pivotArea dataOnly="0" labelOnly="1" grandRow="1" outline="0" fieldPosition="0"/>
    </format>
    <format dxfId="2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45970F-0DBD-4623-8BE4-958BC54EA7DD}" name="PivotTable16"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9" firstHeaderRow="1" firstDataRow="1" firstDataCol="1"/>
  <pivotFields count="2">
    <pivotField dataField="1" showAll="0"/>
    <pivotField axis="axisRow" showAll="0">
      <items count="21">
        <item x="3"/>
        <item x="1"/>
        <item x="10"/>
        <item x="12"/>
        <item x="2"/>
        <item x="11"/>
        <item x="16"/>
        <item x="15"/>
        <item x="6"/>
        <item x="4"/>
        <item x="14"/>
        <item x="13"/>
        <item x="7"/>
        <item x="18"/>
        <item x="17"/>
        <item x="0"/>
        <item x="19"/>
        <item x="9"/>
        <item x="5"/>
        <item x="8"/>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PLEDGED" fld="0" baseField="1" baseItem="0" numFmtId="164"/>
  </dataFields>
  <formats count="15">
    <format dxfId="227">
      <pivotArea field="1" type="button" dataOnly="0" labelOnly="1" outline="0" axis="axisRow" fieldPosition="0"/>
    </format>
    <format dxfId="226">
      <pivotArea dataOnly="0" labelOnly="1" outline="0" axis="axisValues" fieldPosition="0"/>
    </format>
    <format dxfId="225">
      <pivotArea field="1" type="button" dataOnly="0" labelOnly="1" outline="0" axis="axisRow" fieldPosition="0"/>
    </format>
    <format dxfId="224">
      <pivotArea dataOnly="0" labelOnly="1" outline="0" axis="axisValues" fieldPosition="0"/>
    </format>
    <format dxfId="223">
      <pivotArea dataOnly="0" grandRow="1" fieldPosition="0"/>
    </format>
    <format dxfId="222">
      <pivotArea dataOnly="0" grandRow="1" fieldPosition="0"/>
    </format>
    <format dxfId="221">
      <pivotArea collapsedLevelsAreSubtotals="1" fieldPosition="0">
        <references count="1">
          <reference field="1" count="0"/>
        </references>
      </pivotArea>
    </format>
    <format dxfId="220">
      <pivotArea dataOnly="0" labelOnly="1" fieldPosition="0">
        <references count="1">
          <reference field="1" count="0"/>
        </references>
      </pivotArea>
    </format>
    <format dxfId="219">
      <pivotArea outline="0" collapsedLevelsAreSubtotals="1" fieldPosition="0"/>
    </format>
    <format dxfId="218">
      <pivotArea type="all" dataOnly="0" outline="0" fieldPosition="0"/>
    </format>
    <format dxfId="217">
      <pivotArea outline="0" collapsedLevelsAreSubtotals="1" fieldPosition="0"/>
    </format>
    <format dxfId="216">
      <pivotArea field="1" type="button" dataOnly="0" labelOnly="1" outline="0" axis="axisRow" fieldPosition="0"/>
    </format>
    <format dxfId="215">
      <pivotArea dataOnly="0" labelOnly="1" fieldPosition="0">
        <references count="1">
          <reference field="1" count="0"/>
        </references>
      </pivotArea>
    </format>
    <format dxfId="214">
      <pivotArea dataOnly="0" labelOnly="1" grandRow="1" outline="0" fieldPosition="0"/>
    </format>
    <format dxfId="2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A4AD49C-36A1-46A0-992D-F7EF664CD13D}" name="PivotTable17" cacheId="22"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1"/>
        <item x="2"/>
        <item x="6"/>
        <item x="8"/>
        <item x="0"/>
        <item x="7"/>
        <item x="14"/>
        <item x="13"/>
        <item x="12"/>
        <item x="11"/>
        <item x="10"/>
        <item x="9"/>
        <item x="5"/>
        <item x="16"/>
        <item x="15"/>
        <item x="4"/>
        <item x="18"/>
        <item x="17"/>
        <item x="3"/>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5">
    <format dxfId="212">
      <pivotArea field="1" type="button" dataOnly="0" labelOnly="1" outline="0" axis="axisRow" fieldPosition="0"/>
    </format>
    <format dxfId="211">
      <pivotArea dataOnly="0" labelOnly="1" outline="0" axis="axisValues" fieldPosition="0"/>
    </format>
    <format dxfId="210">
      <pivotArea field="1" type="button" dataOnly="0" labelOnly="1" outline="0" axis="axisRow" fieldPosition="0"/>
    </format>
    <format dxfId="209">
      <pivotArea dataOnly="0" labelOnly="1" outline="0" axis="axisValues" fieldPosition="0"/>
    </format>
    <format dxfId="208">
      <pivotArea dataOnly="0" grandRow="1" fieldPosition="0"/>
    </format>
    <format dxfId="207">
      <pivotArea dataOnly="0" grandRow="1" fieldPosition="0"/>
    </format>
    <format dxfId="206">
      <pivotArea collapsedLevelsAreSubtotals="1" fieldPosition="0">
        <references count="1">
          <reference field="1" count="0"/>
        </references>
      </pivotArea>
    </format>
    <format dxfId="205">
      <pivotArea dataOnly="0" labelOnly="1" fieldPosition="0">
        <references count="1">
          <reference field="1" count="0"/>
        </references>
      </pivotArea>
    </format>
    <format dxfId="204">
      <pivotArea outline="0" collapsedLevelsAreSubtotals="1" fieldPosition="0"/>
    </format>
    <format dxfId="203">
      <pivotArea type="all" dataOnly="0" outline="0" fieldPosition="0"/>
    </format>
    <format dxfId="202">
      <pivotArea outline="0" collapsedLevelsAreSubtotals="1" fieldPosition="0"/>
    </format>
    <format dxfId="201">
      <pivotArea field="1" type="button" dataOnly="0" labelOnly="1" outline="0" axis="axisRow" fieldPosition="0"/>
    </format>
    <format dxfId="200">
      <pivotArea dataOnly="0" labelOnly="1" fieldPosition="0">
        <references count="1">
          <reference field="1" count="0"/>
        </references>
      </pivotArea>
    </format>
    <format dxfId="199">
      <pivotArea dataOnly="0" labelOnly="1" grandRow="1" outline="0" fieldPosition="0"/>
    </format>
    <format dxfId="1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DCD2F6E-9965-42CE-A13F-87ECB2968D7C}" name="PivotTable18" cacheId="7"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0"/>
        <item x="6"/>
        <item x="8"/>
        <item x="10"/>
        <item x="2"/>
        <item x="9"/>
        <item x="15"/>
        <item x="14"/>
        <item x="13"/>
        <item x="1"/>
        <item x="12"/>
        <item x="11"/>
        <item x="18"/>
        <item x="17"/>
        <item x="16"/>
        <item x="5"/>
        <item x="7"/>
        <item x="3"/>
        <item x="4"/>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4">
    <format dxfId="197">
      <pivotArea field="1" type="button" dataOnly="0" labelOnly="1" outline="0" axis="axisRow" fieldPosition="0"/>
    </format>
    <format dxfId="196">
      <pivotArea dataOnly="0" labelOnly="1" outline="0" axis="axisValues" fieldPosition="0"/>
    </format>
    <format dxfId="195">
      <pivotArea field="1" type="button" dataOnly="0" labelOnly="1" outline="0" axis="axisRow" fieldPosition="0"/>
    </format>
    <format dxfId="194">
      <pivotArea dataOnly="0" labelOnly="1" outline="0" axis="axisValues" fieldPosition="0"/>
    </format>
    <format dxfId="193">
      <pivotArea dataOnly="0" grandRow="1" fieldPosition="0"/>
    </format>
    <format dxfId="192">
      <pivotArea dataOnly="0" grandRow="1" fieldPosition="0"/>
    </format>
    <format dxfId="191">
      <pivotArea dataOnly="0" fieldPosition="0">
        <references count="1">
          <reference field="1" count="0"/>
        </references>
      </pivotArea>
    </format>
    <format dxfId="190">
      <pivotArea outline="0" collapsedLevelsAreSubtotals="1" fieldPosition="0"/>
    </format>
    <format dxfId="189">
      <pivotArea type="all" dataOnly="0" outline="0" fieldPosition="0"/>
    </format>
    <format dxfId="188">
      <pivotArea outline="0" collapsedLevelsAreSubtotals="1" fieldPosition="0"/>
    </format>
    <format dxfId="187">
      <pivotArea field="1" type="button" dataOnly="0" labelOnly="1" outline="0" axis="axisRow" fieldPosition="0"/>
    </format>
    <format dxfId="186">
      <pivotArea dataOnly="0" labelOnly="1" fieldPosition="0">
        <references count="1">
          <reference field="1" count="0"/>
        </references>
      </pivotArea>
    </format>
    <format dxfId="185">
      <pivotArea dataOnly="0" labelOnly="1" grandRow="1" outline="0" fieldPosition="0"/>
    </format>
    <format dxfId="1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986BA78-513A-4B6D-A309-B663CC3F0CAA}" name="PivotTable1" cacheId="18"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0"/>
        <item x="1"/>
        <item x="8"/>
        <item x="10"/>
        <item x="5"/>
        <item x="9"/>
        <item x="14"/>
        <item x="7"/>
        <item x="13"/>
        <item x="12"/>
        <item x="2"/>
        <item x="11"/>
        <item x="16"/>
        <item x="6"/>
        <item x="15"/>
        <item x="18"/>
        <item x="3"/>
        <item x="17"/>
        <item x="4"/>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dataFields>
  <formats count="12">
    <format dxfId="183">
      <pivotArea field="1" type="button" dataOnly="0" labelOnly="1" outline="0" axis="axisRow" fieldPosition="0"/>
    </format>
    <format dxfId="182">
      <pivotArea dataOnly="0" labelOnly="1" outline="0" axis="axisValues" fieldPosition="0"/>
    </format>
    <format dxfId="181">
      <pivotArea grandRow="1" outline="0" collapsedLevelsAreSubtotals="1" fieldPosition="0"/>
    </format>
    <format dxfId="180">
      <pivotArea dataOnly="0" labelOnly="1" grandRow="1" outline="0" fieldPosition="0"/>
    </format>
    <format dxfId="179">
      <pivotArea dataOnly="0" fieldPosition="0">
        <references count="1">
          <reference field="1" count="0"/>
        </references>
      </pivotArea>
    </format>
    <format dxfId="178">
      <pivotArea outline="0" collapsedLevelsAreSubtotals="1" fieldPosition="0"/>
    </format>
    <format dxfId="177">
      <pivotArea type="all" dataOnly="0" outline="0" fieldPosition="0"/>
    </format>
    <format dxfId="176">
      <pivotArea outline="0" collapsedLevelsAreSubtotals="1" fieldPosition="0"/>
    </format>
    <format dxfId="175">
      <pivotArea field="1" type="button" dataOnly="0" labelOnly="1" outline="0" axis="axisRow" fieldPosition="0"/>
    </format>
    <format dxfId="174">
      <pivotArea dataOnly="0" labelOnly="1" fieldPosition="0">
        <references count="1">
          <reference field="1" count="0"/>
        </references>
      </pivotArea>
    </format>
    <format dxfId="173">
      <pivotArea dataOnly="0" labelOnly="1" grandRow="1" outline="0" fieldPosition="0"/>
    </format>
    <format dxfId="1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4FB7EFD-0431-42C4-B776-41394C3325E7}" name="PivotTable19" cacheId="2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1"/>
        <item x="3"/>
        <item x="11"/>
        <item x="5"/>
        <item x="8"/>
        <item x="12"/>
        <item x="16"/>
        <item x="10"/>
        <item x="15"/>
        <item x="14"/>
        <item x="0"/>
        <item x="13"/>
        <item x="2"/>
        <item x="6"/>
        <item x="17"/>
        <item x="9"/>
        <item x="4"/>
        <item x="18"/>
        <item x="7"/>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5">
    <format dxfId="171">
      <pivotArea field="1" type="button" dataOnly="0" labelOnly="1" outline="0" axis="axisRow" fieldPosition="0"/>
    </format>
    <format dxfId="170">
      <pivotArea dataOnly="0" labelOnly="1" outline="0" axis="axisValues" fieldPosition="0"/>
    </format>
    <format dxfId="169">
      <pivotArea field="1" type="button" dataOnly="0" labelOnly="1" outline="0" axis="axisRow" fieldPosition="0"/>
    </format>
    <format dxfId="168">
      <pivotArea dataOnly="0" labelOnly="1" outline="0" axis="axisValues" fieldPosition="0"/>
    </format>
    <format dxfId="167">
      <pivotArea dataOnly="0" grandRow="1" fieldPosition="0"/>
    </format>
    <format dxfId="166">
      <pivotArea dataOnly="0" grandRow="1" fieldPosition="0"/>
    </format>
    <format dxfId="165">
      <pivotArea collapsedLevelsAreSubtotals="1" fieldPosition="0">
        <references count="1">
          <reference field="1" count="0"/>
        </references>
      </pivotArea>
    </format>
    <format dxfId="164">
      <pivotArea dataOnly="0" labelOnly="1" fieldPosition="0">
        <references count="1">
          <reference field="1" count="0"/>
        </references>
      </pivotArea>
    </format>
    <format dxfId="163">
      <pivotArea outline="0" collapsedLevelsAreSubtotals="1" fieldPosition="0"/>
    </format>
    <format dxfId="162">
      <pivotArea type="all" dataOnly="0" outline="0" fieldPosition="0"/>
    </format>
    <format dxfId="161">
      <pivotArea outline="0" collapsedLevelsAreSubtotals="1" fieldPosition="0"/>
    </format>
    <format dxfId="160">
      <pivotArea field="1" type="button" dataOnly="0" labelOnly="1" outline="0" axis="axisRow" fieldPosition="0"/>
    </format>
    <format dxfId="159">
      <pivotArea dataOnly="0" labelOnly="1" fieldPosition="0">
        <references count="1">
          <reference field="1" count="0"/>
        </references>
      </pivotArea>
    </format>
    <format dxfId="158">
      <pivotArea dataOnly="0" labelOnly="1" grandRow="1" outline="0" fieldPosition="0"/>
    </format>
    <format dxfId="1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1306328-C4FD-4E22-8B06-61950459745C}" name="PivotTable20" cacheId="19"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1"/>
        <item x="2"/>
        <item x="10"/>
        <item x="3"/>
        <item x="4"/>
        <item x="11"/>
        <item x="15"/>
        <item x="14"/>
        <item x="13"/>
        <item x="6"/>
        <item x="0"/>
        <item x="12"/>
        <item x="9"/>
        <item x="17"/>
        <item x="16"/>
        <item x="5"/>
        <item x="7"/>
        <item x="18"/>
        <item x="8"/>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4">
    <format dxfId="156">
      <pivotArea field="1" type="button" dataOnly="0" labelOnly="1" outline="0" axis="axisRow" fieldPosition="0"/>
    </format>
    <format dxfId="155">
      <pivotArea dataOnly="0" labelOnly="1" outline="0" axis="axisValues" fieldPosition="0"/>
    </format>
    <format dxfId="154">
      <pivotArea field="1" type="button" dataOnly="0" labelOnly="1" outline="0" axis="axisRow" fieldPosition="0"/>
    </format>
    <format dxfId="153">
      <pivotArea dataOnly="0" labelOnly="1" outline="0" axis="axisValues" fieldPosition="0"/>
    </format>
    <format dxfId="152">
      <pivotArea dataOnly="0" grandRow="1" fieldPosition="0"/>
    </format>
    <format dxfId="151">
      <pivotArea dataOnly="0" grandRow="1" fieldPosition="0"/>
    </format>
    <format dxfId="150">
      <pivotArea dataOnly="0" fieldPosition="0">
        <references count="1">
          <reference field="1" count="0"/>
        </references>
      </pivotArea>
    </format>
    <format dxfId="149">
      <pivotArea outline="0" collapsedLevelsAreSubtotals="1" fieldPosition="0"/>
    </format>
    <format dxfId="148">
      <pivotArea type="all" dataOnly="0" outline="0" fieldPosition="0"/>
    </format>
    <format dxfId="147">
      <pivotArea outline="0" collapsedLevelsAreSubtotals="1" fieldPosition="0"/>
    </format>
    <format dxfId="146">
      <pivotArea field="1" type="button" dataOnly="0" labelOnly="1" outline="0" axis="axisRow" fieldPosition="0"/>
    </format>
    <format dxfId="145">
      <pivotArea dataOnly="0" labelOnly="1" fieldPosition="0">
        <references count="1">
          <reference field="1" count="0"/>
        </references>
      </pivotArea>
    </format>
    <format dxfId="144">
      <pivotArea dataOnly="0" labelOnly="1" grandRow="1" outline="0" fieldPosition="0"/>
    </format>
    <format dxfId="1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88B8CBC-8F85-464E-8C36-B3D614875B1B}" name="PivotTable21" cacheId="9"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9" firstHeaderRow="1" firstDataRow="1" firstDataCol="1"/>
  <pivotFields count="2">
    <pivotField dataField="1" showAll="0"/>
    <pivotField axis="axisRow" showAll="0">
      <items count="22">
        <item x="1"/>
        <item x="2"/>
        <item x="6"/>
        <item x="8"/>
        <item x="4"/>
        <item x="7"/>
        <item x="14"/>
        <item x="13"/>
        <item x="12"/>
        <item x="11"/>
        <item x="10"/>
        <item x="9"/>
        <item x="17"/>
        <item x="16"/>
        <item x="15"/>
        <item x="19"/>
        <item x="5"/>
        <item x="18"/>
        <item x="0"/>
        <item x="3"/>
        <item m="1" x="20"/>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PLEDGED" fld="0" baseField="1" baseItem="0" numFmtId="164"/>
  </dataFields>
  <formats count="14">
    <format dxfId="142">
      <pivotArea field="1" type="button" dataOnly="0" labelOnly="1" outline="0" axis="axisRow" fieldPosition="0"/>
    </format>
    <format dxfId="141">
      <pivotArea dataOnly="0" labelOnly="1" outline="0" axis="axisValues" fieldPosition="0"/>
    </format>
    <format dxfId="140">
      <pivotArea field="1" type="button" dataOnly="0" labelOnly="1" outline="0" axis="axisRow" fieldPosition="0"/>
    </format>
    <format dxfId="139">
      <pivotArea dataOnly="0" labelOnly="1" outline="0" axis="axisValues" fieldPosition="0"/>
    </format>
    <format dxfId="138">
      <pivotArea dataOnly="0" grandRow="1" fieldPosition="0"/>
    </format>
    <format dxfId="137">
      <pivotArea dataOnly="0" grandRow="1" fieldPosition="0"/>
    </format>
    <format dxfId="136">
      <pivotArea dataOnly="0" fieldPosition="0">
        <references count="1">
          <reference field="1" count="0"/>
        </references>
      </pivotArea>
    </format>
    <format dxfId="135">
      <pivotArea outline="0" collapsedLevelsAreSubtotals="1" fieldPosition="0"/>
    </format>
    <format dxfId="134">
      <pivotArea type="all" dataOnly="0" outline="0" fieldPosition="0"/>
    </format>
    <format dxfId="133">
      <pivotArea outline="0" collapsedLevelsAreSubtotals="1" fieldPosition="0"/>
    </format>
    <format dxfId="132">
      <pivotArea field="1" type="button" dataOnly="0" labelOnly="1" outline="0" axis="axisRow" fieldPosition="0"/>
    </format>
    <format dxfId="131">
      <pivotArea dataOnly="0" labelOnly="1" fieldPosition="0">
        <references count="1">
          <reference field="1" count="0"/>
        </references>
      </pivotArea>
    </format>
    <format dxfId="130">
      <pivotArea dataOnly="0" labelOnly="1" grandRow="1" outline="0" fieldPosition="0"/>
    </format>
    <format dxfId="1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44B6E90-5431-4740-B4EF-4EFD06BC4AAB}" name="PivotTable22" cacheId="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1"/>
        <item x="3"/>
        <item x="9"/>
        <item x="11"/>
        <item x="8"/>
        <item x="10"/>
        <item x="15"/>
        <item x="14"/>
        <item x="13"/>
        <item x="5"/>
        <item x="6"/>
        <item x="12"/>
        <item x="4"/>
        <item x="17"/>
        <item x="16"/>
        <item x="0"/>
        <item x="7"/>
        <item x="18"/>
        <item x="2"/>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4">
    <format dxfId="128">
      <pivotArea field="1" type="button" dataOnly="0" labelOnly="1" outline="0" axis="axisRow" fieldPosition="0"/>
    </format>
    <format dxfId="127">
      <pivotArea dataOnly="0" labelOnly="1" outline="0" axis="axisValues" fieldPosition="0"/>
    </format>
    <format dxfId="126">
      <pivotArea field="1" type="button" dataOnly="0" labelOnly="1" outline="0" axis="axisRow" fieldPosition="0"/>
    </format>
    <format dxfId="125">
      <pivotArea dataOnly="0" labelOnly="1" outline="0" axis="axisValues" fieldPosition="0"/>
    </format>
    <format dxfId="124">
      <pivotArea dataOnly="0" grandRow="1" fieldPosition="0"/>
    </format>
    <format dxfId="123">
      <pivotArea dataOnly="0" grandRow="1" fieldPosition="0"/>
    </format>
    <format dxfId="122">
      <pivotArea dataOnly="0" fieldPosition="0">
        <references count="1">
          <reference field="1" count="0"/>
        </references>
      </pivotArea>
    </format>
    <format dxfId="121">
      <pivotArea outline="0" collapsedLevelsAreSubtotals="1" fieldPosition="0"/>
    </format>
    <format dxfId="120">
      <pivotArea type="all" dataOnly="0" outline="0" fieldPosition="0"/>
    </format>
    <format dxfId="119">
      <pivotArea outline="0" collapsedLevelsAreSubtotals="1" fieldPosition="0"/>
    </format>
    <format dxfId="118">
      <pivotArea field="1" type="button" dataOnly="0" labelOnly="1" outline="0" axis="axisRow" fieldPosition="0"/>
    </format>
    <format dxfId="117">
      <pivotArea dataOnly="0" labelOnly="1" fieldPosition="0">
        <references count="1">
          <reference field="1" count="0"/>
        </references>
      </pivotArea>
    </format>
    <format dxfId="116">
      <pivotArea dataOnly="0" labelOnly="1" grandRow="1" outline="0" fieldPosition="0"/>
    </format>
    <format dxfId="1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34FFFB1-992A-463D-BAC8-C1870601EAB8}" name="PivotTable3"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Q8:R28" firstHeaderRow="1" firstDataRow="1" firstDataCol="1"/>
  <pivotFields count="2">
    <pivotField dataField="1" showAll="0">
      <items count="2">
        <item x="0"/>
        <item t="default"/>
      </items>
    </pivotField>
    <pivotField axis="axisRow" showAll="0">
      <items count="20">
        <item x="3"/>
        <item x="2"/>
        <item x="1"/>
        <item x="6"/>
        <item x="5"/>
        <item x="4"/>
        <item x="12"/>
        <item x="11"/>
        <item x="10"/>
        <item x="9"/>
        <item x="8"/>
        <item x="7"/>
        <item x="15"/>
        <item x="14"/>
        <item x="13"/>
        <item x="18"/>
        <item x="17"/>
        <item x="16"/>
        <item x="0"/>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1">
    <format dxfId="114">
      <pivotArea field="1" type="button" dataOnly="0" labelOnly="1" outline="0" axis="axisRow" fieldPosition="0"/>
    </format>
    <format dxfId="113">
      <pivotArea dataOnly="0" labelOnly="1" outline="0" axis="axisValues" fieldPosition="0"/>
    </format>
    <format dxfId="112">
      <pivotArea dataOnly="0" grandRow="1" fieldPosition="0"/>
    </format>
    <format dxfId="111">
      <pivotArea dataOnly="0" fieldPosition="0">
        <references count="1">
          <reference field="1" count="0"/>
        </references>
      </pivotArea>
    </format>
    <format dxfId="110">
      <pivotArea outline="0" collapsedLevelsAreSubtotals="1" fieldPosition="0"/>
    </format>
    <format dxfId="109">
      <pivotArea type="all" dataOnly="0" outline="0" fieldPosition="0"/>
    </format>
    <format dxfId="108">
      <pivotArea outline="0" collapsedLevelsAreSubtotals="1" fieldPosition="0"/>
    </format>
    <format dxfId="107">
      <pivotArea field="1" type="button" dataOnly="0" labelOnly="1" outline="0" axis="axisRow" fieldPosition="0"/>
    </format>
    <format dxfId="106">
      <pivotArea dataOnly="0" labelOnly="1" fieldPosition="0">
        <references count="1">
          <reference field="1" count="0"/>
        </references>
      </pivotArea>
    </format>
    <format dxfId="105">
      <pivotArea dataOnly="0" labelOnly="1" grandRow="1" outline="0" fieldPosition="0"/>
    </format>
    <format dxfId="1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3B8B7DE-53AD-468C-978D-3590157020D5}" name="PivotTable6" cacheId="2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Q8:R29" firstHeaderRow="1" firstDataRow="1" firstDataCol="1"/>
  <pivotFields count="2">
    <pivotField dataField="1" showAll="0"/>
    <pivotField axis="axisRow" showAll="0">
      <items count="22">
        <item x="4"/>
        <item x="5"/>
        <item x="12"/>
        <item x="15"/>
        <item x="14"/>
        <item x="13"/>
        <item x="18"/>
        <item x="11"/>
        <item x="17"/>
        <item x="1"/>
        <item x="8"/>
        <item x="16"/>
        <item x="7"/>
        <item x="6"/>
        <item x="19"/>
        <item x="0"/>
        <item x="10"/>
        <item x="9"/>
        <item x="3"/>
        <item x="2"/>
        <item m="1" x="20"/>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PLEDGED" fld="0" baseField="1" baseItem="0" numFmtId="164"/>
  </dataFields>
  <formats count="12">
    <format dxfId="103">
      <pivotArea field="1" type="button" dataOnly="0" labelOnly="1" outline="0" axis="axisRow" fieldPosition="0"/>
    </format>
    <format dxfId="102">
      <pivotArea dataOnly="0" labelOnly="1" outline="0" axis="axisValues" fieldPosition="0"/>
    </format>
    <format dxfId="101">
      <pivotArea dataOnly="0" grandRow="1" fieldPosition="0"/>
    </format>
    <format dxfId="100">
      <pivotArea outline="0" collapsedLevelsAreSubtotals="1" fieldPosition="0"/>
    </format>
    <format dxfId="99">
      <pivotArea collapsedLevelsAreSubtotals="1" fieldPosition="0">
        <references count="1">
          <reference field="1" count="0"/>
        </references>
      </pivotArea>
    </format>
    <format dxfId="98">
      <pivotArea dataOnly="0" labelOnly="1" fieldPosition="0">
        <references count="1">
          <reference field="1" count="0"/>
        </references>
      </pivotArea>
    </format>
    <format dxfId="97">
      <pivotArea type="all" dataOnly="0" outline="0" fieldPosition="0"/>
    </format>
    <format dxfId="96">
      <pivotArea outline="0" collapsedLevelsAreSubtotals="1" fieldPosition="0"/>
    </format>
    <format dxfId="95">
      <pivotArea field="1" type="button" dataOnly="0" labelOnly="1" outline="0" axis="axisRow" fieldPosition="0"/>
    </format>
    <format dxfId="94">
      <pivotArea dataOnly="0" labelOnly="1" fieldPosition="0">
        <references count="1">
          <reference field="1" count="0"/>
        </references>
      </pivotArea>
    </format>
    <format dxfId="93">
      <pivotArea dataOnly="0" labelOnly="1" grandRow="1" outline="0" fieldPosition="0"/>
    </format>
    <format dxfId="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2C16711-24EE-4074-975A-FD2ACCC80101}" name="PivotTable28" cacheId="1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1"/>
        <item x="2"/>
        <item x="7"/>
        <item x="9"/>
        <item x="5"/>
        <item x="8"/>
        <item x="13"/>
        <item x="4"/>
        <item x="12"/>
        <item x="3"/>
        <item x="11"/>
        <item x="10"/>
        <item x="16"/>
        <item x="15"/>
        <item x="14"/>
        <item x="6"/>
        <item x="18"/>
        <item x="17"/>
        <item x="0"/>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4">
    <format dxfId="91">
      <pivotArea field="1" type="button" dataOnly="0" labelOnly="1" outline="0" axis="axisRow" fieldPosition="0"/>
    </format>
    <format dxfId="90">
      <pivotArea dataOnly="0" labelOnly="1" outline="0" axis="axisValues" fieldPosition="0"/>
    </format>
    <format dxfId="89">
      <pivotArea field="1" type="button" dataOnly="0" labelOnly="1" outline="0" axis="axisRow" fieldPosition="0"/>
    </format>
    <format dxfId="88">
      <pivotArea dataOnly="0" labelOnly="1" outline="0" axis="axisValues" fieldPosition="0"/>
    </format>
    <format dxfId="87">
      <pivotArea dataOnly="0" grandRow="1" fieldPosition="0"/>
    </format>
    <format dxfId="86">
      <pivotArea dataOnly="0" grandRow="1" fieldPosition="0"/>
    </format>
    <format dxfId="85">
      <pivotArea dataOnly="0" fieldPosition="0">
        <references count="1">
          <reference field="1" count="0"/>
        </references>
      </pivotArea>
    </format>
    <format dxfId="84">
      <pivotArea outline="0" collapsedLevelsAreSubtotals="1" fieldPosition="0"/>
    </format>
    <format dxfId="83">
      <pivotArea type="all" dataOnly="0" outline="0" fieldPosition="0"/>
    </format>
    <format dxfId="82">
      <pivotArea outline="0" collapsedLevelsAreSubtotals="1" fieldPosition="0"/>
    </format>
    <format dxfId="81">
      <pivotArea field="1" type="button" dataOnly="0" labelOnly="1" outline="0" axis="axisRow" fieldPosition="0"/>
    </format>
    <format dxfId="80">
      <pivotArea dataOnly="0" labelOnly="1" fieldPosition="0">
        <references count="1">
          <reference field="1" count="0"/>
        </references>
      </pivotArea>
    </format>
    <format dxfId="79">
      <pivotArea dataOnly="0" labelOnly="1" grandRow="1" outline="0" fieldPosition="0"/>
    </format>
    <format dxfId="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06AE4D1-60CD-4749-B2D0-E69400FB9DFB}" name="PivotTable25" cacheId="2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0"/>
        <item x="6"/>
        <item x="11"/>
        <item x="8"/>
        <item x="9"/>
        <item x="12"/>
        <item x="15"/>
        <item x="4"/>
        <item x="14"/>
        <item x="2"/>
        <item x="10"/>
        <item x="13"/>
        <item x="7"/>
        <item x="5"/>
        <item x="16"/>
        <item x="3"/>
        <item x="18"/>
        <item x="17"/>
        <item x="1"/>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4">
    <format dxfId="77">
      <pivotArea field="1" type="button" dataOnly="0" labelOnly="1" outline="0" axis="axisRow" fieldPosition="0"/>
    </format>
    <format dxfId="76">
      <pivotArea dataOnly="0" labelOnly="1" outline="0" axis="axisValues" fieldPosition="0"/>
    </format>
    <format dxfId="75">
      <pivotArea field="1" type="button" dataOnly="0" labelOnly="1" outline="0" axis="axisRow" fieldPosition="0"/>
    </format>
    <format dxfId="74">
      <pivotArea dataOnly="0" labelOnly="1" outline="0" axis="axisValues" fieldPosition="0"/>
    </format>
    <format dxfId="73">
      <pivotArea dataOnly="0" grandRow="1" fieldPosition="0"/>
    </format>
    <format dxfId="72">
      <pivotArea dataOnly="0" grandRow="1" fieldPosition="0"/>
    </format>
    <format dxfId="71">
      <pivotArea dataOnly="0" fieldPosition="0">
        <references count="1">
          <reference field="1" count="0"/>
        </references>
      </pivotArea>
    </format>
    <format dxfId="70">
      <pivotArea outline="0" collapsedLevelsAreSubtotals="1" fieldPosition="0"/>
    </format>
    <format dxfId="69">
      <pivotArea type="all" dataOnly="0" outline="0" fieldPosition="0"/>
    </format>
    <format dxfId="68">
      <pivotArea outline="0" collapsedLevelsAreSubtotals="1" fieldPosition="0"/>
    </format>
    <format dxfId="67">
      <pivotArea field="1" type="button" dataOnly="0" labelOnly="1" outline="0" axis="axisRow" fieldPosition="0"/>
    </format>
    <format dxfId="66">
      <pivotArea dataOnly="0" labelOnly="1" fieldPosition="0">
        <references count="1">
          <reference field="1" count="0"/>
        </references>
      </pivotArea>
    </format>
    <format dxfId="65">
      <pivotArea dataOnly="0" labelOnly="1" grandRow="1" outline="0" fieldPosition="0"/>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D4FF797-6AFA-42F5-96FF-DF67271DCCFB}" name="PivotTable26" cacheId="1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1"/>
        <item x="2"/>
        <item x="13"/>
        <item x="16"/>
        <item x="15"/>
        <item x="14"/>
        <item x="10"/>
        <item x="7"/>
        <item x="12"/>
        <item x="0"/>
        <item x="4"/>
        <item x="17"/>
        <item x="3"/>
        <item x="9"/>
        <item x="18"/>
        <item x="5"/>
        <item x="11"/>
        <item x="8"/>
        <item x="6"/>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1" numFmtId="4"/>
  </dataFields>
  <formats count="19">
    <format dxfId="63">
      <pivotArea field="1" type="button" dataOnly="0" labelOnly="1" outline="0" axis="axisRow" fieldPosition="0"/>
    </format>
    <format dxfId="62">
      <pivotArea dataOnly="0" labelOnly="1" outline="0" axis="axisValues" fieldPosition="0"/>
    </format>
    <format dxfId="61">
      <pivotArea field="1" type="button" dataOnly="0" labelOnly="1" outline="0" axis="axisRow" fieldPosition="0"/>
    </format>
    <format dxfId="60">
      <pivotArea dataOnly="0" labelOnly="1" outline="0" axis="axisValues" fieldPosition="0"/>
    </format>
    <format dxfId="59">
      <pivotArea dataOnly="0" grandRow="1" fieldPosition="0"/>
    </format>
    <format dxfId="58">
      <pivotArea dataOnly="0" grandRow="1" fieldPosition="0"/>
    </format>
    <format dxfId="57">
      <pivotArea dataOnly="0" fieldPosition="0">
        <references count="1">
          <reference field="1" count="0"/>
        </references>
      </pivotArea>
    </format>
    <format dxfId="56">
      <pivotArea type="all" dataOnly="0" outline="0" fieldPosition="0"/>
    </format>
    <format dxfId="55">
      <pivotArea outline="0" collapsedLevelsAreSubtotals="1" fieldPosition="0"/>
    </format>
    <format dxfId="54">
      <pivotArea field="1" type="button" dataOnly="0" labelOnly="1" outline="0" axis="axisRow" fieldPosition="0"/>
    </format>
    <format dxfId="53">
      <pivotArea dataOnly="0" labelOnly="1" fieldPosition="0">
        <references count="1">
          <reference field="1" count="0"/>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1" type="button" dataOnly="0" labelOnly="1" outline="0" axis="axisRow" fieldPosition="0"/>
    </format>
    <format dxfId="47">
      <pivotArea dataOnly="0" labelOnly="1" fieldPosition="0">
        <references count="1">
          <reference field="1" count="0"/>
        </references>
      </pivotArea>
    </format>
    <format dxfId="46">
      <pivotArea dataOnly="0" labelOnly="1" grandRow="1" outline="0"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2C37006-63F4-4E9A-99DA-896A3431E0D2}" name="PivotTable27" cacheId="1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1">
        <item x="0"/>
        <item x="2"/>
        <item x="12"/>
        <item x="10"/>
        <item x="4"/>
        <item x="13"/>
        <item x="16"/>
        <item x="9"/>
        <item x="15"/>
        <item x="1"/>
        <item x="11"/>
        <item x="14"/>
        <item x="5"/>
        <item x="8"/>
        <item x="17"/>
        <item x="6"/>
        <item x="7"/>
        <item x="18"/>
        <item x="3"/>
        <item m="1" x="19"/>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4">
    <format dxfId="44">
      <pivotArea field="1" type="button" dataOnly="0" labelOnly="1" outline="0" axis="axisRow" fieldPosition="0"/>
    </format>
    <format dxfId="43">
      <pivotArea dataOnly="0" labelOnly="1" outline="0" axis="axisValues" fieldPosition="0"/>
    </format>
    <format dxfId="42">
      <pivotArea field="1" type="button" dataOnly="0" labelOnly="1" outline="0" axis="axisRow" fieldPosition="0"/>
    </format>
    <format dxfId="41">
      <pivotArea dataOnly="0" labelOnly="1" outline="0" axis="axisValues" fieldPosition="0"/>
    </format>
    <format dxfId="40">
      <pivotArea dataOnly="0" grandRow="1" fieldPosition="0"/>
    </format>
    <format dxfId="39">
      <pivotArea dataOnly="0" grandRow="1" fieldPosition="0"/>
    </format>
    <format dxfId="38">
      <pivotArea dataOnly="0" fieldPosition="0">
        <references count="1">
          <reference field="1" count="0"/>
        </references>
      </pivotArea>
    </format>
    <format dxfId="37">
      <pivotArea outline="0" collapsedLevelsAreSubtotals="1" fieldPosition="0"/>
    </format>
    <format dxfId="36">
      <pivotArea type="all" dataOnly="0" outline="0" fieldPosition="0"/>
    </format>
    <format dxfId="35">
      <pivotArea outline="0" collapsedLevelsAreSubtotals="1" fieldPosition="0"/>
    </format>
    <format dxfId="34">
      <pivotArea field="1" type="button" dataOnly="0" labelOnly="1" outline="0" axis="axisRow" fieldPosition="0"/>
    </format>
    <format dxfId="33">
      <pivotArea dataOnly="0" labelOnly="1" fieldPosition="0">
        <references count="1">
          <reference field="1" count="0"/>
        </references>
      </pivotArea>
    </format>
    <format dxfId="32">
      <pivotArea dataOnly="0" labelOnly="1" grandRow="1" outline="0"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4592E71-7D27-47B9-98DC-29D03D86F707}" name="PivotTable29" cacheId="1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0"/>
        <item x="1"/>
        <item x="7"/>
        <item x="9"/>
        <item x="5"/>
        <item x="8"/>
        <item x="14"/>
        <item x="6"/>
        <item x="13"/>
        <item x="12"/>
        <item x="11"/>
        <item x="10"/>
        <item x="17"/>
        <item x="16"/>
        <item x="15"/>
        <item x="2"/>
        <item x="3"/>
        <item x="18"/>
        <item x="4"/>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4">
    <format dxfId="30">
      <pivotArea field="1" type="button" dataOnly="0" labelOnly="1" outline="0" axis="axisRow" fieldPosition="0"/>
    </format>
    <format dxfId="29">
      <pivotArea dataOnly="0" labelOnly="1" outline="0" axis="axisValues" fieldPosition="0"/>
    </format>
    <format dxfId="28">
      <pivotArea field="1" type="button" dataOnly="0" labelOnly="1" outline="0" axis="axisRow" fieldPosition="0"/>
    </format>
    <format dxfId="27">
      <pivotArea dataOnly="0" labelOnly="1" outline="0" axis="axisValues" fieldPosition="0"/>
    </format>
    <format dxfId="26">
      <pivotArea dataOnly="0" grandRow="1" fieldPosition="0"/>
    </format>
    <format dxfId="25">
      <pivotArea dataOnly="0" grandRow="1" fieldPosition="0"/>
    </format>
    <format dxfId="24">
      <pivotArea dataOnly="0" fieldPosition="0">
        <references count="1">
          <reference field="1" count="0"/>
        </references>
      </pivotArea>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1" type="button" dataOnly="0" labelOnly="1" outline="0" axis="axisRow" fieldPosition="0"/>
    </format>
    <format dxfId="19">
      <pivotArea dataOnly="0" labelOnly="1" fieldPosition="0">
        <references count="1">
          <reference field="1" count="0"/>
        </references>
      </pivotArea>
    </format>
    <format dxfId="18">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8561E62-F5D3-4CF1-BC2B-94D5B909A80D}" name="PivotTable30" cacheId="2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 rowHeaderCaption="SOLD BY">
  <location ref="P8:Q28" firstHeaderRow="1" firstDataRow="1" firstDataCol="1"/>
  <pivotFields count="2">
    <pivotField dataField="1" showAll="0"/>
    <pivotField axis="axisRow" showAll="0">
      <items count="20">
        <item x="5"/>
        <item x="2"/>
        <item x="11"/>
        <item x="0"/>
        <item x="10"/>
        <item x="12"/>
        <item x="16"/>
        <item x="8"/>
        <item x="15"/>
        <item x="1"/>
        <item x="14"/>
        <item x="13"/>
        <item x="9"/>
        <item x="6"/>
        <item x="17"/>
        <item x="3"/>
        <item x="4"/>
        <item x="18"/>
        <item x="7"/>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PLEDGED" fld="0" baseField="1" baseItem="0" numFmtId="164"/>
  </dataFields>
  <formats count="14">
    <format dxfId="16">
      <pivotArea field="1" type="button" dataOnly="0" labelOnly="1" outline="0" axis="axisRow" fieldPosition="0"/>
    </format>
    <format dxfId="15">
      <pivotArea dataOnly="0" labelOnly="1" outline="0" axis="axisValues" fieldPosition="0"/>
    </format>
    <format dxfId="14">
      <pivotArea field="1" type="button" dataOnly="0" labelOnly="1" outline="0" axis="axisRow" fieldPosition="0"/>
    </format>
    <format dxfId="13">
      <pivotArea dataOnly="0" labelOnly="1" outline="0" axis="axisValues" fieldPosition="0"/>
    </format>
    <format dxfId="12">
      <pivotArea dataOnly="0" grandRow="1" fieldPosition="0"/>
    </format>
    <format dxfId="11">
      <pivotArea dataOnly="0" grandRow="1" fieldPosition="0"/>
    </format>
    <format dxfId="10">
      <pivotArea dataOnly="0" fieldPosition="0">
        <references count="1">
          <reference field="1" count="0"/>
        </references>
      </pivotArea>
    </format>
    <format dxfId="9">
      <pivotArea outline="0" collapsedLevelsAreSubtotals="1" fieldPosition="0"/>
    </format>
    <format dxfId="8">
      <pivotArea type="all" dataOnly="0" outline="0" fieldPosition="0"/>
    </format>
    <format dxfId="7">
      <pivotArea outline="0" collapsedLevelsAreSubtotals="1" fieldPosition="0"/>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grandRow="1" outline="0"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T7" dT="2025-06-02T15:36:21.38" personId="{841B0514-C2D0-4706-B688-12B615A3C596}" id="{215AD778-1DCA-4581-800E-D34BA33B090E}">
    <text>Half $500/half in-kind</text>
  </threadedComment>
  <threadedComment ref="T9" dT="2025-05-12T20:17:37.51" personId="{841B0514-C2D0-4706-B688-12B615A3C596}" id="{4502521F-6A62-4E27-B03D-17A086D06B88}">
    <text>In-kind for food</text>
  </threadedComment>
  <threadedComment ref="Y9" dT="2025-06-02T21:16:26.09" personId="{841B0514-C2D0-4706-B688-12B615A3C596}" id="{7A53AA5F-1B9F-4F6C-86BD-86358F175A43}">
    <text>In-kind for food</text>
  </threadedComment>
  <threadedComment ref="U14" dT="2025-04-16T19:31:25.78" personId="{841B0514-C2D0-4706-B688-12B615A3C596}" id="{234051A6-F2F7-44E5-A28B-D67CE664003B}">
    <text>In-kind</text>
  </threadedComment>
  <threadedComment ref="U17" dT="2025-04-29T20:15:45.79" personId="{841B0514-C2D0-4706-B688-12B615A3C596}" id="{5579F92D-CF25-4DCD-81E0-615FBFE04F0D}">
    <text>foundation</text>
  </threadedComment>
  <threadedComment ref="AH37" dT="2025-02-28T19:47:05.02" personId="{841B0514-C2D0-4706-B688-12B615A3C596}" id="{94E32209-AD67-4C17-A56F-9DE48D084510}">
    <text xml:space="preserve">Product donation of $1,250 for TF and WIB each. </text>
  </threadedComment>
  <threadedComment ref="J46" dT="2025-01-28T16:05:04.29" personId="{841B0514-C2D0-4706-B688-12B615A3C596}" id="{69CCA1DA-281D-49CD-B48A-EF7CA3E780D4}">
    <text>In-kind</text>
  </threadedComment>
  <threadedComment ref="N46" dT="2025-01-28T19:24:36.48" personId="{841B0514-C2D0-4706-B688-12B615A3C596}" id="{D9C2957D-82D9-4F4D-BE7F-B0F38B82BA71}">
    <text>In-kind</text>
  </threadedComment>
  <threadedComment ref="T53" dT="2025-05-12T20:11:15.95" personId="{841B0514-C2D0-4706-B688-12B615A3C596}" id="{59C4A4EC-F2AD-4D7B-AAF8-04438432BFCC}">
    <text>In-kind for food</text>
  </threadedComment>
  <threadedComment ref="Y53" dT="2025-06-02T21:16:26.09" personId="{841B0514-C2D0-4706-B688-12B615A3C596}" id="{54C3E8BF-93CF-499F-85F6-F0D10B0481F8}">
    <text>In-kind for food</text>
  </threadedComment>
  <threadedComment ref="AA54" dT="2025-06-05T19:15:59.11" personId="{841B0514-C2D0-4706-B688-12B615A3C596}" id="{CC06D8EE-6702-497F-9AE6-50F8D027BAEE}">
    <text>In-kind for product</text>
  </threadedComment>
  <threadedComment ref="R58" dT="2025-12-11T18:23:42.91" personId="{841B0514-C2D0-4706-B688-12B615A3C596}" id="{0652C6AF-CFC1-4D95-97EC-3088E66321B7}">
    <text>In-kind for city labor</text>
  </threadedComment>
  <threadedComment ref="AB58" dT="2025-12-11T18:24:09.09" personId="{841B0514-C2D0-4706-B688-12B615A3C596}" id="{AC6ECCFC-6A9F-4C29-9230-B287279D44A9}">
    <text>In-kind for city labor</text>
  </threadedComment>
  <threadedComment ref="AH59" dT="2024-11-26T23:04:54.58" personId="{841B0514-C2D0-4706-B688-12B615A3C596}" id="{767EAF2C-4E98-4360-BCAD-45DEF4578309}">
    <text>Chamber Car</text>
  </threadedComment>
  <threadedComment ref="AH67" dT="2025-01-27T23:13:43.59" personId="{841B0514-C2D0-4706-B688-12B615A3C596}" id="{87944756-8110-489C-8107-2363E1FB9779}">
    <text>$10,000 for in-kind planning, training, staff development  + $5,000 for in-kind CALI leadership/team building</text>
  </threadedComment>
  <threadedComment ref="AF71" dT="2024-12-12T20:28:02.54" personId="{841B0514-C2D0-4706-B688-12B615A3C596}" id="{794CD41E-60DF-47B4-8BA8-FF3A10A63A59}">
    <text>Conway Corp./CDC Contract</text>
  </threadedComment>
  <threadedComment ref="AH71" dT="2025-08-26T17:33:35.72" personId="{841B0514-C2D0-4706-B688-12B615A3C596}" id="{A9E465BF-347E-4E83-A0B5-924235B06115}">
    <text>CDC agreement</text>
  </threadedComment>
  <threadedComment ref="D90" dT="2025-04-28T17:52:44.55" personId="{841B0514-C2D0-4706-B688-12B615A3C596}" id="{678B6EB4-4747-4736-B6CC-6A9C35BED7F2}">
    <text>In-kind for lunch</text>
  </threadedComment>
  <threadedComment ref="R90" dT="2025-11-15T00:05:44.13" personId="{841B0514-C2D0-4706-B688-12B615A3C596}" id="{14A07C2E-5565-4B97-BBFB-59AB7D7E59D8}">
    <text>Trade for 75 train ride tickets</text>
  </threadedComment>
  <threadedComment ref="T90" dT="2025-05-12T20:12:23.44" personId="{841B0514-C2D0-4706-B688-12B615A3C596}" id="{5DDE7FB9-B261-42F0-AB74-46AAAB6E4A1D}">
    <text>In-kind for food</text>
  </threadedComment>
  <threadedComment ref="Y90" dT="2025-06-02T21:16:26.09" personId="{841B0514-C2D0-4706-B688-12B615A3C596}" id="{315CAF16-179A-4563-8EA8-4004C9336B7F}">
    <text>In-kind for food</text>
  </threadedComment>
  <threadedComment ref="Z90" dT="2025-10-20T16:43:17.59" personId="{841B0514-C2D0-4706-B688-12B615A3C596}" id="{98D47686-434F-404F-AFE3-DDA8A5C1B906}">
    <text>In-kind for continental breakfast.</text>
  </threadedComment>
  <threadedComment ref="AA90" dT="2025-08-07T14:41:15.17" personId="{841B0514-C2D0-4706-B688-12B615A3C596}" id="{EF744DA7-AF5E-4B00-A872-6F67A5DE6968}">
    <text>$1,200 of in-kind for breakfast to CCS teachers.</text>
  </threadedComment>
  <threadedComment ref="AH101" dT="2025-02-12T20:22:54.32" personId="{841B0514-C2D0-4706-B688-12B615A3C596}" id="{5C434864-432A-4746-A088-88DAA6F2BC71}">
    <text>Combo dues</text>
  </threadedComment>
  <threadedComment ref="Y103" dT="2025-06-02T21:16:26.09" personId="{841B0514-C2D0-4706-B688-12B615A3C596}" id="{6B47EB82-BFAC-4B3F-8E86-3AE2ECB28C54}">
    <text>In-kind for food</text>
  </threadedComment>
  <threadedComment ref="Q109" dT="2025-09-22T17:12:14.73" personId="{841B0514-C2D0-4706-B688-12B615A3C596}" id="{594543BC-EE6C-43A1-AE69-C06D08F3DBFA}">
    <text>$1,000 for Engage, $2,500 for Salter</text>
  </threadedComment>
  <threadedComment ref="C114" dT="2025-02-04T19:30:08.33" personId="{841B0514-C2D0-4706-B688-12B615A3C596}" id="{50A7DC2C-B05B-4233-9B2B-4A8266D174B5}">
    <text>In-kind for discounted invoice</text>
  </threadedComment>
  <threadedComment ref="AH117" dT="2025-02-14T17:06:10.49" personId="{841B0514-C2D0-4706-B688-12B615A3C596}" id="{D9F6E240-D94A-445F-8C1D-BC75E7D6C31C}">
    <text>Dual membership</text>
  </threadedComment>
  <threadedComment ref="Q125" dT="2025-09-23T21:57:55.88" personId="{841B0514-C2D0-4706-B688-12B615A3C596}" id="{F6EEE41A-3DC7-4E4C-91CB-EE64B5127310}">
    <text>$1,000 FSB/$1000 Crews</text>
  </threadedComment>
  <threadedComment ref="W125" dT="2025-07-21T18:58:13.97" personId="{841B0514-C2D0-4706-B688-12B615A3C596}" id="{38670DE4-AFDB-4E1E-B1C6-12A12E042D11}">
    <text>$7,200 for ½ page POC annual + one, full-page advertorial for CCS = $1,200</text>
  </threadedComment>
  <threadedComment ref="AB163" dT="2025-12-11T18:14:08.05" personId="{841B0514-C2D0-4706-B688-12B615A3C596}" id="{E3775E24-7327-43D8-B262-5877EF0A3465}">
    <text>In-kind for toad toters</text>
  </threadedComment>
  <threadedComment ref="AG176" dT="2025-09-23T15:53:18.93" personId="{841B0514-C2D0-4706-B688-12B615A3C596}" id="{99CAD707-458B-4089-9732-075B36BE7C7B}">
    <text>Don Pepe’s + Los 3 Potrillos</text>
  </threadedComment>
  <threadedComment ref="Y188" dT="2025-06-02T21:16:26.09" personId="{841B0514-C2D0-4706-B688-12B615A3C596}" id="{17CC2904-B83C-4AB9-A514-696FD78FD969}">
    <text>In-kind for food</text>
  </threadedComment>
  <threadedComment ref="AH191" dT="2025-12-12T16:35:13.30" personId="{841B0514-C2D0-4706-B688-12B615A3C596}" id="{547BA58C-2625-478A-A121-8F0D71918566}">
    <text>Grant</text>
  </threadedComment>
  <threadedComment ref="Y192" dT="2025-07-21T16:36:25.27" personId="{841B0514-C2D0-4706-B688-12B615A3C596}" id="{662AF806-D4A7-4BFE-937C-BA5A05DAC757}">
    <text>In-kind for games</text>
  </threadedComment>
  <threadedComment ref="T195" dT="2025-05-12T20:12:45.95" personId="{841B0514-C2D0-4706-B688-12B615A3C596}" id="{0DAC75E4-5CBA-482D-8CBC-58363CCB936A}">
    <text>In-kind for food</text>
  </threadedComment>
  <threadedComment ref="T195" dT="2025-05-12T20:18:29.57" personId="{841B0514-C2D0-4706-B688-12B615A3C596}" id="{B339C7B8-B13C-43C3-A172-79038F236EED}" parentId="{0DAC75E4-5CBA-482D-8CBC-58363CCB936A}">
    <text>OTC 1, 2</text>
  </threadedComment>
  <threadedComment ref="Y195" dT="2025-06-02T21:16:26.09" personId="{841B0514-C2D0-4706-B688-12B615A3C596}" id="{53AC478B-C1A0-4A78-976C-AF6B7214357B}">
    <text>In-kind for food</text>
  </threadedComment>
  <threadedComment ref="Z195" dT="2025-10-29T16:26:22.65" personId="{841B0514-C2D0-4706-B688-12B615A3C596}" id="{3B8EF77E-A33C-450B-9A38-5E4DB4BA2EF5}">
    <text>In-kind for box lunches</text>
  </threadedComment>
  <threadedComment ref="T202" dT="2025-05-12T20:13:17.25" personId="{841B0514-C2D0-4706-B688-12B615A3C596}" id="{2334BA45-9A5E-414B-8A9E-66DBC901FF52}">
    <text>In-kind for food</text>
  </threadedComment>
  <threadedComment ref="T202" dT="2025-05-12T20:18:48.03" personId="{841B0514-C2D0-4706-B688-12B615A3C596}" id="{5ED708F4-AD53-4715-9D2A-3C69BD7F0318}" parentId="{2334BA45-9A5E-414B-8A9E-66DBC901FF52}">
    <text>OTC 1, 2</text>
  </threadedComment>
  <threadedComment ref="Y202" dT="2025-06-02T21:16:26.09" personId="{841B0514-C2D0-4706-B688-12B615A3C596}" id="{06AC8D3C-01B9-4E80-B25D-EC387D71FFB5}">
    <text>In-kind for food</text>
  </threadedComment>
  <threadedComment ref="AB203" dT="2025-03-11T21:19:52.38" personId="{841B0514-C2D0-4706-B688-12B615A3C596}" id="{7D1D7A2B-0F20-4004-9946-22DF83AC9268}">
    <text>In-kind for 2 RVs + outdoor furniture</text>
  </threadedComment>
  <threadedComment ref="AD213" dT="2025-07-14T18:20:55.93" personId="{841B0514-C2D0-4706-B688-12B615A3C596}" id="{59C22286-58D4-4A19-8BB1-2F1EFB3B053F}">
    <text>In-kind for free bundt cake coupon per attendee</text>
  </threadedComment>
  <threadedComment ref="AB221" dT="2025-03-19T15:04:08.59" personId="{841B0514-C2D0-4706-B688-12B615A3C596}" id="{C338FC18-1399-4D4F-89BC-E916F556BB6A}">
    <text>In-kind for services</text>
  </threadedComment>
  <threadedComment ref="AG225" dT="2025-02-13T20:17:54.05" personId="{841B0514-C2D0-4706-B688-12B615A3C596}" id="{44B71B98-5CBE-4F2C-93C5-7307155A606B}">
    <text>Dual membership</text>
  </threadedComment>
  <threadedComment ref="Y233" dT="2025-06-02T21:16:26.09" personId="{841B0514-C2D0-4706-B688-12B615A3C596}" id="{AD356A15-6951-418E-B219-54B33543EF01}">
    <text>In-kind for food</text>
  </threadedComment>
  <threadedComment ref="D252" dT="2025-08-22T14:19:32.69" personId="{841B0514-C2D0-4706-B688-12B615A3C596}" id="{E44566A8-CC8A-42AB-9164-667E25878219}">
    <text>In-kind for alcohol</text>
  </threadedComment>
  <threadedComment ref="T252" dT="2025-05-12T20:15:55.11" personId="{841B0514-C2D0-4706-B688-12B615A3C596}" id="{79F28805-DBBF-453F-9C76-4DF9A60CADE9}">
    <text>In-kind</text>
  </threadedComment>
  <threadedComment ref="Y252" dT="2025-06-02T21:16:26.09" personId="{841B0514-C2D0-4706-B688-12B615A3C596}" id="{2B64605C-918D-4838-B40C-88AAEB62B021}">
    <text>In-kind for food</text>
  </threadedComment>
  <threadedComment ref="AH252" dT="2025-05-12T20:16:21.18" personId="{841B0514-C2D0-4706-B688-12B615A3C596}" id="{FA5FAB83-CDBA-4BB8-8354-5BB92E0D45AB}">
    <text>Combo dues</text>
  </threadedComment>
  <threadedComment ref="AA255" dT="2025-04-08T20:17:11.99" personId="{841B0514-C2D0-4706-B688-12B615A3C596}" id="{0CE857DE-9FCE-4236-974F-4634D5C5BAD6}">
    <text>In-kind for food and/or teacher giveaways</text>
  </threadedComment>
  <threadedComment ref="T258" dT="2025-05-12T20:15:00.66" personId="{841B0514-C2D0-4706-B688-12B615A3C596}" id="{E02E0F2B-8206-4DA3-ACF4-E00A6E9F06C1}">
    <text>In-kind for drinks</text>
  </threadedComment>
  <threadedComment ref="T258" dT="2025-05-12T20:19:03.42" personId="{841B0514-C2D0-4706-B688-12B615A3C596}" id="{EA20F848-EC80-4C18-B3FC-394F3C2AAF4D}" parentId="{E02E0F2B-8206-4DA3-ACF4-E00A6E9F06C1}">
    <text xml:space="preserve">OTC 1,2  </text>
  </threadedComment>
  <threadedComment ref="Y258" dT="2025-06-02T21:16:26.09" personId="{841B0514-C2D0-4706-B688-12B615A3C596}" id="{06A631CA-C430-40DA-896D-A7A30C7395A8}">
    <text>In-kind for food</text>
  </threadedComment>
  <threadedComment ref="Z258" dT="2025-09-17T18:36:45.48" personId="{841B0514-C2D0-4706-B688-12B615A3C596}" id="{72E601B7-8497-467C-8528-DDAF70E52DA8}">
    <text>In-kind for coffee</text>
  </threadedComment>
  <threadedComment ref="AH259" dT="2025-04-28T17:43:17.86" personId="{841B0514-C2D0-4706-B688-12B615A3C596}" id="{74ECE6A4-F18C-4BD5-96B1-04DED9EB77B8}">
    <text>Combo dues</text>
  </threadedComment>
  <threadedComment ref="T270" dT="2025-07-07T14:36:42.40" personId="{841B0514-C2D0-4706-B688-12B615A3C596}" id="{DE517B0D-D5CE-418E-A657-1825B029B1AB}">
    <text>In-kind</text>
  </threadedComment>
  <threadedComment ref="G271" dT="2025-10-02T19:19:50.40" personId="{841B0514-C2D0-4706-B688-12B615A3C596}" id="{C524541C-5025-433F-956D-85674C2CDFD7}">
    <text>In-kind for product</text>
  </threadedComment>
  <threadedComment ref="AH274" dT="2025-11-03T15:28:04.29" personId="{841B0514-C2D0-4706-B688-12B615A3C596}" id="{5470FD0F-2289-4F56-BB9E-8C1AA9612F6A}">
    <text>In-kind architectural renderings for Farmers Market</text>
  </threadedComment>
  <threadedComment ref="Y286" dT="2025-06-02T21:16:26.09" personId="{841B0514-C2D0-4706-B688-12B615A3C596}" id="{8A2ED95E-158C-405B-8C59-01711E84EDE1}">
    <text>In-kind for food</text>
  </threadedComment>
  <threadedComment ref="AB294" dT="2025-07-29T17:19:01.03" personId="{841B0514-C2D0-4706-B688-12B615A3C596}" id="{3ED7D200-141B-4A81-B1F1-3CEFD5F0D748}">
    <text>In-kind for kids building kits</text>
  </threadedComment>
  <threadedComment ref="T298" dT="2025-05-13T14:14:46.02" personId="{841B0514-C2D0-4706-B688-12B615A3C596}" id="{319A9B12-4BAA-4352-B988-97CE9CBAC92F}">
    <text>In-kind for food</text>
  </threadedComment>
  <threadedComment ref="Y298" dT="2025-06-02T21:16:26.09" personId="{841B0514-C2D0-4706-B688-12B615A3C596}" id="{DB407015-AB92-41A3-B02A-D10F859FE731}">
    <text>In-kind for food</text>
  </threadedComment>
  <threadedComment ref="AH310" dT="2025-04-04T21:18:11.28" personId="{841B0514-C2D0-4706-B688-12B615A3C596}" id="{A0968E91-4A1F-4E9B-B2C0-D5B9930283CA}">
    <text>M2Ms (8)</text>
  </threadedComment>
  <threadedComment ref="Y311" dT="2025-06-02T21:16:26.09" personId="{841B0514-C2D0-4706-B688-12B615A3C596}" id="{E255C08F-5B87-4E0C-84E0-8DC05B9607F4}">
    <text>In-kind for food</text>
  </threadedComment>
  <threadedComment ref="C313" dT="2024-12-12T19:35:40.06" personId="{841B0514-C2D0-4706-B688-12B615A3C596}" id="{3C758DE8-825E-4234-ABBF-7DB40E9D065A}">
    <text>$7K cash plus $3K in-kind for facility rental</text>
  </threadedComment>
  <threadedComment ref="AH318" dT="2025-10-08T15:21:22.87" personId="{841B0514-C2D0-4706-B688-12B615A3C596}" id="{203B17FD-AB64-45F8-9639-23120C949CDA}">
    <text>Contract fee</text>
  </threadedComment>
</ThreadedComments>
</file>

<file path=xl/threadedComments/threadedComment2.xml><?xml version="1.0" encoding="utf-8"?>
<ThreadedComments xmlns="http://schemas.microsoft.com/office/spreadsheetml/2018/threadedcomments" xmlns:x="http://schemas.openxmlformats.org/spreadsheetml/2006/main">
  <threadedComment ref="T12" dT="2025-05-12T20:15:00.66" personId="{841B0514-C2D0-4706-B688-12B615A3C596}" id="{C6CC465C-3ED3-4193-8775-AE117DC283DD}">
    <text>In-kind for drinks</text>
  </threadedComment>
  <threadedComment ref="T12" dT="2025-05-12T20:19:03.42" personId="{841B0514-C2D0-4706-B688-12B615A3C596}" id="{65F995CF-097A-445B-AEE0-505B6ED4CC0D}" parentId="{C6CC465C-3ED3-4193-8775-AE117DC283DD}">
    <text xml:space="preserve">OTC 1,2  </text>
  </threadedComment>
  <threadedComment ref="Y12" dT="2025-06-02T21:16:26.09" personId="{841B0514-C2D0-4706-B688-12B615A3C596}" id="{F5B077E8-2385-402F-9393-17BF1AEB97CC}">
    <text>In-kind for food</text>
  </threadedComment>
  <threadedComment ref="Z12" dT="2025-09-17T18:36:45.48" personId="{841B0514-C2D0-4706-B688-12B615A3C596}" id="{D8AF3D16-ABDB-48CC-AF6E-0C4D92375FE0}">
    <text>In-kind for coffee</text>
  </threadedComment>
  <threadedComment ref="AB18" dT="2025-07-29T17:19:01.03" personId="{841B0514-C2D0-4706-B688-12B615A3C596}" id="{987CE11D-55C9-42FF-B4C1-8B1F6FC15300}">
    <text>In-kind for kids building kits</text>
  </threadedComment>
  <threadedComment ref="AH35" dT="2025-02-12T20:22:54.32" personId="{841B0514-C2D0-4706-B688-12B615A3C596}" id="{57AA06BE-1DBD-4787-BD5F-1E2035F527DA}">
    <text>Combo dues</text>
  </threadedComment>
  <threadedComment ref="T42" dT="2025-06-02T15:36:21.38" personId="{841B0514-C2D0-4706-B688-12B615A3C596}" id="{ADF893F6-9054-43B3-9FBA-FB9B9146A3A1}">
    <text>Half $500/half in-kind</text>
  </threadedComment>
  <threadedComment ref="D50" dT="2025-08-22T14:19:32.69" personId="{841B0514-C2D0-4706-B688-12B615A3C596}" id="{F4A29EF2-6596-4A53-AF12-F540B98F554C}">
    <text>In-kind for alcohol</text>
  </threadedComment>
  <threadedComment ref="T50" dT="2025-05-12T20:15:55.11" personId="{841B0514-C2D0-4706-B688-12B615A3C596}" id="{F5A7629B-F4FA-4173-9C7A-8AEF290BE017}">
    <text>In-kind</text>
  </threadedComment>
  <threadedComment ref="Y50" dT="2025-06-02T21:16:26.09" personId="{841B0514-C2D0-4706-B688-12B615A3C596}" id="{5F678F29-0C7A-469D-B3C5-F8CDDC3291E7}">
    <text>In-kind for food</text>
  </threadedComment>
  <threadedComment ref="AH50" dT="2025-05-12T20:16:21.18" personId="{841B0514-C2D0-4706-B688-12B615A3C596}" id="{3AE61F38-6481-4192-8337-7ABE8E4DC789}">
    <text>Combo dues</text>
  </threadedComment>
  <threadedComment ref="AH58" dT="2025-02-14T17:06:10.49" personId="{841B0514-C2D0-4706-B688-12B615A3C596}" id="{0C6061FE-F9F7-4C41-8779-E87C792C857A}">
    <text>Dual membership</text>
  </threadedComment>
  <threadedComment ref="C59" dT="2025-02-04T19:30:08.33" personId="{841B0514-C2D0-4706-B688-12B615A3C596}" id="{45DADFFF-CE04-4534-A63E-AAAA054B4A0E}">
    <text>In-kind for discounted invoice</text>
  </threadedComment>
  <threadedComment ref="T69" dT="2025-05-12T20:11:15.95" personId="{841B0514-C2D0-4706-B688-12B615A3C596}" id="{2E5A4484-61D8-4EB6-8EF4-BCD32F5C86D1}">
    <text>In-kind for food</text>
  </threadedComment>
  <threadedComment ref="Y69" dT="2025-06-02T21:16:26.09" personId="{841B0514-C2D0-4706-B688-12B615A3C596}" id="{3F15C167-B6F1-48BC-BC10-F1817869743A}">
    <text>In-kind for food</text>
  </threadedComment>
  <threadedComment ref="T70" dT="2025-05-12T20:13:17.25" personId="{841B0514-C2D0-4706-B688-12B615A3C596}" id="{9C9AB2DA-F775-4DF9-9755-94A2B51EB1C7}">
    <text>In-kind for food</text>
  </threadedComment>
  <threadedComment ref="T70" dT="2025-05-12T20:18:48.03" personId="{841B0514-C2D0-4706-B688-12B615A3C596}" id="{87078DEB-F825-4442-AB72-3559CDD81192}" parentId="{9C9AB2DA-F775-4DF9-9755-94A2B51EB1C7}">
    <text>OTC 1, 2</text>
  </threadedComment>
  <threadedComment ref="Y70" dT="2025-06-02T21:16:26.09" personId="{841B0514-C2D0-4706-B688-12B615A3C596}" id="{1FD47D6A-2A35-43BA-AFD7-2973E4CC96A7}">
    <text>In-kind for food</text>
  </threadedComment>
  <threadedComment ref="AA71" dT="2025-04-08T20:17:11.99" personId="{841B0514-C2D0-4706-B688-12B615A3C596}" id="{C74068FF-78FB-4DDB-893B-795514657D30}">
    <text>In-kind for food and/or teacher giveaways</text>
  </threadedComment>
  <threadedComment ref="Y75" dT="2025-06-02T21:16:26.09" personId="{841B0514-C2D0-4706-B688-12B615A3C596}" id="{23D9C7E4-D16D-45A8-A3B5-C64A6A82A61F}">
    <text>In-kind for food</text>
  </threadedComment>
  <threadedComment ref="T78" dT="2025-05-12T20:17:37.51" personId="{841B0514-C2D0-4706-B688-12B615A3C596}" id="{B4FDFFFE-0B59-4C66-9D4A-89D5777A89F0}">
    <text>In-kind for food</text>
  </threadedComment>
  <threadedComment ref="Y78" dT="2025-06-02T21:16:26.09" personId="{841B0514-C2D0-4706-B688-12B615A3C596}" id="{40498327-0EB6-4BF5-894B-3A966E342C00}">
    <text>In-kind for food</text>
  </threadedComment>
  <threadedComment ref="T91" dT="2025-05-13T14:14:46.02" personId="{841B0514-C2D0-4706-B688-12B615A3C596}" id="{9B0040C9-CA64-4746-AA38-7E5010B9ACC8}">
    <text>In-kind for food</text>
  </threadedComment>
  <threadedComment ref="Y91" dT="2025-06-02T21:16:26.09" personId="{841B0514-C2D0-4706-B688-12B615A3C596}" id="{0F44E3B8-57BF-4837-8ADD-0853B34499F7}">
    <text>In-kind for food</text>
  </threadedComment>
  <threadedComment ref="AG96" dT="2025-02-13T20:17:54.05" personId="{841B0514-C2D0-4706-B688-12B615A3C596}" id="{DC14C9BC-47D2-48A0-8F8E-D5826E39C585}">
    <text>Dual membership</text>
  </threadedComment>
  <threadedComment ref="AH97" dT="2025-04-28T17:43:17.86" personId="{841B0514-C2D0-4706-B688-12B615A3C596}" id="{E8E90515-511B-41FC-91E0-AD12B65BF07C}">
    <text>Combo dues</text>
  </threadedComment>
  <threadedComment ref="AA101" dT="2025-06-05T19:15:59.11" personId="{841B0514-C2D0-4706-B688-12B615A3C596}" id="{3275721C-BBA8-4DC2-9805-FDE0CDC38B4E}">
    <text>In-kind for product</text>
  </threadedComment>
  <threadedComment ref="AG107" dT="2025-09-23T15:53:18.93" personId="{841B0514-C2D0-4706-B688-12B615A3C596}" id="{3E96306C-ECEA-45B9-8270-056F4D546F95}">
    <text>Don Pepe’s + Los 3 Potrillos</text>
  </threadedComment>
  <threadedComment ref="AD122" dT="2025-07-14T18:20:55.93" personId="{841B0514-C2D0-4706-B688-12B615A3C596}" id="{57B7B698-0DAC-4ED5-97A4-F45C3C090162}">
    <text>In-kind for free bundt cake coupon per attendee</text>
  </threadedComment>
  <threadedComment ref="Y137" dT="2025-07-21T16:36:25.27" personId="{841B0514-C2D0-4706-B688-12B615A3C596}" id="{9A9A8CA1-3BF1-452B-B864-80E336FBB5CF}">
    <text>In-kind for games</text>
  </threadedComment>
  <threadedComment ref="Y138" dT="2025-06-02T21:16:26.09" personId="{841B0514-C2D0-4706-B688-12B615A3C596}" id="{CF9DC9A1-5E3D-4335-A5E7-7C37A67F7F05}">
    <text>In-kind for food</text>
  </threadedComment>
  <threadedComment ref="T139" dT="2025-07-07T14:36:42.40" personId="{841B0514-C2D0-4706-B688-12B615A3C596}" id="{A1DA4664-A42C-4582-89D9-6DE0B013F4A0}">
    <text>In-kind</text>
  </threadedComment>
  <threadedComment ref="Y157" dT="2025-06-02T21:16:26.09" personId="{841B0514-C2D0-4706-B688-12B615A3C596}" id="{1CB5A09A-5A38-47A3-9B3B-B1E4EBFDC290}">
    <text>In-kind for food</text>
  </threadedComment>
  <threadedComment ref="Y159" dT="2025-06-02T21:16:26.09" personId="{841B0514-C2D0-4706-B688-12B615A3C596}" id="{BA9BF275-0CA7-4F51-8821-4ECBA5163C17}">
    <text>In-kind for food</text>
  </threadedComment>
  <threadedComment ref="G160" dT="2025-10-02T19:19:50.40" personId="{841B0514-C2D0-4706-B688-12B615A3C596}" id="{E0BFEC46-F20E-4E14-881B-A8384641043F}">
    <text>In-kind for product</text>
  </threadedComment>
  <threadedComment ref="Y161" dT="2025-06-02T21:16:26.09" personId="{841B0514-C2D0-4706-B688-12B615A3C596}" id="{090F92F4-B562-4BE7-BC17-E90612C64DBC}">
    <text>In-kind for food</text>
  </threadedComment>
</ThreadedComments>
</file>

<file path=xl/threadedComments/threadedComment3.xml><?xml version="1.0" encoding="utf-8"?>
<ThreadedComments xmlns="http://schemas.microsoft.com/office/spreadsheetml/2018/threadedcomments" xmlns:x="http://schemas.openxmlformats.org/spreadsheetml/2006/main">
  <threadedComment ref="AH5" dT="2024-11-26T23:04:54.58" personId="{841B0514-C2D0-4706-B688-12B615A3C596}" id="{242595CA-E1CB-4F9B-BFD2-CB4D8363ABE9}">
    <text>Chamber Car</text>
  </threadedComment>
  <threadedComment ref="AF6" dT="2024-12-12T20:28:02.54" personId="{841B0514-C2D0-4706-B688-12B615A3C596}" id="{F50C5030-C4A7-4624-AB82-5B57846956CD}">
    <text>Conway Corp./CDC Contract</text>
  </threadedComment>
  <threadedComment ref="AH6" dT="2025-08-26T17:33:35.72" personId="{841B0514-C2D0-4706-B688-12B615A3C596}" id="{22760832-44CF-492C-A08D-7713D70E9B76}">
    <text>CDC agreement</text>
  </threadedComment>
  <threadedComment ref="AH9" dT="2025-10-08T15:21:22.87" personId="{841B0514-C2D0-4706-B688-12B615A3C596}" id="{BE4873DB-B603-47C3-B811-6AD529C7F764}">
    <text>Contract fee</text>
  </threadedComment>
  <threadedComment ref="R14" dT="2025-12-11T18:23:42.91" personId="{841B0514-C2D0-4706-B688-12B615A3C596}" id="{A42643EC-9FB2-4C6A-A534-CCA123D22FD3}">
    <text>In-kind for city labor</text>
  </threadedComment>
  <threadedComment ref="AB14" dT="2025-12-11T18:24:09.09" personId="{841B0514-C2D0-4706-B688-12B615A3C596}" id="{57832DFA-AD57-4079-98D5-6BDED8D569AA}">
    <text>In-kind for city labor</text>
  </threadedComment>
  <threadedComment ref="Q17" dT="2025-09-23T21:57:55.88" personId="{841B0514-C2D0-4706-B688-12B615A3C596}" id="{E7FDFE76-9096-4057-AD2E-166C83583BBD}">
    <text>$1,000 FSB/$1000 Crews</text>
  </threadedComment>
  <threadedComment ref="W17" dT="2025-07-21T18:58:13.97" personId="{841B0514-C2D0-4706-B688-12B615A3C596}" id="{A728C88D-6352-4F2F-BB92-4B0B19B8BBA2}">
    <text>$7,200 for ½ page POC annual + one, full-page advertorial for CCS = $1,200</text>
  </threadedComment>
  <threadedComment ref="AB22" dT="2025-03-19T15:04:08.59" personId="{841B0514-C2D0-4706-B688-12B615A3C596}" id="{FEF2F654-DE3F-4F6F-926F-256CEBC8A39B}">
    <text>In-kind for services</text>
  </threadedComment>
  <threadedComment ref="C24" dT="2024-12-12T19:35:40.06" personId="{841B0514-C2D0-4706-B688-12B615A3C596}" id="{C2DD1DD3-D9FA-44BA-94B7-D278B685102C}">
    <text>$7K cash plus $3K in-kind for facility rental</text>
  </threadedComment>
  <threadedComment ref="J32" dT="2025-01-28T16:05:04.29" personId="{841B0514-C2D0-4706-B688-12B615A3C596}" id="{85B01C2E-8BB2-475E-AA04-FBFA0AEA7B50}">
    <text>In-kind</text>
  </threadedComment>
  <threadedComment ref="N32" dT="2025-01-28T19:24:36.48" personId="{841B0514-C2D0-4706-B688-12B615A3C596}" id="{040C46CB-F364-4C5B-8798-B6B9CBE8F7B1}">
    <text>In-kind</text>
  </threadedComment>
  <threadedComment ref="AH36" dT="2025-01-27T23:13:43.59" personId="{841B0514-C2D0-4706-B688-12B615A3C596}" id="{6E1F4071-9C65-40DD-B7F8-FB40E811AF2B}">
    <text>$10,000 for in-kind planning, training, staff development  + $5,000 for in-kind CALI leadership/team building</text>
  </threadedComment>
  <threadedComment ref="Q39" dT="2025-09-22T17:12:14.73" personId="{841B0514-C2D0-4706-B688-12B615A3C596}" id="{28CADD56-6BF7-44FB-9445-DB71F50E861F}">
    <text>$1,000 for Engage, $2,500 for Salter</text>
  </threadedComment>
  <threadedComment ref="U58" dT="2025-04-16T19:31:25.78" personId="{841B0514-C2D0-4706-B688-12B615A3C596}" id="{C91D47AD-FB0C-4256-ADEC-1099C983441A}">
    <text>In-kind</text>
  </threadedComment>
  <threadedComment ref="U59" dT="2025-04-29T20:15:45.79" personId="{841B0514-C2D0-4706-B688-12B615A3C596}" id="{017DF61C-BC16-4821-9112-CBD2B7A669D3}">
    <text>foundation</text>
  </threadedComment>
  <threadedComment ref="AH60" dT="2025-02-28T19:47:05.02" personId="{841B0514-C2D0-4706-B688-12B615A3C596}" id="{9402AC5C-7005-477F-965A-CA7467F4B6B2}">
    <text xml:space="preserve">Product donation of $1,250 for TF and WIB each. </text>
  </threadedComment>
  <threadedComment ref="D67" dT="2025-04-28T17:52:44.55" personId="{841B0514-C2D0-4706-B688-12B615A3C596}" id="{9368584D-408C-4317-885B-0D78E306A0D2}">
    <text>In-kind for lunch</text>
  </threadedComment>
  <threadedComment ref="R67" dT="2025-11-15T00:05:44.13" personId="{841B0514-C2D0-4706-B688-12B615A3C596}" id="{8931E103-03BF-4B5F-9850-6285A0F4BA46}">
    <text>Trade for 75 train ride tickets</text>
  </threadedComment>
  <threadedComment ref="T67" dT="2025-05-12T20:12:23.44" personId="{841B0514-C2D0-4706-B688-12B615A3C596}" id="{63F3C373-CB84-4820-A7A9-0B3BB355589A}">
    <text>In-kind for food</text>
  </threadedComment>
  <threadedComment ref="Y67" dT="2025-06-02T21:16:26.09" personId="{841B0514-C2D0-4706-B688-12B615A3C596}" id="{8BDBF72D-32FE-4E49-92CC-A9C9F50A27AA}">
    <text>In-kind for food</text>
  </threadedComment>
  <threadedComment ref="Z67" dT="2025-10-20T16:43:17.59" personId="{841B0514-C2D0-4706-B688-12B615A3C596}" id="{476527D2-6836-44F8-995A-667110B29173}">
    <text>In-kind for continental breakfast.</text>
  </threadedComment>
  <threadedComment ref="AA67" dT="2025-08-07T14:41:15.17" personId="{841B0514-C2D0-4706-B688-12B615A3C596}" id="{84DA8F22-4F2E-4A70-B022-C43CD43EC9CB}">
    <text>$1,200 of in-kind for breakfast to CCS teachers.</text>
  </threadedComment>
  <threadedComment ref="AB73" dT="2025-12-11T18:14:08.05" personId="{841B0514-C2D0-4706-B688-12B615A3C596}" id="{F9BB6825-C065-4711-8887-65501A1521F5}">
    <text>In-kind for toad toters</text>
  </threadedComment>
  <threadedComment ref="T76" dT="2025-05-12T20:12:45.95" personId="{841B0514-C2D0-4706-B688-12B615A3C596}" id="{DE3A18C7-ADAD-4A17-BC8D-DF8CC3EAC5C3}">
    <text>In-kind for food</text>
  </threadedComment>
  <threadedComment ref="T76" dT="2025-05-12T20:18:29.57" personId="{841B0514-C2D0-4706-B688-12B615A3C596}" id="{14DE76AB-7E3D-4715-B39B-C9CCD14FE1FF}" parentId="{DE3A18C7-ADAD-4A17-BC8D-DF8CC3EAC5C3}">
    <text>OTC 1, 2</text>
  </threadedComment>
  <threadedComment ref="Y76" dT="2025-06-02T21:16:26.09" personId="{841B0514-C2D0-4706-B688-12B615A3C596}" id="{98CC53F2-ADA4-423B-A569-9D015EDE4462}">
    <text>In-kind for food</text>
  </threadedComment>
  <threadedComment ref="Z76" dT="2025-10-29T16:26:22.65" personId="{841B0514-C2D0-4706-B688-12B615A3C596}" id="{77BE2CC0-BA8B-4471-B992-3C6CC808F4C5}">
    <text>In-kind for box lunches</text>
  </threadedComment>
  <threadedComment ref="AH85" dT="2025-11-03T15:28:04.29" personId="{841B0514-C2D0-4706-B688-12B615A3C596}" id="{D4971808-CDDC-4B2D-B5CD-74C03B2B975E}">
    <text>In-kind architectural renderings for Farmers Market</text>
  </threadedComment>
  <threadedComment ref="AH90" dT="2025-04-04T21:18:11.28" personId="{841B0514-C2D0-4706-B688-12B615A3C596}" id="{FB70B2CA-7F27-495D-9AB9-8D017CD353AB}">
    <text>M2Ms (8)</text>
  </threadedComment>
  <threadedComment ref="AB117" dT="2025-03-11T21:19:52.38" personId="{841B0514-C2D0-4706-B688-12B615A3C596}" id="{4306B9E3-F330-4719-8DE4-EAF74CBC3A0F}">
    <text>In-kind for 2 RVs + outdoor furniture</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Crystal.Floyd@acxiom.com" TargetMode="External"/><Relationship Id="rId2" Type="http://schemas.openxmlformats.org/officeDocument/2006/relationships/hyperlink" Target="mailto:rfincher@conwayregional.org" TargetMode="External"/><Relationship Id="rId1" Type="http://schemas.openxmlformats.org/officeDocument/2006/relationships/pivotTable" Target="../pivotTables/pivotTable1.xml"/><Relationship Id="rId6" Type="http://schemas.openxmlformats.org/officeDocument/2006/relationships/hyperlink" Target="mailto:jay.bernard.l8if@statefarm.com" TargetMode="External"/><Relationship Id="rId5" Type="http://schemas.openxmlformats.org/officeDocument/2006/relationships/hyperlink" Target="mailto:cate.mcconnell@smithford.com" TargetMode="External"/><Relationship Id="rId4" Type="http://schemas.openxmlformats.org/officeDocument/2006/relationships/hyperlink" Target="mailto:lauren.blackwell@tritechne.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jfaulkner@cbc.edu" TargetMode="External"/><Relationship Id="rId18" Type="http://schemas.openxmlformats.org/officeDocument/2006/relationships/hyperlink" Target="mailto:ADuVall@rockefellerinstitute.org" TargetMode="External"/><Relationship Id="rId26" Type="http://schemas.openxmlformats.org/officeDocument/2006/relationships/hyperlink" Target="mailto:korrygarrett@yahoo.com" TargetMode="External"/><Relationship Id="rId39" Type="http://schemas.openxmlformats.org/officeDocument/2006/relationships/hyperlink" Target="mailto:pete@rockpondpros.com" TargetMode="External"/><Relationship Id="rId21" Type="http://schemas.openxmlformats.org/officeDocument/2006/relationships/hyperlink" Target="mailto:parker@jowenslawfirm.com" TargetMode="External"/><Relationship Id="rId34" Type="http://schemas.openxmlformats.org/officeDocument/2006/relationships/hyperlink" Target="mailto:DanielleDavis@financialguide.com" TargetMode="External"/><Relationship Id="rId42" Type="http://schemas.openxmlformats.org/officeDocument/2006/relationships/hyperlink" Target="mailto:crosscreekcaitlin@gmail.com" TargetMode="External"/><Relationship Id="rId47" Type="http://schemas.openxmlformats.org/officeDocument/2006/relationships/hyperlink" Target="mailto:jake.turpin@claytonhomes.com" TargetMode="External"/><Relationship Id="rId7" Type="http://schemas.openxmlformats.org/officeDocument/2006/relationships/hyperlink" Target="mailto:justin.mccarty@simmonsbank.com" TargetMode="External"/><Relationship Id="rId2" Type="http://schemas.openxmlformats.org/officeDocument/2006/relationships/hyperlink" Target="mailto:scott@excap.com" TargetMode="External"/><Relationship Id="rId16" Type="http://schemas.openxmlformats.org/officeDocument/2006/relationships/hyperlink" Target="mailto:jake.nabholz@nabholz.com" TargetMode="External"/><Relationship Id="rId29" Type="http://schemas.openxmlformats.org/officeDocument/2006/relationships/hyperlink" Target="mailto:KGarrett@hcjcpa.com" TargetMode="External"/><Relationship Id="rId11" Type="http://schemas.openxmlformats.org/officeDocument/2006/relationships/hyperlink" Target="mailto:grace@arconductor.org" TargetMode="External"/><Relationship Id="rId24" Type="http://schemas.openxmlformats.org/officeDocument/2006/relationships/hyperlink" Target="mailto:RMilligan@landmarkcpas.com" TargetMode="External"/><Relationship Id="rId32" Type="http://schemas.openxmlformats.org/officeDocument/2006/relationships/hyperlink" Target="mailto:liz@hnarch.com" TargetMode="External"/><Relationship Id="rId37" Type="http://schemas.openxmlformats.org/officeDocument/2006/relationships/hyperlink" Target="mailto:mbettis@abpg.com" TargetMode="External"/><Relationship Id="rId40" Type="http://schemas.openxmlformats.org/officeDocument/2006/relationships/hyperlink" Target="mailto:valencia.anderson@conwaybh.com" TargetMode="External"/><Relationship Id="rId45" Type="http://schemas.openxmlformats.org/officeDocument/2006/relationships/hyperlink" Target="mailto:idismuke@wacotitle.com" TargetMode="External"/><Relationship Id="rId5" Type="http://schemas.openxmlformats.org/officeDocument/2006/relationships/hyperlink" Target="mailto:rfincher@conwayregional.org" TargetMode="External"/><Relationship Id="rId15" Type="http://schemas.openxmlformats.org/officeDocument/2006/relationships/hyperlink" Target="mailto:morgan.lefler@engagemanagement.com" TargetMode="External"/><Relationship Id="rId23" Type="http://schemas.openxmlformats.org/officeDocument/2006/relationships/hyperlink" Target="mailto:twhite@hsaconsultants.com" TargetMode="External"/><Relationship Id="rId28" Type="http://schemas.openxmlformats.org/officeDocument/2006/relationships/hyperlink" Target="mailto:cody@sowellarchitects.com" TargetMode="External"/><Relationship Id="rId36" Type="http://schemas.openxmlformats.org/officeDocument/2006/relationships/hyperlink" Target="mailto:michelle.mckown@ensono.com" TargetMode="External"/><Relationship Id="rId49" Type="http://schemas.openxmlformats.org/officeDocument/2006/relationships/hyperlink" Target="mailto:melissa.mackay@westrockcoffee.com" TargetMode="External"/><Relationship Id="rId10" Type="http://schemas.openxmlformats.org/officeDocument/2006/relationships/hyperlink" Target="mailto:erin@citychurch.tv" TargetMode="External"/><Relationship Id="rId19" Type="http://schemas.openxmlformats.org/officeDocument/2006/relationships/hyperlink" Target="mailto:emilywalterrealtor@gmail.com" TargetMode="External"/><Relationship Id="rId31" Type="http://schemas.openxmlformats.org/officeDocument/2006/relationships/hyperlink" Target="mailto:smunson@douglascomp.com" TargetMode="External"/><Relationship Id="rId44" Type="http://schemas.openxmlformats.org/officeDocument/2006/relationships/hyperlink" Target="mailto:ebarnes@chambers.bank" TargetMode="External"/><Relationship Id="rId4" Type="http://schemas.openxmlformats.org/officeDocument/2006/relationships/hyperlink" Target="mailto:stevegoode.naturalstate@gmail.com" TargetMode="External"/><Relationship Id="rId9" Type="http://schemas.openxmlformats.org/officeDocument/2006/relationships/hyperlink" Target="mailto:lauren@watsonhomesinc.com" TargetMode="External"/><Relationship Id="rId14" Type="http://schemas.openxmlformats.org/officeDocument/2006/relationships/hyperlink" Target="mailto:andy@justuslandryhawkins.com" TargetMode="External"/><Relationship Id="rId22" Type="http://schemas.openxmlformats.org/officeDocument/2006/relationships/hyperlink" Target="mailto:CarrollJo.Malloy@CARTI.com" TargetMode="External"/><Relationship Id="rId27" Type="http://schemas.openxmlformats.org/officeDocument/2006/relationships/hyperlink" Target="mailto:DLTackett@GarverUSA.com" TargetMode="External"/><Relationship Id="rId30" Type="http://schemas.openxmlformats.org/officeDocument/2006/relationships/hyperlink" Target="mailto:steve.wade@hardwyre.com" TargetMode="External"/><Relationship Id="rId35" Type="http://schemas.openxmlformats.org/officeDocument/2006/relationships/hyperlink" Target="mailto:jessie@jsimetal.com" TargetMode="External"/><Relationship Id="rId43" Type="http://schemas.openxmlformats.org/officeDocument/2006/relationships/hyperlink" Target="mailto:adam@cousinsfurniture.com" TargetMode="External"/><Relationship Id="rId48" Type="http://schemas.openxmlformats.org/officeDocument/2006/relationships/hyperlink" Target="mailto:lacey@bradfordfencing.net" TargetMode="External"/><Relationship Id="rId8" Type="http://schemas.openxmlformats.org/officeDocument/2006/relationships/hyperlink" Target="mailto:Crystal.Floyd@acxiom.com" TargetMode="External"/><Relationship Id="rId3" Type="http://schemas.openxmlformats.org/officeDocument/2006/relationships/hyperlink" Target="mailto:debbie.townsend@ozk.com" TargetMode="External"/><Relationship Id="rId12" Type="http://schemas.openxmlformats.org/officeDocument/2006/relationships/hyperlink" Target="mailto:drew.spurgers@eosworldwide.com" TargetMode="External"/><Relationship Id="rId17" Type="http://schemas.openxmlformats.org/officeDocument/2006/relationships/hyperlink" Target="mailto:mcahillwicks@arvest.com" TargetMode="External"/><Relationship Id="rId25" Type="http://schemas.openxmlformats.org/officeDocument/2006/relationships/hyperlink" Target="mailto:Gester64@yahoo.com" TargetMode="External"/><Relationship Id="rId33" Type="http://schemas.openxmlformats.org/officeDocument/2006/relationships/hyperlink" Target="mailto:kkinley@teamascend.com" TargetMode="External"/><Relationship Id="rId38" Type="http://schemas.openxmlformats.org/officeDocument/2006/relationships/hyperlink" Target="mailto:cpledger@trinitydevelopmentinc.com" TargetMode="External"/><Relationship Id="rId46" Type="http://schemas.openxmlformats.org/officeDocument/2006/relationships/hyperlink" Target="mailto:jakob@davecreekmedia.com" TargetMode="External"/><Relationship Id="rId20" Type="http://schemas.openxmlformats.org/officeDocument/2006/relationships/hyperlink" Target="mailto:michellemallett@ottinsurance.com" TargetMode="External"/><Relationship Id="rId41" Type="http://schemas.openxmlformats.org/officeDocument/2006/relationships/hyperlink" Target="mailto:markbusha@hodgeauto.com" TargetMode="External"/><Relationship Id="rId1" Type="http://schemas.openxmlformats.org/officeDocument/2006/relationships/pivotTable" Target="../pivotTables/pivotTable2.xml"/><Relationship Id="rId6" Type="http://schemas.openxmlformats.org/officeDocument/2006/relationships/hyperlink" Target="mailto:mike.connelly@rogersgroupinc.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cody@sowellarchitects.com;%20emily@sowellarchitects.com" TargetMode="External"/><Relationship Id="rId13" Type="http://schemas.openxmlformats.org/officeDocument/2006/relationships/hyperlink" Target="mailto:stefanie.vann@fsbank.com" TargetMode="External"/><Relationship Id="rId18" Type="http://schemas.openxmlformats.org/officeDocument/2006/relationships/hyperlink" Target="mailto:heather.finch@staleyelectric.com" TargetMode="External"/><Relationship Id="rId26" Type="http://schemas.openxmlformats.org/officeDocument/2006/relationships/hyperlink" Target="mailto:dgoforth@arcu.org" TargetMode="External"/><Relationship Id="rId3" Type="http://schemas.openxmlformats.org/officeDocument/2006/relationships/hyperlink" Target="mailto:rfincher@conwayregional.org" TargetMode="External"/><Relationship Id="rId21" Type="http://schemas.openxmlformats.org/officeDocument/2006/relationships/hyperlink" Target="mailto:andrew@haynesace.com" TargetMode="External"/><Relationship Id="rId7" Type="http://schemas.openxmlformats.org/officeDocument/2006/relationships/hyperlink" Target="mailto:ali@dyermark.com" TargetMode="External"/><Relationship Id="rId12" Type="http://schemas.openxmlformats.org/officeDocument/2006/relationships/hyperlink" Target="mailto:jay.bernard.l8if@statefarm.com" TargetMode="External"/><Relationship Id="rId17" Type="http://schemas.openxmlformats.org/officeDocument/2006/relationships/hyperlink" Target="mailto:crosscreekcaitlin@gmail.com" TargetMode="External"/><Relationship Id="rId25" Type="http://schemas.openxmlformats.org/officeDocument/2006/relationships/hyperlink" Target="mailto:claire@homewardhomes.com" TargetMode="External"/><Relationship Id="rId2" Type="http://schemas.openxmlformats.org/officeDocument/2006/relationships/hyperlink" Target="mailto:rhealana@rhealana.com" TargetMode="External"/><Relationship Id="rId16" Type="http://schemas.openxmlformats.org/officeDocument/2006/relationships/hyperlink" Target="mailto:zack@windowdepotar.com" TargetMode="External"/><Relationship Id="rId20" Type="http://schemas.openxmlformats.org/officeDocument/2006/relationships/hyperlink" Target="mailto:dramandabledsoe@gmail.com;%20sarah@bledsoechiropractic.com" TargetMode="External"/><Relationship Id="rId29" Type="http://schemas.openxmlformats.org/officeDocument/2006/relationships/hyperlink" Target="mailto:Lisa.graham@goblusky.com" TargetMode="External"/><Relationship Id="rId1" Type="http://schemas.openxmlformats.org/officeDocument/2006/relationships/pivotTable" Target="../pivotTables/pivotTable3.xml"/><Relationship Id="rId6" Type="http://schemas.openxmlformats.org/officeDocument/2006/relationships/hyperlink" Target="mailto:michellemallett@ottinsurance.com" TargetMode="External"/><Relationship Id="rId11" Type="http://schemas.openxmlformats.org/officeDocument/2006/relationships/hyperlink" Target="mailto:ebarnes@chambers.bank" TargetMode="External"/><Relationship Id="rId24" Type="http://schemas.openxmlformats.org/officeDocument/2006/relationships/hyperlink" Target="mailto:lauren@watsonhomesinc.com" TargetMode="External"/><Relationship Id="rId5" Type="http://schemas.openxmlformats.org/officeDocument/2006/relationships/hyperlink" Target="mailto:emilywalterrealtor@gmail.com" TargetMode="External"/><Relationship Id="rId15" Type="http://schemas.openxmlformats.org/officeDocument/2006/relationships/hyperlink" Target="mailto:bcardin@prolandtitle.com" TargetMode="External"/><Relationship Id="rId23" Type="http://schemas.openxmlformats.org/officeDocument/2006/relationships/hyperlink" Target="mailto:office@hdroofing-construction.com" TargetMode="External"/><Relationship Id="rId28" Type="http://schemas.openxmlformats.org/officeDocument/2006/relationships/hyperlink" Target="mailto:twhite@hsaconsultants.com" TargetMode="External"/><Relationship Id="rId10" Type="http://schemas.openxmlformats.org/officeDocument/2006/relationships/hyperlink" Target="mailto:stfrancisvet@conwaycorp.net" TargetMode="External"/><Relationship Id="rId19" Type="http://schemas.openxmlformats.org/officeDocument/2006/relationships/hyperlink" Target="mailto:zhale@entergy.com;%20jwarren@entergy.com" TargetMode="External"/><Relationship Id="rId4" Type="http://schemas.openxmlformats.org/officeDocument/2006/relationships/hyperlink" Target="mailto:morgan.lefler@engagemanagement.com" TargetMode="External"/><Relationship Id="rId9" Type="http://schemas.openxmlformats.org/officeDocument/2006/relationships/hyperlink" Target="mailto:ryan@rockcityoutfitters.com" TargetMode="External"/><Relationship Id="rId14" Type="http://schemas.openxmlformats.org/officeDocument/2006/relationships/hyperlink" Target="mailto:a0b0q84.s04749.us@samsclub.com" TargetMode="External"/><Relationship Id="rId22" Type="http://schemas.openxmlformats.org/officeDocument/2006/relationships/hyperlink" Target="mailto:kasonk@advancedwash.com" TargetMode="External"/><Relationship Id="rId27" Type="http://schemas.openxmlformats.org/officeDocument/2006/relationships/hyperlink" Target="mailto:tom.nelson@cadencebank.com" TargetMode="External"/><Relationship Id="rId30" Type="http://schemas.openxmlformats.org/officeDocument/2006/relationships/hyperlink" Target="mailto:rshepherd@uca.edu"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rfincher@conwayregional.org" TargetMode="External"/><Relationship Id="rId2" Type="http://schemas.openxmlformats.org/officeDocument/2006/relationships/hyperlink" Target="mailto:jay@caldwellcares.com" TargetMode="External"/><Relationship Id="rId1" Type="http://schemas.openxmlformats.org/officeDocument/2006/relationships/pivotTable" Target="../pivotTables/pivotTable4.xml"/><Relationship Id="rId6" Type="http://schemas.openxmlformats.org/officeDocument/2006/relationships/hyperlink" Target="mailto:morgan.lefler@engagemanagement.com" TargetMode="External"/><Relationship Id="rId5" Type="http://schemas.openxmlformats.org/officeDocument/2006/relationships/hyperlink" Target="mailto:pmoon@meridiania.com" TargetMode="External"/><Relationship Id="rId4" Type="http://schemas.openxmlformats.org/officeDocument/2006/relationships/hyperlink" Target="mailto:adam@cousinsfurniture.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michellemallett@ottinsurance.com" TargetMode="External"/><Relationship Id="rId13" Type="http://schemas.openxmlformats.org/officeDocument/2006/relationships/hyperlink" Target="mailto:ebarnes@chambers.bank" TargetMode="External"/><Relationship Id="rId18" Type="http://schemas.openxmlformats.org/officeDocument/2006/relationships/hyperlink" Target="mailto:DUSTIN.SMITH@SUPERIORPLUMBINGAR.COM" TargetMode="External"/><Relationship Id="rId26" Type="http://schemas.openxmlformats.org/officeDocument/2006/relationships/hyperlink" Target="mailto:dgoforth@AFCU.org" TargetMode="External"/><Relationship Id="rId3" Type="http://schemas.openxmlformats.org/officeDocument/2006/relationships/hyperlink" Target="mailto:allan.gammill@hilton.com" TargetMode="External"/><Relationship Id="rId21" Type="http://schemas.openxmlformats.org/officeDocument/2006/relationships/hyperlink" Target="mailto:dherring@firststarext.com" TargetMode="External"/><Relationship Id="rId7" Type="http://schemas.openxmlformats.org/officeDocument/2006/relationships/hyperlink" Target="mailto:emilywalterrealtor@gmail.com" TargetMode="External"/><Relationship Id="rId12" Type="http://schemas.openxmlformats.org/officeDocument/2006/relationships/hyperlink" Target="mailto:stfrancisvet@conwaycorp.net" TargetMode="External"/><Relationship Id="rId17" Type="http://schemas.openxmlformats.org/officeDocument/2006/relationships/hyperlink" Target="mailto:bcardin@prolandtitle.com" TargetMode="External"/><Relationship Id="rId25" Type="http://schemas.openxmlformats.org/officeDocument/2006/relationships/hyperlink" Target="mailto:cbrand@nabco.com" TargetMode="External"/><Relationship Id="rId2" Type="http://schemas.openxmlformats.org/officeDocument/2006/relationships/hyperlink" Target="mailto:rhealana@rhealana.com" TargetMode="External"/><Relationship Id="rId16" Type="http://schemas.openxmlformats.org/officeDocument/2006/relationships/hyperlink" Target="mailto:shelley.culwell@sbseniorliving.com" TargetMode="External"/><Relationship Id="rId20" Type="http://schemas.openxmlformats.org/officeDocument/2006/relationships/hyperlink" Target="mailto:nschroeder@fairandcompany.com" TargetMode="External"/><Relationship Id="rId29" Type="http://schemas.openxmlformats.org/officeDocument/2006/relationships/hyperlink" Target="mailto:sarah.shaw@ozk.com" TargetMode="External"/><Relationship Id="rId1" Type="http://schemas.openxmlformats.org/officeDocument/2006/relationships/pivotTable" Target="../pivotTables/pivotTable5.xml"/><Relationship Id="rId6" Type="http://schemas.openxmlformats.org/officeDocument/2006/relationships/hyperlink" Target="mailto:grace@arconductor.org" TargetMode="External"/><Relationship Id="rId11" Type="http://schemas.openxmlformats.org/officeDocument/2006/relationships/hyperlink" Target="mailto:ryan@rockcityoutfitters.com" TargetMode="External"/><Relationship Id="rId24" Type="http://schemas.openxmlformats.org/officeDocument/2006/relationships/hyperlink" Target="mailto:Comeatrieze.ester@gmail.com" TargetMode="External"/><Relationship Id="rId5" Type="http://schemas.openxmlformats.org/officeDocument/2006/relationships/hyperlink" Target="mailto:Crystal.Floyd@acxiom.com" TargetMode="External"/><Relationship Id="rId15" Type="http://schemas.openxmlformats.org/officeDocument/2006/relationships/hyperlink" Target="mailto:idismuke@wacotitle.com" TargetMode="External"/><Relationship Id="rId23" Type="http://schemas.openxmlformats.org/officeDocument/2006/relationships/hyperlink" Target="mailto:cwinter.westport@conwaycorp.net" TargetMode="External"/><Relationship Id="rId28" Type="http://schemas.openxmlformats.org/officeDocument/2006/relationships/hyperlink" Target="mailto:Nedra.allen-jones@littlecreekbehavioral.com" TargetMode="External"/><Relationship Id="rId10" Type="http://schemas.openxmlformats.org/officeDocument/2006/relationships/hyperlink" Target="mailto:cody@sowellarchitects.com" TargetMode="External"/><Relationship Id="rId19" Type="http://schemas.openxmlformats.org/officeDocument/2006/relationships/hyperlink" Target="mailto:nick@nrgins.com" TargetMode="External"/><Relationship Id="rId31" Type="http://schemas.openxmlformats.org/officeDocument/2006/relationships/hyperlink" Target="mailto:zack@windowdepotar.com" TargetMode="External"/><Relationship Id="rId4" Type="http://schemas.openxmlformats.org/officeDocument/2006/relationships/hyperlink" Target="mailto:rfincher@conwayregional.org" TargetMode="External"/><Relationship Id="rId9" Type="http://schemas.openxmlformats.org/officeDocument/2006/relationships/hyperlink" Target="mailto:ali@dyermark.com" TargetMode="External"/><Relationship Id="rId14" Type="http://schemas.openxmlformats.org/officeDocument/2006/relationships/hyperlink" Target="mailto:jay.bernard.l8if@statefarm.com" TargetMode="External"/><Relationship Id="rId22" Type="http://schemas.openxmlformats.org/officeDocument/2006/relationships/hyperlink" Target="mailto:jbasey@marketplacegrill.com" TargetMode="External"/><Relationship Id="rId27" Type="http://schemas.openxmlformats.org/officeDocument/2006/relationships/hyperlink" Target="mailto:mark.jones@verizonwireless.com" TargetMode="External"/><Relationship Id="rId30" Type="http://schemas.openxmlformats.org/officeDocument/2006/relationships/hyperlink" Target="mailto:michelle.mckown@ensono.com"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mailto:bcardin@prolandtitle.com" TargetMode="External"/><Relationship Id="rId21" Type="http://schemas.openxmlformats.org/officeDocument/2006/relationships/hyperlink" Target="mailto:jay.bernard.l8if@statefarm.com" TargetMode="External"/><Relationship Id="rId42" Type="http://schemas.openxmlformats.org/officeDocument/2006/relationships/hyperlink" Target="mailto:shelbyhambuchen@icloud.com" TargetMode="External"/><Relationship Id="rId47" Type="http://schemas.openxmlformats.org/officeDocument/2006/relationships/hyperlink" Target="mailto:David@ahhtownley.com" TargetMode="External"/><Relationship Id="rId63" Type="http://schemas.openxmlformats.org/officeDocument/2006/relationships/hyperlink" Target="mailto:CarrollJo.Malloy@CARTI.com" TargetMode="External"/><Relationship Id="rId68" Type="http://schemas.openxmlformats.org/officeDocument/2006/relationships/vmlDrawing" Target="../drawings/vmlDrawing1.vml"/><Relationship Id="rId7" Type="http://schemas.openxmlformats.org/officeDocument/2006/relationships/hyperlink" Target="mailto:Crystal.Floyd@acxiom.com" TargetMode="External"/><Relationship Id="rId2" Type="http://schemas.openxmlformats.org/officeDocument/2006/relationships/hyperlink" Target="mailto:amber.wyatt1@smilebrands.com" TargetMode="External"/><Relationship Id="rId16" Type="http://schemas.openxmlformats.org/officeDocument/2006/relationships/hyperlink" Target="mailto:Superiorhainc@gmail.com" TargetMode="External"/><Relationship Id="rId29" Type="http://schemas.openxmlformats.org/officeDocument/2006/relationships/hyperlink" Target="mailto:crosscreekcaitlin@gmail.com" TargetMode="External"/><Relationship Id="rId11" Type="http://schemas.openxmlformats.org/officeDocument/2006/relationships/hyperlink" Target="mailto:karenferguson501@gmail.com" TargetMode="External"/><Relationship Id="rId24" Type="http://schemas.openxmlformats.org/officeDocument/2006/relationships/hyperlink" Target="mailto:ahorton@uca.edu" TargetMode="External"/><Relationship Id="rId32" Type="http://schemas.openxmlformats.org/officeDocument/2006/relationships/hyperlink" Target="mailto:tony@shadrachscoffee.com" TargetMode="External"/><Relationship Id="rId37" Type="http://schemas.openxmlformats.org/officeDocument/2006/relationships/hyperlink" Target="mailto:Brandon@ciseandys.com" TargetMode="External"/><Relationship Id="rId40" Type="http://schemas.openxmlformats.org/officeDocument/2006/relationships/hyperlink" Target="mailto:wcompton-hobbs@TheWilsonLawFirm.com" TargetMode="External"/><Relationship Id="rId45" Type="http://schemas.openxmlformats.org/officeDocument/2006/relationships/hyperlink" Target="mailto:June.wood@sos.arkansas.gov" TargetMode="External"/><Relationship Id="rId53" Type="http://schemas.openxmlformats.org/officeDocument/2006/relationships/hyperlink" Target="mailto:lisaweaver@bmrhc.net" TargetMode="External"/><Relationship Id="rId58" Type="http://schemas.openxmlformats.org/officeDocument/2006/relationships/hyperlink" Target="mailto:lstarr@mosestucker.com" TargetMode="External"/><Relationship Id="rId66" Type="http://schemas.openxmlformats.org/officeDocument/2006/relationships/hyperlink" Target="mailto:mayallr@citizensfidelityinsurance.com" TargetMode="External"/><Relationship Id="rId5" Type="http://schemas.openxmlformats.org/officeDocument/2006/relationships/hyperlink" Target="mailto:justin.mccarty@simmonsbank.com" TargetMode="External"/><Relationship Id="rId61" Type="http://schemas.openxmlformats.org/officeDocument/2006/relationships/hyperlink" Target="mailto:hannah@savvysocialcreative.com," TargetMode="External"/><Relationship Id="rId19" Type="http://schemas.openxmlformats.org/officeDocument/2006/relationships/hyperlink" Target="mailto:jakob@davecreekmedia.com" TargetMode="External"/><Relationship Id="rId14" Type="http://schemas.openxmlformats.org/officeDocument/2006/relationships/hyperlink" Target="mailto:westhepestdetective@gmail.com" TargetMode="External"/><Relationship Id="rId22" Type="http://schemas.openxmlformats.org/officeDocument/2006/relationships/hyperlink" Target="mailto:jake.turpin@claytonhomes.com" TargetMode="External"/><Relationship Id="rId27" Type="http://schemas.openxmlformats.org/officeDocument/2006/relationships/hyperlink" Target="mailto:robbin@harvestcannabisarkansas.com" TargetMode="External"/><Relationship Id="rId30" Type="http://schemas.openxmlformats.org/officeDocument/2006/relationships/hyperlink" Target="mailto:David@littlerockconwaysign.com" TargetMode="External"/><Relationship Id="rId35" Type="http://schemas.openxmlformats.org/officeDocument/2006/relationships/hyperlink" Target="mailto:Teresa.wilson@arisahealth.org" TargetMode="External"/><Relationship Id="rId43" Type="http://schemas.openxmlformats.org/officeDocument/2006/relationships/hyperlink" Target="mailto:Tevin.cherry@grifols.com" TargetMode="External"/><Relationship Id="rId48" Type="http://schemas.openxmlformats.org/officeDocument/2006/relationships/hyperlink" Target="mailto:aidan@mrhayniehvac.com" TargetMode="External"/><Relationship Id="rId56" Type="http://schemas.openxmlformats.org/officeDocument/2006/relationships/hyperlink" Target="mailto:robert@pirainosecurity.com" TargetMode="External"/><Relationship Id="rId64" Type="http://schemas.openxmlformats.org/officeDocument/2006/relationships/hyperlink" Target="mailto:pete@rockpondpros.com" TargetMode="External"/><Relationship Id="rId69" Type="http://schemas.openxmlformats.org/officeDocument/2006/relationships/comments" Target="../comments1.xml"/><Relationship Id="rId8" Type="http://schemas.openxmlformats.org/officeDocument/2006/relationships/hyperlink" Target="mailto:grace@arconductor.org" TargetMode="External"/><Relationship Id="rId51" Type="http://schemas.openxmlformats.org/officeDocument/2006/relationships/hyperlink" Target="mailto:bradley@arkansasspineandpain.com" TargetMode="External"/><Relationship Id="rId3" Type="http://schemas.openxmlformats.org/officeDocument/2006/relationships/hyperlink" Target="mailto:allan.gammill@hilton.com" TargetMode="External"/><Relationship Id="rId12" Type="http://schemas.openxmlformats.org/officeDocument/2006/relationships/hyperlink" Target="mailto:AThreats@leaffilter.com" TargetMode="External"/><Relationship Id="rId17" Type="http://schemas.openxmlformats.org/officeDocument/2006/relationships/hyperlink" Target="mailto:adam@cousinsfurniture.com;%20tara@cousinsfurniture.com" TargetMode="External"/><Relationship Id="rId25" Type="http://schemas.openxmlformats.org/officeDocument/2006/relationships/hyperlink" Target="mailto:a0b0q84.s04749.us@samsclub.com" TargetMode="External"/><Relationship Id="rId33" Type="http://schemas.openxmlformats.org/officeDocument/2006/relationships/hyperlink" Target="mailto:Samantha.newman@exprealty.net" TargetMode="External"/><Relationship Id="rId38" Type="http://schemas.openxmlformats.org/officeDocument/2006/relationships/hyperlink" Target="mailto:Brandon@ciseandys.com" TargetMode="External"/><Relationship Id="rId46" Type="http://schemas.openxmlformats.org/officeDocument/2006/relationships/hyperlink" Target="mailto:bphipps@homewellcares.com" TargetMode="External"/><Relationship Id="rId59" Type="http://schemas.openxmlformats.org/officeDocument/2006/relationships/hyperlink" Target="mailto:zack@windowdepotar.com" TargetMode="External"/><Relationship Id="rId67" Type="http://schemas.openxmlformats.org/officeDocument/2006/relationships/hyperlink" Target="mailto:TGIFboss@gmail.com" TargetMode="External"/><Relationship Id="rId20" Type="http://schemas.openxmlformats.org/officeDocument/2006/relationships/hyperlink" Target="mailto:idismuke@wacotitle.com" TargetMode="External"/><Relationship Id="rId41" Type="http://schemas.openxmlformats.org/officeDocument/2006/relationships/hyperlink" Target="mailto:sotees@hotmail.com" TargetMode="External"/><Relationship Id="rId54" Type="http://schemas.openxmlformats.org/officeDocument/2006/relationships/hyperlink" Target="mailto:ed@edallencpa.com" TargetMode="External"/><Relationship Id="rId62" Type="http://schemas.openxmlformats.org/officeDocument/2006/relationships/hyperlink" Target="mailto:actionjacksarkansas@gmail.com" TargetMode="External"/><Relationship Id="rId1" Type="http://schemas.openxmlformats.org/officeDocument/2006/relationships/pivotTable" Target="../pivotTables/pivotTable6.xml"/><Relationship Id="rId6" Type="http://schemas.openxmlformats.org/officeDocument/2006/relationships/hyperlink" Target="mailto:spencer.griffith@agfc.ar.gov" TargetMode="External"/><Relationship Id="rId15" Type="http://schemas.openxmlformats.org/officeDocument/2006/relationships/hyperlink" Target="mailto:DLTackett@GarverUSA.com" TargetMode="External"/><Relationship Id="rId23" Type="http://schemas.openxmlformats.org/officeDocument/2006/relationships/hyperlink" Target="mailto:Lori.Melton@firstcommunity.net" TargetMode="External"/><Relationship Id="rId28" Type="http://schemas.openxmlformats.org/officeDocument/2006/relationships/hyperlink" Target="mailto:kiana.waits@jan-pro.com" TargetMode="External"/><Relationship Id="rId36" Type="http://schemas.openxmlformats.org/officeDocument/2006/relationships/hyperlink" Target="mailto:chensley@alleviant.com" TargetMode="External"/><Relationship Id="rId49" Type="http://schemas.openxmlformats.org/officeDocument/2006/relationships/hyperlink" Target="mailto:jarret.varela@rollingsuds.com" TargetMode="External"/><Relationship Id="rId57" Type="http://schemas.openxmlformats.org/officeDocument/2006/relationships/hyperlink" Target="mailto:melissa.britton@conwayhospitality.com" TargetMode="External"/><Relationship Id="rId10" Type="http://schemas.openxmlformats.org/officeDocument/2006/relationships/hyperlink" Target="mailto:mcahillwicks@arvest.com" TargetMode="External"/><Relationship Id="rId31" Type="http://schemas.openxmlformats.org/officeDocument/2006/relationships/hyperlink" Target="mailto:parker@jowenslawfirm.com" TargetMode="External"/><Relationship Id="rId44" Type="http://schemas.openxmlformats.org/officeDocument/2006/relationships/hyperlink" Target="mailto:conway@smithfamilycares.com" TargetMode="External"/><Relationship Id="rId52" Type="http://schemas.openxmlformats.org/officeDocument/2006/relationships/hyperlink" Target="mailto:vicstenrealtor@gmail.com;%20Comeatrieze.ester@gmail.com" TargetMode="External"/><Relationship Id="rId60" Type="http://schemas.openxmlformats.org/officeDocument/2006/relationships/hyperlink" Target="mailto:Allyn@CuerdenSign.com" TargetMode="External"/><Relationship Id="rId65" Type="http://schemas.openxmlformats.org/officeDocument/2006/relationships/hyperlink" Target="mailto:Traci.Byrd@orthoarkansas.com" TargetMode="External"/><Relationship Id="rId4" Type="http://schemas.openxmlformats.org/officeDocument/2006/relationships/hyperlink" Target="mailto:Brandon.pitcock@directauto.com" TargetMode="External"/><Relationship Id="rId9" Type="http://schemas.openxmlformats.org/officeDocument/2006/relationships/hyperlink" Target="mailto:jfaulkner@cbc.edu" TargetMode="External"/><Relationship Id="rId13" Type="http://schemas.openxmlformats.org/officeDocument/2006/relationships/hyperlink" Target="mailto:ali@dyermark.com" TargetMode="External"/><Relationship Id="rId18" Type="http://schemas.openxmlformats.org/officeDocument/2006/relationships/hyperlink" Target="mailto:ebarnes@chambers.bank" TargetMode="External"/><Relationship Id="rId39" Type="http://schemas.openxmlformats.org/officeDocument/2006/relationships/hyperlink" Target="mailto:heather.finch@staleyelectric.com;%20matt.benton@staleyelectric.com;%20Troy.Lampley@staleyelectric.com" TargetMode="External"/><Relationship Id="rId34" Type="http://schemas.openxmlformats.org/officeDocument/2006/relationships/hyperlink" Target="mailto:jacob@elevatecreative.co" TargetMode="External"/><Relationship Id="rId50" Type="http://schemas.openxmlformats.org/officeDocument/2006/relationships/hyperlink" Target="mailto:scott@excap.com" TargetMode="External"/><Relationship Id="rId55" Type="http://schemas.openxmlformats.org/officeDocument/2006/relationships/hyperlink" Target="mailto:lance.wilson@tempwallsystems.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idismuke@wacotitle.com" TargetMode="External"/><Relationship Id="rId13" Type="http://schemas.openxmlformats.org/officeDocument/2006/relationships/hyperlink" Target="mailto:joey.tanthaphengsai@verizonwireless.com" TargetMode="External"/><Relationship Id="rId3" Type="http://schemas.openxmlformats.org/officeDocument/2006/relationships/hyperlink" Target="mailto:michellemallett@ottinsurance.com" TargetMode="External"/><Relationship Id="rId7" Type="http://schemas.openxmlformats.org/officeDocument/2006/relationships/hyperlink" Target="mailto:adam@cousinsfurniture.com" TargetMode="External"/><Relationship Id="rId12" Type="http://schemas.openxmlformats.org/officeDocument/2006/relationships/hyperlink" Target="mailto:scott@excap.com" TargetMode="External"/><Relationship Id="rId17" Type="http://schemas.openxmlformats.org/officeDocument/2006/relationships/hyperlink" Target="mailto:zack@windowdepotar.com" TargetMode="External"/><Relationship Id="rId2" Type="http://schemas.openxmlformats.org/officeDocument/2006/relationships/hyperlink" Target="mailto:jay@caldwellcares.com" TargetMode="External"/><Relationship Id="rId16" Type="http://schemas.openxmlformats.org/officeDocument/2006/relationships/hyperlink" Target="mailto:belinda.boyd@apmarkansas.net" TargetMode="External"/><Relationship Id="rId1" Type="http://schemas.openxmlformats.org/officeDocument/2006/relationships/pivotTable" Target="../pivotTables/pivotTable7.xml"/><Relationship Id="rId6" Type="http://schemas.openxmlformats.org/officeDocument/2006/relationships/hyperlink" Target="mailto:cpledger@trinitydevelopmentinc.com" TargetMode="External"/><Relationship Id="rId11" Type="http://schemas.openxmlformats.org/officeDocument/2006/relationships/hyperlink" Target="mailto:greg@customglass501.com" TargetMode="External"/><Relationship Id="rId5" Type="http://schemas.openxmlformats.org/officeDocument/2006/relationships/hyperlink" Target="mailto:ryan@rockcityoutfitters.com" TargetMode="External"/><Relationship Id="rId15" Type="http://schemas.openxmlformats.org/officeDocument/2006/relationships/hyperlink" Target="mailto:belinda.boyd@apmarkansas.net" TargetMode="External"/><Relationship Id="rId10" Type="http://schemas.openxmlformats.org/officeDocument/2006/relationships/hyperlink" Target="mailto:alexanderlynbusiness@gmail.com" TargetMode="External"/><Relationship Id="rId4" Type="http://schemas.openxmlformats.org/officeDocument/2006/relationships/hyperlink" Target="mailto:westhepestdetective@gmail.com" TargetMode="External"/><Relationship Id="rId9" Type="http://schemas.openxmlformats.org/officeDocument/2006/relationships/hyperlink" Target="mailto:cwinter.westport@conwaycorp.net" TargetMode="External"/><Relationship Id="rId14" Type="http://schemas.openxmlformats.org/officeDocument/2006/relationships/hyperlink" Target="mailto:bcardin@prolandtitle.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idismuke@wacotitle.com" TargetMode="External"/><Relationship Id="rId13" Type="http://schemas.openxmlformats.org/officeDocument/2006/relationships/hyperlink" Target="mailto:dgainor@financialguide.com" TargetMode="External"/><Relationship Id="rId18" Type="http://schemas.openxmlformats.org/officeDocument/2006/relationships/hyperlink" Target="mailto:jakob@davecreekmedia.com" TargetMode="External"/><Relationship Id="rId26" Type="http://schemas.openxmlformats.org/officeDocument/2006/relationships/hyperlink" Target="mailto:David@littlerockconwaysign.com" TargetMode="External"/><Relationship Id="rId3" Type="http://schemas.openxmlformats.org/officeDocument/2006/relationships/hyperlink" Target="mailto:amyw@uca.edu;" TargetMode="External"/><Relationship Id="rId21" Type="http://schemas.openxmlformats.org/officeDocument/2006/relationships/hyperlink" Target="mailto:Lori.Melton@firstcommunity.net" TargetMode="External"/><Relationship Id="rId7" Type="http://schemas.openxmlformats.org/officeDocument/2006/relationships/hyperlink" Target="mailto:drew.spurgers@eosworldwide.com" TargetMode="External"/><Relationship Id="rId12" Type="http://schemas.openxmlformats.org/officeDocument/2006/relationships/hyperlink" Target="mailto:cody@sowellarchitects.com" TargetMode="External"/><Relationship Id="rId17" Type="http://schemas.openxmlformats.org/officeDocument/2006/relationships/hyperlink" Target="mailto:tom.nelson@cadencebank.com" TargetMode="External"/><Relationship Id="rId25" Type="http://schemas.openxmlformats.org/officeDocument/2006/relationships/hyperlink" Target="mailto:rjohnson@bandapm.com" TargetMode="External"/><Relationship Id="rId2" Type="http://schemas.openxmlformats.org/officeDocument/2006/relationships/hyperlink" Target="mailto:brettberry@chriscraingroup.com" TargetMode="External"/><Relationship Id="rId16" Type="http://schemas.openxmlformats.org/officeDocument/2006/relationships/hyperlink" Target="mailto:jay.bernard.l8if@statefarm.com" TargetMode="External"/><Relationship Id="rId20" Type="http://schemas.openxmlformats.org/officeDocument/2006/relationships/hyperlink" Target="mailto:jake.turpin@claytonhomes.com" TargetMode="External"/><Relationship Id="rId29" Type="http://schemas.openxmlformats.org/officeDocument/2006/relationships/hyperlink" Target="mailto:kdimitrova@werarch.com" TargetMode="External"/><Relationship Id="rId1" Type="http://schemas.openxmlformats.org/officeDocument/2006/relationships/pivotTable" Target="../pivotTables/pivotTable8.xml"/><Relationship Id="rId6" Type="http://schemas.openxmlformats.org/officeDocument/2006/relationships/hyperlink" Target="mailto:mcahillwicks@arvest.com" TargetMode="External"/><Relationship Id="rId11" Type="http://schemas.openxmlformats.org/officeDocument/2006/relationships/hyperlink" Target="mailto:DLTackett@GarverUSA.com" TargetMode="External"/><Relationship Id="rId24" Type="http://schemas.openxmlformats.org/officeDocument/2006/relationships/hyperlink" Target="mailto:robbin@harvestcannabisarkansas.com" TargetMode="External"/><Relationship Id="rId5" Type="http://schemas.openxmlformats.org/officeDocument/2006/relationships/hyperlink" Target="mailto:grace@arconductor.org" TargetMode="External"/><Relationship Id="rId15" Type="http://schemas.openxmlformats.org/officeDocument/2006/relationships/hyperlink" Target="mailto:cpledger@trinitydevelopmentinc.com" TargetMode="External"/><Relationship Id="rId23" Type="http://schemas.openxmlformats.org/officeDocument/2006/relationships/hyperlink" Target="mailto:tmalcolm@summitutilities.com" TargetMode="External"/><Relationship Id="rId28" Type="http://schemas.openxmlformats.org/officeDocument/2006/relationships/hyperlink" Target="mailto:brian.mcmillian@mcgeorgecontracting.com" TargetMode="External"/><Relationship Id="rId10" Type="http://schemas.openxmlformats.org/officeDocument/2006/relationships/hyperlink" Target="mailto:RMilligan@landmarkcpas.com" TargetMode="External"/><Relationship Id="rId19" Type="http://schemas.openxmlformats.org/officeDocument/2006/relationships/hyperlink" Target="mailto:Valencia.Anderson@conwaybh.com" TargetMode="External"/><Relationship Id="rId31" Type="http://schemas.openxmlformats.org/officeDocument/2006/relationships/printerSettings" Target="../printerSettings/printerSettings1.bin"/><Relationship Id="rId4" Type="http://schemas.openxmlformats.org/officeDocument/2006/relationships/hyperlink" Target="mailto:Crystal.Floyd@acxiom.com" TargetMode="External"/><Relationship Id="rId9" Type="http://schemas.openxmlformats.org/officeDocument/2006/relationships/hyperlink" Target="mailto:twhite@hsaconsultants.com" TargetMode="External"/><Relationship Id="rId14" Type="http://schemas.openxmlformats.org/officeDocument/2006/relationships/hyperlink" Target="mailto:HoppisM@cintas.com" TargetMode="External"/><Relationship Id="rId22" Type="http://schemas.openxmlformats.org/officeDocument/2006/relationships/hyperlink" Target="mailto:will.ford@westrockcoffee.com" TargetMode="External"/><Relationship Id="rId27" Type="http://schemas.openxmlformats.org/officeDocument/2006/relationships/hyperlink" Target="mailto:ben@fureighinc.com" TargetMode="External"/><Relationship Id="rId30" Type="http://schemas.openxmlformats.org/officeDocument/2006/relationships/hyperlink" Target="mailto:hjones@hartconllc.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jay.bernard.l8if@statefarm.com" TargetMode="External"/><Relationship Id="rId3" Type="http://schemas.openxmlformats.org/officeDocument/2006/relationships/hyperlink" Target="mailto:Crystal.Floyd@acxiom.com" TargetMode="External"/><Relationship Id="rId7" Type="http://schemas.openxmlformats.org/officeDocument/2006/relationships/hyperlink" Target="mailto:DLTackett@GarverUSA.com" TargetMode="External"/><Relationship Id="rId12" Type="http://schemas.openxmlformats.org/officeDocument/2006/relationships/hyperlink" Target="mailto:greg.phillips@arkansas.gov" TargetMode="External"/><Relationship Id="rId2" Type="http://schemas.openxmlformats.org/officeDocument/2006/relationships/hyperlink" Target="mailto:amyw@uca.edu;%20mlackie@uca.edu" TargetMode="External"/><Relationship Id="rId1" Type="http://schemas.openxmlformats.org/officeDocument/2006/relationships/pivotTable" Target="../pivotTables/pivotTable9.xml"/><Relationship Id="rId6" Type="http://schemas.openxmlformats.org/officeDocument/2006/relationships/hyperlink" Target="mailto:michellemallett@ottinsurance.com" TargetMode="External"/><Relationship Id="rId11" Type="http://schemas.openxmlformats.org/officeDocument/2006/relationships/hyperlink" Target="mailto:morgan.lefler@engagemanagement.com" TargetMode="External"/><Relationship Id="rId5" Type="http://schemas.openxmlformats.org/officeDocument/2006/relationships/hyperlink" Target="mailto:mcahillwicks@arvest.com" TargetMode="External"/><Relationship Id="rId10" Type="http://schemas.openxmlformats.org/officeDocument/2006/relationships/hyperlink" Target="mailto:crosscreekcaitlin@gmail.com" TargetMode="External"/><Relationship Id="rId4" Type="http://schemas.openxmlformats.org/officeDocument/2006/relationships/hyperlink" Target="mailto:grace@arconductor.org" TargetMode="External"/><Relationship Id="rId9" Type="http://schemas.openxmlformats.org/officeDocument/2006/relationships/hyperlink" Target="mailto:jake.turpin@claytonhomes.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jake.turpin@claytonhomes.com" TargetMode="External"/><Relationship Id="rId3" Type="http://schemas.openxmlformats.org/officeDocument/2006/relationships/hyperlink" Target="mailto:velda@veldalueders.com" TargetMode="External"/><Relationship Id="rId7" Type="http://schemas.openxmlformats.org/officeDocument/2006/relationships/hyperlink" Target="mailto:jake.turpin@claytonhomes.com" TargetMode="External"/><Relationship Id="rId2" Type="http://schemas.openxmlformats.org/officeDocument/2006/relationships/hyperlink" Target="mailto:jfaulkner@cbc.edu" TargetMode="External"/><Relationship Id="rId1" Type="http://schemas.openxmlformats.org/officeDocument/2006/relationships/pivotTable" Target="../pivotTables/pivotTable10.xml"/><Relationship Id="rId6" Type="http://schemas.openxmlformats.org/officeDocument/2006/relationships/hyperlink" Target="mailto:jake.turpin@claytonhomes.com" TargetMode="External"/><Relationship Id="rId5" Type="http://schemas.openxmlformats.org/officeDocument/2006/relationships/hyperlink" Target="mailto:velda@veldalueders.com" TargetMode="External"/><Relationship Id="rId10" Type="http://schemas.openxmlformats.org/officeDocument/2006/relationships/hyperlink" Target="mailto:zack@windowdepotar.com" TargetMode="External"/><Relationship Id="rId4" Type="http://schemas.openxmlformats.org/officeDocument/2006/relationships/hyperlink" Target="mailto:velda@veldalueders.com" TargetMode="External"/><Relationship Id="rId9" Type="http://schemas.openxmlformats.org/officeDocument/2006/relationships/hyperlink" Target="mailto:lindsay.immel@cmmcdonald.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ke.turpin@claytonhomes.com" TargetMode="External"/><Relationship Id="rId13" Type="http://schemas.openxmlformats.org/officeDocument/2006/relationships/hyperlink" Target="mailto:nick@nrgins.com" TargetMode="External"/><Relationship Id="rId18" Type="http://schemas.openxmlformats.org/officeDocument/2006/relationships/hyperlink" Target="mailto:elizabeth.bondoc@smilebrands.com" TargetMode="External"/><Relationship Id="rId3" Type="http://schemas.openxmlformats.org/officeDocument/2006/relationships/hyperlink" Target="mailto:spencer.griffith@agfc.ar.gov" TargetMode="External"/><Relationship Id="rId21" Type="http://schemas.openxmlformats.org/officeDocument/2006/relationships/hyperlink" Target="mailto:huskyhvacr@gmail.com" TargetMode="External"/><Relationship Id="rId7" Type="http://schemas.openxmlformats.org/officeDocument/2006/relationships/hyperlink" Target="mailto:jay.bernard.l8if@statefarm.com" TargetMode="External"/><Relationship Id="rId12" Type="http://schemas.openxmlformats.org/officeDocument/2006/relationships/hyperlink" Target="mailto:leahbrownera@gmail.com" TargetMode="External"/><Relationship Id="rId17" Type="http://schemas.openxmlformats.org/officeDocument/2006/relationships/hyperlink" Target="mailto:mwhiting@uca.edu" TargetMode="External"/><Relationship Id="rId25" Type="http://schemas.openxmlformats.org/officeDocument/2006/relationships/hyperlink" Target="mailto:jmatlock@littlerock.gov" TargetMode="External"/><Relationship Id="rId2" Type="http://schemas.openxmlformats.org/officeDocument/2006/relationships/hyperlink" Target="mailto:Beth.Jimmerson@ConwayCorp.com" TargetMode="External"/><Relationship Id="rId16" Type="http://schemas.openxmlformats.org/officeDocument/2006/relationships/hyperlink" Target="mailto:lhammers@cbrpm.com" TargetMode="External"/><Relationship Id="rId20" Type="http://schemas.openxmlformats.org/officeDocument/2006/relationships/hyperlink" Target="mailto:ddees@ltdconnect.com;%20christiancrain@crainteam.net;%20cameronburdess@crainteam.net;%20justinkervin@crainteam.net" TargetMode="External"/><Relationship Id="rId1" Type="http://schemas.openxmlformats.org/officeDocument/2006/relationships/pivotTable" Target="../pivotTables/pivotTable11.xml"/><Relationship Id="rId6" Type="http://schemas.openxmlformats.org/officeDocument/2006/relationships/hyperlink" Target="mailto:cpledger@trinitydevelopmentinc.com" TargetMode="External"/><Relationship Id="rId11" Type="http://schemas.openxmlformats.org/officeDocument/2006/relationships/hyperlink" Target="mailto:hayley.bell@cnent.com;%20TEESHA.RICHARDSON@CNENT.COM;SAMANTHA.FOURKILLER@CNENT.COM" TargetMode="External"/><Relationship Id="rId24" Type="http://schemas.openxmlformats.org/officeDocument/2006/relationships/hyperlink" Target="mailto:matthew.carpenter@edwardjones.com" TargetMode="External"/><Relationship Id="rId5" Type="http://schemas.openxmlformats.org/officeDocument/2006/relationships/hyperlink" Target="mailto:karenferguson501@gmail.com" TargetMode="External"/><Relationship Id="rId15" Type="http://schemas.openxmlformats.org/officeDocument/2006/relationships/hyperlink" Target="mailto:michellemallett@ottinsurance.com" TargetMode="External"/><Relationship Id="rId23" Type="http://schemas.openxmlformats.org/officeDocument/2006/relationships/hyperlink" Target="mailto:admin@superiorhrc.com" TargetMode="External"/><Relationship Id="rId10" Type="http://schemas.openxmlformats.org/officeDocument/2006/relationships/hyperlink" Target="mailto:tbreeding@sjbulldogs.org" TargetMode="External"/><Relationship Id="rId19" Type="http://schemas.openxmlformats.org/officeDocument/2006/relationships/hyperlink" Target="mailto:sthacker@harpsfood.com" TargetMode="External"/><Relationship Id="rId4" Type="http://schemas.openxmlformats.org/officeDocument/2006/relationships/hyperlink" Target="mailto:mcahillwicks@arvest.com" TargetMode="External"/><Relationship Id="rId9" Type="http://schemas.openxmlformats.org/officeDocument/2006/relationships/hyperlink" Target="mailto:Lori.Melton@firstcommunity.net" TargetMode="External"/><Relationship Id="rId14" Type="http://schemas.openxmlformats.org/officeDocument/2006/relationships/hyperlink" Target="mailto:dgoforth@afcu.org" TargetMode="External"/><Relationship Id="rId22" Type="http://schemas.openxmlformats.org/officeDocument/2006/relationships/hyperlink" Target="mailto:kent@wholehogconway.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tkane@stephens.com" TargetMode="External"/><Relationship Id="rId3" Type="http://schemas.openxmlformats.org/officeDocument/2006/relationships/hyperlink" Target="mailto:CarrollJo.Malloy@CARTI.com" TargetMode="External"/><Relationship Id="rId7" Type="http://schemas.openxmlformats.org/officeDocument/2006/relationships/hyperlink" Target="mailto:David@littlerockconwaysign.com" TargetMode="External"/><Relationship Id="rId2" Type="http://schemas.openxmlformats.org/officeDocument/2006/relationships/hyperlink" Target="mailto:amyw@uca.edu;" TargetMode="External"/><Relationship Id="rId1" Type="http://schemas.openxmlformats.org/officeDocument/2006/relationships/pivotTable" Target="../pivotTables/pivotTable12.xml"/><Relationship Id="rId6" Type="http://schemas.openxmlformats.org/officeDocument/2006/relationships/hyperlink" Target="mailto:dhawsey@deltadentalar.com" TargetMode="External"/><Relationship Id="rId11" Type="http://schemas.openxmlformats.org/officeDocument/2006/relationships/hyperlink" Target="mailto:bherrin@abbysl.com" TargetMode="External"/><Relationship Id="rId5" Type="http://schemas.openxmlformats.org/officeDocument/2006/relationships/hyperlink" Target="mailto:Stefanie.Vann@fsbank.com" TargetMode="External"/><Relationship Id="rId10" Type="http://schemas.openxmlformats.org/officeDocument/2006/relationships/hyperlink" Target="mailto:briggsjr@conwaycorp.net" TargetMode="External"/><Relationship Id="rId4" Type="http://schemas.openxmlformats.org/officeDocument/2006/relationships/hyperlink" Target="mailto:HoppisM@cintas.com" TargetMode="External"/><Relationship Id="rId9" Type="http://schemas.openxmlformats.org/officeDocument/2006/relationships/hyperlink" Target="mailto:nedra.allen-jones@littlecreekbehavioral.com" TargetMode="Externa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3" Type="http://schemas.openxmlformats.org/officeDocument/2006/relationships/hyperlink" Target="mailto:ceo@turbare.org;%20awhite@turbare.org" TargetMode="External"/><Relationship Id="rId7" Type="http://schemas.openxmlformats.org/officeDocument/2006/relationships/hyperlink" Target="mailto:emilywalterrealtor@gmail.com" TargetMode="External"/><Relationship Id="rId2" Type="http://schemas.openxmlformats.org/officeDocument/2006/relationships/hyperlink" Target="mailto:Crystal.Floyd@acxiom.com" TargetMode="External"/><Relationship Id="rId1" Type="http://schemas.openxmlformats.org/officeDocument/2006/relationships/pivotTable" Target="../pivotTables/pivotTable14.xml"/><Relationship Id="rId6" Type="http://schemas.openxmlformats.org/officeDocument/2006/relationships/hyperlink" Target="mailto:ADuVall@rockefellerinstitute.org" TargetMode="External"/><Relationship Id="rId5" Type="http://schemas.openxmlformats.org/officeDocument/2006/relationships/hyperlink" Target="mailto:j.clawson@uwcark.org" TargetMode="External"/><Relationship Id="rId4" Type="http://schemas.openxmlformats.org/officeDocument/2006/relationships/hyperlink" Target="mailto:jfaulkner@cbc.edu"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mailto:tom.nelson@cadencebank.com" TargetMode="External"/><Relationship Id="rId3" Type="http://schemas.openxmlformats.org/officeDocument/2006/relationships/hyperlink" Target="mailto:Crystal.Kemp@conwaycorp.com" TargetMode="External"/><Relationship Id="rId7" Type="http://schemas.openxmlformats.org/officeDocument/2006/relationships/hyperlink" Target="mailto:mcahillwicks@arvest.com" TargetMode="External"/><Relationship Id="rId2" Type="http://schemas.openxmlformats.org/officeDocument/2006/relationships/hyperlink" Target="mailto:amyw@uca.edu;" TargetMode="External"/><Relationship Id="rId1" Type="http://schemas.openxmlformats.org/officeDocument/2006/relationships/pivotTable" Target="../pivotTables/pivotTable15.xml"/><Relationship Id="rId6" Type="http://schemas.openxmlformats.org/officeDocument/2006/relationships/hyperlink" Target="mailto:grace@arconductor.org" TargetMode="External"/><Relationship Id="rId5" Type="http://schemas.openxmlformats.org/officeDocument/2006/relationships/hyperlink" Target="mailto:Crystal.Floyd@acxiom.com" TargetMode="External"/><Relationship Id="rId10" Type="http://schemas.openxmlformats.org/officeDocument/2006/relationships/hyperlink" Target="mailto:leahbrownera@gmail.com" TargetMode="External"/><Relationship Id="rId4" Type="http://schemas.openxmlformats.org/officeDocument/2006/relationships/hyperlink" Target="mailto:rfincher@conwayregional.org" TargetMode="External"/><Relationship Id="rId9" Type="http://schemas.openxmlformats.org/officeDocument/2006/relationships/hyperlink" Target="mailto:jake.turpin@claytonhomes.co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mailto:twhite@hsaconsultants.com" TargetMode="External"/><Relationship Id="rId3" Type="http://schemas.openxmlformats.org/officeDocument/2006/relationships/hyperlink" Target="mailto:Crystal.Floyd@acxiom.com" TargetMode="External"/><Relationship Id="rId7" Type="http://schemas.openxmlformats.org/officeDocument/2006/relationships/hyperlink" Target="mailto:mcahillwicks@arvest.com" TargetMode="External"/><Relationship Id="rId12" Type="http://schemas.openxmlformats.org/officeDocument/2006/relationships/hyperlink" Target="mailto:Grant.Gordy@firstcommunity.net" TargetMode="External"/><Relationship Id="rId2" Type="http://schemas.openxmlformats.org/officeDocument/2006/relationships/hyperlink" Target="mailto:amyw@uca.edu;" TargetMode="External"/><Relationship Id="rId1" Type="http://schemas.openxmlformats.org/officeDocument/2006/relationships/pivotTable" Target="../pivotTables/pivotTable16.xml"/><Relationship Id="rId6" Type="http://schemas.openxmlformats.org/officeDocument/2006/relationships/hyperlink" Target="mailto:tom.grumbles@firstservicebank.com" TargetMode="External"/><Relationship Id="rId11" Type="http://schemas.openxmlformats.org/officeDocument/2006/relationships/hyperlink" Target="mailto:jamar.murchison@claytonhomes.com" TargetMode="External"/><Relationship Id="rId5" Type="http://schemas.openxmlformats.org/officeDocument/2006/relationships/hyperlink" Target="mailto:grace@arconductor.org" TargetMode="External"/><Relationship Id="rId10" Type="http://schemas.openxmlformats.org/officeDocument/2006/relationships/hyperlink" Target="mailto:will.ford@westrockcoffee.com" TargetMode="External"/><Relationship Id="rId4" Type="http://schemas.openxmlformats.org/officeDocument/2006/relationships/hyperlink" Target="mailto:lauren.blackwell@tritechne.com" TargetMode="External"/><Relationship Id="rId9" Type="http://schemas.openxmlformats.org/officeDocument/2006/relationships/hyperlink" Target="mailto:DLTackett@GarverUSA.com"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mailto:michellemallett@ottinsurance.com" TargetMode="External"/><Relationship Id="rId18" Type="http://schemas.openxmlformats.org/officeDocument/2006/relationships/hyperlink" Target="mailto:cpledger@trinitydevelopmentinc.com" TargetMode="External"/><Relationship Id="rId26" Type="http://schemas.openxmlformats.org/officeDocument/2006/relationships/hyperlink" Target="mailto:mbettis@abpg.com" TargetMode="External"/><Relationship Id="rId3" Type="http://schemas.openxmlformats.org/officeDocument/2006/relationships/hyperlink" Target="mailto:ADuVall@rockefellerinstitute.org" TargetMode="External"/><Relationship Id="rId21" Type="http://schemas.openxmlformats.org/officeDocument/2006/relationships/hyperlink" Target="mailto:john@freyaldenhoven.com" TargetMode="External"/><Relationship Id="rId34" Type="http://schemas.openxmlformats.org/officeDocument/2006/relationships/hyperlink" Target="mailto:pphillips@crewsfs.com" TargetMode="External"/><Relationship Id="rId7" Type="http://schemas.openxmlformats.org/officeDocument/2006/relationships/hyperlink" Target="mailto:jessica@klaasmeyer.com" TargetMode="External"/><Relationship Id="rId12" Type="http://schemas.openxmlformats.org/officeDocument/2006/relationships/hyperlink" Target="mailto:brad.hyde@arisahealth.org" TargetMode="External"/><Relationship Id="rId17" Type="http://schemas.openxmlformats.org/officeDocument/2006/relationships/hyperlink" Target="mailto:jstalnaker@weaverbailey.com" TargetMode="External"/><Relationship Id="rId25" Type="http://schemas.openxmlformats.org/officeDocument/2006/relationships/hyperlink" Target="mailto:jay@caldwellcares.com" TargetMode="External"/><Relationship Id="rId33" Type="http://schemas.openxmlformats.org/officeDocument/2006/relationships/hyperlink" Target="mailto:KGarrett@hcjcpa.com" TargetMode="External"/><Relationship Id="rId2" Type="http://schemas.openxmlformats.org/officeDocument/2006/relationships/hyperlink" Target="mailto:Crystal.Floyd@acxiom.com" TargetMode="External"/><Relationship Id="rId16" Type="http://schemas.openxmlformats.org/officeDocument/2006/relationships/hyperlink" Target="mailto:claire@homewardhomes.com" TargetMode="External"/><Relationship Id="rId20" Type="http://schemas.openxmlformats.org/officeDocument/2006/relationships/hyperlink" Target="mailto:RMilligan@landmarkcpas.com" TargetMode="External"/><Relationship Id="rId29" Type="http://schemas.openxmlformats.org/officeDocument/2006/relationships/hyperlink" Target="mailto:pmoon@meridiania.com" TargetMode="External"/><Relationship Id="rId1" Type="http://schemas.openxmlformats.org/officeDocument/2006/relationships/pivotTable" Target="../pivotTables/pivotTable17.xml"/><Relationship Id="rId6" Type="http://schemas.openxmlformats.org/officeDocument/2006/relationships/hyperlink" Target="mailto:jay.bernard.l8if@statefarm.com" TargetMode="External"/><Relationship Id="rId11" Type="http://schemas.openxmlformats.org/officeDocument/2006/relationships/hyperlink" Target="mailto:christina@farrisagency.com" TargetMode="External"/><Relationship Id="rId24" Type="http://schemas.openxmlformats.org/officeDocument/2006/relationships/hyperlink" Target="mailto:kasonk@advancedwashnetwork.com" TargetMode="External"/><Relationship Id="rId32" Type="http://schemas.openxmlformats.org/officeDocument/2006/relationships/hyperlink" Target="mailto:bailey@malys-entertainment.com" TargetMode="External"/><Relationship Id="rId5" Type="http://schemas.openxmlformats.org/officeDocument/2006/relationships/hyperlink" Target="mailto:adam@cousinsfurniture.com" TargetMode="External"/><Relationship Id="rId15" Type="http://schemas.openxmlformats.org/officeDocument/2006/relationships/hyperlink" Target="mailto:karenferguson501@gmail.com" TargetMode="External"/><Relationship Id="rId23" Type="http://schemas.openxmlformats.org/officeDocument/2006/relationships/hyperlink" Target="mailto:rickey.reynolds@smurfitwestrock.com;%20austin.tiner@smurfitwestrock.com" TargetMode="External"/><Relationship Id="rId28" Type="http://schemas.openxmlformats.org/officeDocument/2006/relationships/hyperlink" Target="mailto:Scott.L.Champlin@snapon.com" TargetMode="External"/><Relationship Id="rId36" Type="http://schemas.openxmlformats.org/officeDocument/2006/relationships/hyperlink" Target="mailto:ehurst@cartyco.com" TargetMode="External"/><Relationship Id="rId10" Type="http://schemas.openxmlformats.org/officeDocument/2006/relationships/hyperlink" Target="mailto:sthacker@harpsfood.com" TargetMode="External"/><Relationship Id="rId19" Type="http://schemas.openxmlformats.org/officeDocument/2006/relationships/hyperlink" Target="mailto:asbellr@interstatecargo.com;%20lschreckhise@trailersplus.com" TargetMode="External"/><Relationship Id="rId31" Type="http://schemas.openxmlformats.org/officeDocument/2006/relationships/hyperlink" Target="mailto:morgan.lefler@engagemanagement.com" TargetMode="External"/><Relationship Id="rId4" Type="http://schemas.openxmlformats.org/officeDocument/2006/relationships/hyperlink" Target="mailto:DLTackett@GarverUSA.com" TargetMode="External"/><Relationship Id="rId9" Type="http://schemas.openxmlformats.org/officeDocument/2006/relationships/hyperlink" Target="mailto:rfincher@conwayregional.org" TargetMode="External"/><Relationship Id="rId14" Type="http://schemas.openxmlformats.org/officeDocument/2006/relationships/hyperlink" Target="mailto:emilywalterrealtor@gmail.com" TargetMode="External"/><Relationship Id="rId22" Type="http://schemas.openxmlformats.org/officeDocument/2006/relationships/hyperlink" Target="mailto:bgwatney@asiagents.com" TargetMode="External"/><Relationship Id="rId27" Type="http://schemas.openxmlformats.org/officeDocument/2006/relationships/hyperlink" Target="mailto:allison.ornelas@cnent.com" TargetMode="External"/><Relationship Id="rId30" Type="http://schemas.openxmlformats.org/officeDocument/2006/relationships/hyperlink" Target="mailto:jmouser@salterconst.com" TargetMode="External"/><Relationship Id="rId35" Type="http://schemas.openxmlformats.org/officeDocument/2006/relationships/hyperlink" Target="mailto:patti@stobys.com" TargetMode="External"/><Relationship Id="rId8" Type="http://schemas.openxmlformats.org/officeDocument/2006/relationships/hyperlink" Target="mailto:ben@fureighinc.com"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mailto:frostyourcakestudio@gmail.com" TargetMode="External"/><Relationship Id="rId3" Type="http://schemas.openxmlformats.org/officeDocument/2006/relationships/hyperlink" Target="mailto:cody@sowellarchitects.com" TargetMode="External"/><Relationship Id="rId7" Type="http://schemas.openxmlformats.org/officeDocument/2006/relationships/hyperlink" Target="mailto:crosscreekcaitlin@gmail.com" TargetMode="External"/><Relationship Id="rId2" Type="http://schemas.openxmlformats.org/officeDocument/2006/relationships/hyperlink" Target="mailto:karenferguson501@gmail.com" TargetMode="External"/><Relationship Id="rId1" Type="http://schemas.openxmlformats.org/officeDocument/2006/relationships/pivotTable" Target="../pivotTables/pivotTable18.xml"/><Relationship Id="rId6" Type="http://schemas.openxmlformats.org/officeDocument/2006/relationships/hyperlink" Target="mailto:jake.turpin@claytonhomes.com" TargetMode="External"/><Relationship Id="rId11" Type="http://schemas.openxmlformats.org/officeDocument/2006/relationships/hyperlink" Target="mailto:Destiny.Lankford@firstservicebank.com;%20Justin.Welter@firstservicebank.com" TargetMode="External"/><Relationship Id="rId5" Type="http://schemas.openxmlformats.org/officeDocument/2006/relationships/hyperlink" Target="mailto:adam@cousinsfurniture.com" TargetMode="External"/><Relationship Id="rId10" Type="http://schemas.openxmlformats.org/officeDocument/2006/relationships/hyperlink" Target="mailto:blake@smithfamilypharmacy.com" TargetMode="External"/><Relationship Id="rId4" Type="http://schemas.openxmlformats.org/officeDocument/2006/relationships/hyperlink" Target="mailto:office@hdroofing-construction.com" TargetMode="External"/><Relationship Id="rId9" Type="http://schemas.openxmlformats.org/officeDocument/2006/relationships/hyperlink" Target="mailto:ireyonia_n_felix@homedepot.com"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mailto:cbrand@nabco.com" TargetMode="External"/><Relationship Id="rId3" Type="http://schemas.openxmlformats.org/officeDocument/2006/relationships/hyperlink" Target="mailto:Crystal.Floyd@acxiom.com" TargetMode="External"/><Relationship Id="rId7" Type="http://schemas.openxmlformats.org/officeDocument/2006/relationships/hyperlink" Target="mailto:tmalcolm@summitutilities.com" TargetMode="External"/><Relationship Id="rId2" Type="http://schemas.openxmlformats.org/officeDocument/2006/relationships/hyperlink" Target="mailto:amyw@uca.edu;" TargetMode="External"/><Relationship Id="rId1" Type="http://schemas.openxmlformats.org/officeDocument/2006/relationships/pivotTable" Target="../pivotTables/pivotTable19.xml"/><Relationship Id="rId6" Type="http://schemas.openxmlformats.org/officeDocument/2006/relationships/hyperlink" Target="mailto:jake.turpin@claytonhomes.com" TargetMode="External"/><Relationship Id="rId5" Type="http://schemas.openxmlformats.org/officeDocument/2006/relationships/hyperlink" Target="mailto:DLTackett@GarverUSA.com" TargetMode="External"/><Relationship Id="rId4" Type="http://schemas.openxmlformats.org/officeDocument/2006/relationships/hyperlink" Target="mailto:jfaulkner@cbc.edu"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mailto:jbasey@marketplacegrill.com" TargetMode="External"/><Relationship Id="rId3" Type="http://schemas.openxmlformats.org/officeDocument/2006/relationships/hyperlink" Target="mailto:twhite@hsaconsultants.com" TargetMode="External"/><Relationship Id="rId7" Type="http://schemas.openxmlformats.org/officeDocument/2006/relationships/hyperlink" Target="mailto:jbasey@marketplacegrill.com" TargetMode="External"/><Relationship Id="rId2" Type="http://schemas.openxmlformats.org/officeDocument/2006/relationships/hyperlink" Target="mailto:rfincher@conwayregional.org" TargetMode="External"/><Relationship Id="rId1" Type="http://schemas.openxmlformats.org/officeDocument/2006/relationships/pivotTable" Target="../pivotTables/pivotTable20.xml"/><Relationship Id="rId6" Type="http://schemas.openxmlformats.org/officeDocument/2006/relationships/hyperlink" Target="mailto:Brandon@ciseandys.com" TargetMode="External"/><Relationship Id="rId5" Type="http://schemas.openxmlformats.org/officeDocument/2006/relationships/hyperlink" Target="mailto:DSchwartz@my100bank.com" TargetMode="External"/><Relationship Id="rId4" Type="http://schemas.openxmlformats.org/officeDocument/2006/relationships/hyperlink" Target="mailto:gcronkhite@ticold.com"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mailto:robbin@harvestcannabisarkansas.com" TargetMode="External"/><Relationship Id="rId13" Type="http://schemas.openxmlformats.org/officeDocument/2006/relationships/hyperlink" Target="mailto:David@littlerockconwaysign.com" TargetMode="External"/><Relationship Id="rId3" Type="http://schemas.openxmlformats.org/officeDocument/2006/relationships/hyperlink" Target="mailto:grace@arconductor.org" TargetMode="External"/><Relationship Id="rId7" Type="http://schemas.openxmlformats.org/officeDocument/2006/relationships/hyperlink" Target="mailto:jake.turpin@claytonhomes.com" TargetMode="External"/><Relationship Id="rId12" Type="http://schemas.openxmlformats.org/officeDocument/2006/relationships/hyperlink" Target="mailto:jhaas@publicpower.org" TargetMode="External"/><Relationship Id="rId2" Type="http://schemas.openxmlformats.org/officeDocument/2006/relationships/hyperlink" Target="mailto:amyw@uca.edu;" TargetMode="External"/><Relationship Id="rId1" Type="http://schemas.openxmlformats.org/officeDocument/2006/relationships/pivotTable" Target="../pivotTables/pivotTable21.xml"/><Relationship Id="rId6" Type="http://schemas.openxmlformats.org/officeDocument/2006/relationships/hyperlink" Target="mailto:RMilligan@landmarkcpas.com" TargetMode="External"/><Relationship Id="rId11" Type="http://schemas.openxmlformats.org/officeDocument/2006/relationships/hyperlink" Target="mailto:rjohnson@bandapm.com" TargetMode="External"/><Relationship Id="rId5" Type="http://schemas.openxmlformats.org/officeDocument/2006/relationships/hyperlink" Target="mailto:ADuVall@rockefellerinstitute.org" TargetMode="External"/><Relationship Id="rId10" Type="http://schemas.openxmlformats.org/officeDocument/2006/relationships/hyperlink" Target="mailto:Andy.Miller@flywheelenergy.com" TargetMode="External"/><Relationship Id="rId4" Type="http://schemas.openxmlformats.org/officeDocument/2006/relationships/hyperlink" Target="mailto:mcahillwicks@arvest.com" TargetMode="External"/><Relationship Id="rId9" Type="http://schemas.openxmlformats.org/officeDocument/2006/relationships/hyperlink" Target="mailto:bhinkle@entergy.com"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mailto:wesley.paul.pruitt@gmail.com" TargetMode="External"/><Relationship Id="rId3" Type="http://schemas.openxmlformats.org/officeDocument/2006/relationships/hyperlink" Target="mailto:office@hdroofing-construction.com" TargetMode="External"/><Relationship Id="rId7" Type="http://schemas.openxmlformats.org/officeDocument/2006/relationships/hyperlink" Target="mailto:candyturpin.ark@gmail.com" TargetMode="External"/><Relationship Id="rId2" Type="http://schemas.openxmlformats.org/officeDocument/2006/relationships/hyperlink" Target="mailto:CarrollJo.Malloy@CARTI.com" TargetMode="External"/><Relationship Id="rId1" Type="http://schemas.openxmlformats.org/officeDocument/2006/relationships/hyperlink" Target="mailto:rjohnson@bandapm.com" TargetMode="External"/><Relationship Id="rId6" Type="http://schemas.openxmlformats.org/officeDocument/2006/relationships/hyperlink" Target="mailto:Clark@uaccm.edu" TargetMode="External"/><Relationship Id="rId5" Type="http://schemas.openxmlformats.org/officeDocument/2006/relationships/hyperlink" Target="mailto:michellemallett@ottinsurance.com" TargetMode="External"/><Relationship Id="rId4" Type="http://schemas.openxmlformats.org/officeDocument/2006/relationships/hyperlink" Target="mailto:joey@integrityinsurancear.com" TargetMode="Externa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4.xml.rels><?xml version="1.0" encoding="UTF-8" standalone="yes"?>
<Relationships xmlns="http://schemas.openxmlformats.org/package/2006/relationships"><Relationship Id="rId13" Type="http://schemas.openxmlformats.org/officeDocument/2006/relationships/hyperlink" Target="mailto:ddees@ltdconnect.com;%20christiancrain@crainteam.net;%20cameronburdess@crainteam.net;%20justinkervin@crainteam.net" TargetMode="External"/><Relationship Id="rId18" Type="http://schemas.openxmlformats.org/officeDocument/2006/relationships/hyperlink" Target="mailto:Ronie.Sparkman@nabholz.com" TargetMode="External"/><Relationship Id="rId26" Type="http://schemas.openxmlformats.org/officeDocument/2006/relationships/hyperlink" Target="mailto:bteague@uca.edu" TargetMode="External"/><Relationship Id="rId39" Type="http://schemas.openxmlformats.org/officeDocument/2006/relationships/hyperlink" Target="mailto:tmalcolm@summitutilities.com" TargetMode="External"/><Relationship Id="rId21" Type="http://schemas.openxmlformats.org/officeDocument/2006/relationships/hyperlink" Target="mailto:amber.wyatt1@smilebrands.com" TargetMode="External"/><Relationship Id="rId34" Type="http://schemas.openxmlformats.org/officeDocument/2006/relationships/hyperlink" Target="mailto:cjohnson@cristengineers.com" TargetMode="External"/><Relationship Id="rId42" Type="http://schemas.openxmlformats.org/officeDocument/2006/relationships/hyperlink" Target="mailto:Traci.Byrd@orthoarkansas.com" TargetMode="External"/><Relationship Id="rId7" Type="http://schemas.openxmlformats.org/officeDocument/2006/relationships/hyperlink" Target="mailto:fsharkey@uca.edu" TargetMode="External"/><Relationship Id="rId2" Type="http://schemas.openxmlformats.org/officeDocument/2006/relationships/hyperlink" Target="mailto:Lane.Housley@craftontull.com" TargetMode="External"/><Relationship Id="rId16" Type="http://schemas.openxmlformats.org/officeDocument/2006/relationships/hyperlink" Target="mailto:jakob@davecreekmedia.com" TargetMode="External"/><Relationship Id="rId29" Type="http://schemas.openxmlformats.org/officeDocument/2006/relationships/hyperlink" Target="mailto:erik@bellandsward.com" TargetMode="External"/><Relationship Id="rId1" Type="http://schemas.openxmlformats.org/officeDocument/2006/relationships/pivotTable" Target="../pivotTables/pivotTable23.xml"/><Relationship Id="rId6" Type="http://schemas.openxmlformats.org/officeDocument/2006/relationships/hyperlink" Target="mailto:Stefanie.Vann@fsbank.com" TargetMode="External"/><Relationship Id="rId11" Type="http://schemas.openxmlformats.org/officeDocument/2006/relationships/hyperlink" Target="mailto:ADuVall@rockefellerinstitute.org" TargetMode="External"/><Relationship Id="rId24" Type="http://schemas.openxmlformats.org/officeDocument/2006/relationships/hyperlink" Target="mailto:David@littlerockconwaysign.com" TargetMode="External"/><Relationship Id="rId32" Type="http://schemas.openxmlformats.org/officeDocument/2006/relationships/hyperlink" Target="mailto:jon.henderson@fsbank.com" TargetMode="External"/><Relationship Id="rId37" Type="http://schemas.openxmlformats.org/officeDocument/2006/relationships/hyperlink" Target="mailto:mfortune@nativstate.com" TargetMode="External"/><Relationship Id="rId40" Type="http://schemas.openxmlformats.org/officeDocument/2006/relationships/hyperlink" Target="mailto:kdimitrova@werarch.com" TargetMode="External"/><Relationship Id="rId45" Type="http://schemas.openxmlformats.org/officeDocument/2006/relationships/vmlDrawing" Target="../drawings/vmlDrawing2.vml"/><Relationship Id="rId5" Type="http://schemas.openxmlformats.org/officeDocument/2006/relationships/hyperlink" Target="mailto:morgan.lefler@engagemanagement.com" TargetMode="External"/><Relationship Id="rId15" Type="http://schemas.openxmlformats.org/officeDocument/2006/relationships/hyperlink" Target="mailto:cody@sowellarchitects.com" TargetMode="External"/><Relationship Id="rId23" Type="http://schemas.openxmlformats.org/officeDocument/2006/relationships/hyperlink" Target="mailto:rjohnson@bandapm.com" TargetMode="External"/><Relationship Id="rId28" Type="http://schemas.openxmlformats.org/officeDocument/2006/relationships/hyperlink" Target="mailto:RMcGrew@landmarkcpas.com" TargetMode="External"/><Relationship Id="rId36" Type="http://schemas.openxmlformats.org/officeDocument/2006/relationships/hyperlink" Target="mailto:stanfoster@virco.com" TargetMode="External"/><Relationship Id="rId10" Type="http://schemas.openxmlformats.org/officeDocument/2006/relationships/hyperlink" Target="mailto:ADuVall@rockefellerinstitute.org;%20JMorgan@rockefellerinstitute.org" TargetMode="External"/><Relationship Id="rId19" Type="http://schemas.openxmlformats.org/officeDocument/2006/relationships/hyperlink" Target="mailto:Ronie.Sparkman@nabholz.com" TargetMode="External"/><Relationship Id="rId31" Type="http://schemas.openxmlformats.org/officeDocument/2006/relationships/hyperlink" Target="mailto:erik@bellandsward.com" TargetMode="External"/><Relationship Id="rId44" Type="http://schemas.openxmlformats.org/officeDocument/2006/relationships/hyperlink" Target="mailto:Amy.Meins@ar.colliers.com" TargetMode="External"/><Relationship Id="rId4" Type="http://schemas.openxmlformats.org/officeDocument/2006/relationships/hyperlink" Target="mailto:Beth.Jimmerson@ConwayCorp.com" TargetMode="External"/><Relationship Id="rId9" Type="http://schemas.openxmlformats.org/officeDocument/2006/relationships/hyperlink" Target="mailto:spencer.griffith@agfc.ar.gov" TargetMode="External"/><Relationship Id="rId14" Type="http://schemas.openxmlformats.org/officeDocument/2006/relationships/hyperlink" Target="mailto:mike.connelly@rogersgroupinc.com" TargetMode="External"/><Relationship Id="rId22" Type="http://schemas.openxmlformats.org/officeDocument/2006/relationships/hyperlink" Target="mailto:ahorton@uca.edu" TargetMode="External"/><Relationship Id="rId27" Type="http://schemas.openxmlformats.org/officeDocument/2006/relationships/hyperlink" Target="mailto:ben@fureighinc.com" TargetMode="External"/><Relationship Id="rId30" Type="http://schemas.openxmlformats.org/officeDocument/2006/relationships/hyperlink" Target="mailto:erik@bellandsward.com" TargetMode="External"/><Relationship Id="rId35" Type="http://schemas.openxmlformats.org/officeDocument/2006/relationships/hyperlink" Target="mailto:jpint@fabandt.bank" TargetMode="External"/><Relationship Id="rId43" Type="http://schemas.openxmlformats.org/officeDocument/2006/relationships/hyperlink" Target="mailto:bshaw@lenderstitle.com" TargetMode="External"/><Relationship Id="rId8" Type="http://schemas.openxmlformats.org/officeDocument/2006/relationships/hyperlink" Target="mailto:stevegoode.naturalstate@gmail.com" TargetMode="External"/><Relationship Id="rId3" Type="http://schemas.openxmlformats.org/officeDocument/2006/relationships/hyperlink" Target="mailto:Amber.Helms@orthoarkansas.com" TargetMode="External"/><Relationship Id="rId12" Type="http://schemas.openxmlformats.org/officeDocument/2006/relationships/hyperlink" Target="mailto:ADuVall@rockefellerinstitute.org" TargetMode="External"/><Relationship Id="rId17" Type="http://schemas.openxmlformats.org/officeDocument/2006/relationships/hyperlink" Target="mailto:Ronie.Sparkman@nabholz.com" TargetMode="External"/><Relationship Id="rId25" Type="http://schemas.openxmlformats.org/officeDocument/2006/relationships/hyperlink" Target="mailto:hdavis@binswanger.com;%20copdyke@binswanger.com" TargetMode="External"/><Relationship Id="rId33" Type="http://schemas.openxmlformats.org/officeDocument/2006/relationships/hyperlink" Target="mailto:bshaw@lenderstitle.com" TargetMode="External"/><Relationship Id="rId38" Type="http://schemas.openxmlformats.org/officeDocument/2006/relationships/hyperlink" Target="mailto:bfason@car-son.com" TargetMode="External"/><Relationship Id="rId46" Type="http://schemas.openxmlformats.org/officeDocument/2006/relationships/comments" Target="../comments2.xml"/><Relationship Id="rId20" Type="http://schemas.openxmlformats.org/officeDocument/2006/relationships/hyperlink" Target="mailto:Lani.Jennings-Hall@bellandcompany.net" TargetMode="External"/><Relationship Id="rId41" Type="http://schemas.openxmlformats.org/officeDocument/2006/relationships/hyperlink" Target="mailto:luxurypool@gmail.com"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mailto:adam@cousinsfurniture.com" TargetMode="External"/><Relationship Id="rId7" Type="http://schemas.openxmlformats.org/officeDocument/2006/relationships/hyperlink" Target="mailto:alexanderlynbusiness@gmail.com" TargetMode="External"/><Relationship Id="rId2" Type="http://schemas.openxmlformats.org/officeDocument/2006/relationships/hyperlink" Target="mailto:allan.gammill@hilton.com" TargetMode="External"/><Relationship Id="rId1" Type="http://schemas.openxmlformats.org/officeDocument/2006/relationships/pivotTable" Target="../pivotTables/pivotTable24.xml"/><Relationship Id="rId6" Type="http://schemas.openxmlformats.org/officeDocument/2006/relationships/hyperlink" Target="mailto:Tevin.cherry@grifols.com" TargetMode="External"/><Relationship Id="rId5" Type="http://schemas.openxmlformats.org/officeDocument/2006/relationships/hyperlink" Target="mailto:Gorham-Joshua@aramark.com" TargetMode="External"/><Relationship Id="rId4" Type="http://schemas.openxmlformats.org/officeDocument/2006/relationships/hyperlink" Target="mailto:Brandon@ciseandys.com"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mailto:ahorton@uca.edu" TargetMode="External"/><Relationship Id="rId13" Type="http://schemas.openxmlformats.org/officeDocument/2006/relationships/hyperlink" Target="mailto:dgoforth@afcu.org" TargetMode="External"/><Relationship Id="rId3" Type="http://schemas.openxmlformats.org/officeDocument/2006/relationships/hyperlink" Target="mailto:michellemallett@ottinsurance.com" TargetMode="External"/><Relationship Id="rId7" Type="http://schemas.openxmlformats.org/officeDocument/2006/relationships/hyperlink" Target="mailto:pmoon@meridiania.com" TargetMode="External"/><Relationship Id="rId12" Type="http://schemas.openxmlformats.org/officeDocument/2006/relationships/hyperlink" Target="mailto:sotees@hotmail.com" TargetMode="External"/><Relationship Id="rId2" Type="http://schemas.openxmlformats.org/officeDocument/2006/relationships/hyperlink" Target="mailto:Crystal.Floyd@acxiom.com" TargetMode="External"/><Relationship Id="rId1" Type="http://schemas.openxmlformats.org/officeDocument/2006/relationships/pivotTable" Target="../pivotTables/pivotTable25.xml"/><Relationship Id="rId6" Type="http://schemas.openxmlformats.org/officeDocument/2006/relationships/hyperlink" Target="mailto:Lori.Melton@firstcommunity.net" TargetMode="External"/><Relationship Id="rId11" Type="http://schemas.openxmlformats.org/officeDocument/2006/relationships/hyperlink" Target="mailto:heather.finch@staleyelectric.com" TargetMode="External"/><Relationship Id="rId5" Type="http://schemas.openxmlformats.org/officeDocument/2006/relationships/hyperlink" Target="mailto:jake.turpin@claytonhomes.com" TargetMode="External"/><Relationship Id="rId10" Type="http://schemas.openxmlformats.org/officeDocument/2006/relationships/hyperlink" Target="mailto:kdimitrova@werarch.com" TargetMode="External"/><Relationship Id="rId4" Type="http://schemas.openxmlformats.org/officeDocument/2006/relationships/hyperlink" Target="mailto:jay.bernard.l8if@statefarm.com" TargetMode="External"/><Relationship Id="rId9" Type="http://schemas.openxmlformats.org/officeDocument/2006/relationships/hyperlink" Target="mailto:hmanning@conwaychristianschools.net" TargetMode="External"/></Relationships>
</file>

<file path=xl/worksheets/_rels/sheet27.xml.rels><?xml version="1.0" encoding="UTF-8" standalone="yes"?>
<Relationships xmlns="http://schemas.openxmlformats.org/package/2006/relationships"><Relationship Id="rId13" Type="http://schemas.openxmlformats.org/officeDocument/2006/relationships/hyperlink" Target="mailto:douglas@braswellandson.com" TargetMode="External"/><Relationship Id="rId18" Type="http://schemas.openxmlformats.org/officeDocument/2006/relationships/hyperlink" Target="mailto:bcardin@prolandtitle.com" TargetMode="External"/><Relationship Id="rId26" Type="http://schemas.openxmlformats.org/officeDocument/2006/relationships/hyperlink" Target="mailto:abaney@mnbbank.com" TargetMode="External"/><Relationship Id="rId39" Type="http://schemas.openxmlformats.org/officeDocument/2006/relationships/hyperlink" Target="mailto:wendy.williams@fyzical.com" TargetMode="External"/><Relationship Id="rId21" Type="http://schemas.openxmlformats.org/officeDocument/2006/relationships/hyperlink" Target="mailto:claire@homewardhomes.com" TargetMode="External"/><Relationship Id="rId34" Type="http://schemas.openxmlformats.org/officeDocument/2006/relationships/hyperlink" Target="mailto:bradevans@taylorkinglaw.com" TargetMode="External"/><Relationship Id="rId42" Type="http://schemas.openxmlformats.org/officeDocument/2006/relationships/hyperlink" Target="mailto:cbaker@healthcaremarketingassoc.com" TargetMode="External"/><Relationship Id="rId47" Type="http://schemas.openxmlformats.org/officeDocument/2006/relationships/hyperlink" Target="mailto:storemanager1358@gmail.com" TargetMode="External"/><Relationship Id="rId50" Type="http://schemas.openxmlformats.org/officeDocument/2006/relationships/hyperlink" Target="mailto:frostyourcakestudio@gmail.com" TargetMode="External"/><Relationship Id="rId55" Type="http://schemas.openxmlformats.org/officeDocument/2006/relationships/hyperlink" Target="mailto:conwaysonic5@conwaycorp.net" TargetMode="External"/><Relationship Id="rId7" Type="http://schemas.openxmlformats.org/officeDocument/2006/relationships/hyperlink" Target="mailto:emilywalterrealtor@gmail.com" TargetMode="External"/><Relationship Id="rId2" Type="http://schemas.openxmlformats.org/officeDocument/2006/relationships/hyperlink" Target="mailto:Brandon.pitcock@directauto.com" TargetMode="External"/><Relationship Id="rId16" Type="http://schemas.openxmlformats.org/officeDocument/2006/relationships/hyperlink" Target="mailto:ahorton@uca.edu" TargetMode="External"/><Relationship Id="rId29" Type="http://schemas.openxmlformats.org/officeDocument/2006/relationships/hyperlink" Target="mailto:mmahan@immersearkansas.org;%20bmcghee@immersearkansas.org" TargetMode="External"/><Relationship Id="rId11" Type="http://schemas.openxmlformats.org/officeDocument/2006/relationships/hyperlink" Target="mailto:thebarkinglotconway@gmail.com" TargetMode="External"/><Relationship Id="rId24" Type="http://schemas.openxmlformats.org/officeDocument/2006/relationships/hyperlink" Target="mailto:jon@cpcarkansas.com" TargetMode="External"/><Relationship Id="rId32" Type="http://schemas.openxmlformats.org/officeDocument/2006/relationships/hyperlink" Target="mailto:sandrastrain55@gmail.com" TargetMode="External"/><Relationship Id="rId37" Type="http://schemas.openxmlformats.org/officeDocument/2006/relationships/hyperlink" Target="mailto:JScherrey@my100bank.com" TargetMode="External"/><Relationship Id="rId40" Type="http://schemas.openxmlformats.org/officeDocument/2006/relationships/hyperlink" Target="mailto:newks.lr@eatroundtable.com" TargetMode="External"/><Relationship Id="rId45" Type="http://schemas.openxmlformats.org/officeDocument/2006/relationships/hyperlink" Target="mailto:jennifer@astapro.org" TargetMode="External"/><Relationship Id="rId53" Type="http://schemas.openxmlformats.org/officeDocument/2006/relationships/hyperlink" Target="mailto:nancy@pinnaclestructures.com" TargetMode="External"/><Relationship Id="rId58" Type="http://schemas.openxmlformats.org/officeDocument/2006/relationships/vmlDrawing" Target="../drawings/vmlDrawing3.vml"/><Relationship Id="rId5" Type="http://schemas.openxmlformats.org/officeDocument/2006/relationships/hyperlink" Target="mailto:jfaulkner@cbc.edu" TargetMode="External"/><Relationship Id="rId19" Type="http://schemas.openxmlformats.org/officeDocument/2006/relationships/hyperlink" Target="mailto:crosscreekcaitlin@gmail.com" TargetMode="External"/><Relationship Id="rId4" Type="http://schemas.openxmlformats.org/officeDocument/2006/relationships/hyperlink" Target="mailto:rhealana@rhealana.com" TargetMode="External"/><Relationship Id="rId9" Type="http://schemas.openxmlformats.org/officeDocument/2006/relationships/hyperlink" Target="mailto:kayla.mckinney@rockdentalbrands.com" TargetMode="External"/><Relationship Id="rId14" Type="http://schemas.openxmlformats.org/officeDocument/2006/relationships/hyperlink" Target="mailto:jay.bernard.l8if@statefarm.com" TargetMode="External"/><Relationship Id="rId22" Type="http://schemas.openxmlformats.org/officeDocument/2006/relationships/hyperlink" Target="mailto:Brandon@ciseandys.com" TargetMode="External"/><Relationship Id="rId27" Type="http://schemas.openxmlformats.org/officeDocument/2006/relationships/hyperlink" Target="mailto:airaconway@gmail.com" TargetMode="External"/><Relationship Id="rId30" Type="http://schemas.openxmlformats.org/officeDocument/2006/relationships/hyperlink" Target="mailto:chair@faulknerdemocrats.com" TargetMode="External"/><Relationship Id="rId35" Type="http://schemas.openxmlformats.org/officeDocument/2006/relationships/hyperlink" Target="mailto:heather.finch@staleyelectric.com" TargetMode="External"/><Relationship Id="rId43" Type="http://schemas.openxmlformats.org/officeDocument/2006/relationships/hyperlink" Target="mailto:amellick@csiyouth.com" TargetMode="External"/><Relationship Id="rId48" Type="http://schemas.openxmlformats.org/officeDocument/2006/relationships/hyperlink" Target="mailto:Tevin.cherry@grifols.com" TargetMode="External"/><Relationship Id="rId56" Type="http://schemas.openxmlformats.org/officeDocument/2006/relationships/hyperlink" Target="mailto:jpint@fabandt.bank" TargetMode="External"/><Relationship Id="rId8" Type="http://schemas.openxmlformats.org/officeDocument/2006/relationships/hyperlink" Target="mailto:AThreats@leaffilter.com" TargetMode="External"/><Relationship Id="rId51" Type="http://schemas.openxmlformats.org/officeDocument/2006/relationships/hyperlink" Target="mailto:wearecea@gmail.com" TargetMode="External"/><Relationship Id="rId3" Type="http://schemas.openxmlformats.org/officeDocument/2006/relationships/hyperlink" Target="mailto:spencer.griffith@agfc.ar.gov" TargetMode="External"/><Relationship Id="rId12" Type="http://schemas.openxmlformats.org/officeDocument/2006/relationships/hyperlink" Target="mailto:ebarnes@chambers.bank" TargetMode="External"/><Relationship Id="rId17" Type="http://schemas.openxmlformats.org/officeDocument/2006/relationships/hyperlink" Target="mailto:a0b0q84.s04749.us@samsclub.com" TargetMode="External"/><Relationship Id="rId25" Type="http://schemas.openxmlformats.org/officeDocument/2006/relationships/hyperlink" Target="mailto:valaribristol@fnbconway.com" TargetMode="External"/><Relationship Id="rId33" Type="http://schemas.openxmlformats.org/officeDocument/2006/relationships/hyperlink" Target="mailto:jakob.henry@edwardjones.com" TargetMode="External"/><Relationship Id="rId38" Type="http://schemas.openxmlformats.org/officeDocument/2006/relationships/hyperlink" Target="mailto:macy.hudson@crystalbridges.org" TargetMode="External"/><Relationship Id="rId46" Type="http://schemas.openxmlformats.org/officeDocument/2006/relationships/hyperlink" Target="mailto:mchristen@thespaah.com" TargetMode="External"/><Relationship Id="rId59" Type="http://schemas.openxmlformats.org/officeDocument/2006/relationships/comments" Target="../comments3.xml"/><Relationship Id="rId20" Type="http://schemas.openxmlformats.org/officeDocument/2006/relationships/hyperlink" Target="mailto:ccclinic@conwaycorp.net" TargetMode="External"/><Relationship Id="rId41" Type="http://schemas.openxmlformats.org/officeDocument/2006/relationships/hyperlink" Target="mailto:mhardcastle@chickensaladchick.com" TargetMode="External"/><Relationship Id="rId54" Type="http://schemas.openxmlformats.org/officeDocument/2006/relationships/hyperlink" Target="mailto:trent@servproofconway.com" TargetMode="External"/><Relationship Id="rId1" Type="http://schemas.openxmlformats.org/officeDocument/2006/relationships/pivotTable" Target="../pivotTables/pivotTable26.xml"/><Relationship Id="rId6" Type="http://schemas.openxmlformats.org/officeDocument/2006/relationships/hyperlink" Target="mailto:karenferguson501@gmail.com" TargetMode="External"/><Relationship Id="rId15" Type="http://schemas.openxmlformats.org/officeDocument/2006/relationships/hyperlink" Target="mailto:idismuke@wacotitle.com" TargetMode="External"/><Relationship Id="rId23" Type="http://schemas.openxmlformats.org/officeDocument/2006/relationships/hyperlink" Target="mailto:elissa@indliving.org" TargetMode="External"/><Relationship Id="rId28" Type="http://schemas.openxmlformats.org/officeDocument/2006/relationships/hyperlink" Target="mailto:restorationwellnessar@gmail.com" TargetMode="External"/><Relationship Id="rId36" Type="http://schemas.openxmlformats.org/officeDocument/2006/relationships/hyperlink" Target="mailto:dgoforth@AFCU.org" TargetMode="External"/><Relationship Id="rId49" Type="http://schemas.openxmlformats.org/officeDocument/2006/relationships/hyperlink" Target="mailto:Brittney.miller@uhsinc.com" TargetMode="External"/><Relationship Id="rId57" Type="http://schemas.openxmlformats.org/officeDocument/2006/relationships/hyperlink" Target="mailto:Traci.Byrd@orthoarkansas.com" TargetMode="External"/><Relationship Id="rId10" Type="http://schemas.openxmlformats.org/officeDocument/2006/relationships/hyperlink" Target="mailto:westhepestdetective@gmail.com" TargetMode="External"/><Relationship Id="rId31" Type="http://schemas.openxmlformats.org/officeDocument/2006/relationships/hyperlink" Target="mailto:destiny@powerchiroclinic.com" TargetMode="External"/><Relationship Id="rId44" Type="http://schemas.openxmlformats.org/officeDocument/2006/relationships/hyperlink" Target="mailto:mfgivens76@gmail.com" TargetMode="External"/><Relationship Id="rId52" Type="http://schemas.openxmlformats.org/officeDocument/2006/relationships/hyperlink" Target="mailto:Broc.hart@thrivent.com"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mailto:michael.lindsey@walmart.com" TargetMode="External"/><Relationship Id="rId13" Type="http://schemas.openxmlformats.org/officeDocument/2006/relationships/hyperlink" Target="mailto:Valencia.Anderson@conwaybh.com" TargetMode="External"/><Relationship Id="rId18" Type="http://schemas.openxmlformats.org/officeDocument/2006/relationships/hyperlink" Target="mailto:mfortune@nativstate.com" TargetMode="External"/><Relationship Id="rId26" Type="http://schemas.openxmlformats.org/officeDocument/2006/relationships/hyperlink" Target="mailto:Charla_Perry@comcast.com" TargetMode="External"/><Relationship Id="rId3" Type="http://schemas.openxmlformats.org/officeDocument/2006/relationships/hyperlink" Target="mailto:jay@caldwellcares.com" TargetMode="External"/><Relationship Id="rId21" Type="http://schemas.openxmlformats.org/officeDocument/2006/relationships/hyperlink" Target="mailto:francisco.aguilar1@t-mobile.com" TargetMode="External"/><Relationship Id="rId7" Type="http://schemas.openxmlformats.org/officeDocument/2006/relationships/hyperlink" Target="mailto:lauren.blackwell@tritechne.com" TargetMode="External"/><Relationship Id="rId12" Type="http://schemas.openxmlformats.org/officeDocument/2006/relationships/hyperlink" Target="mailto:DSchwartz@my100bank.com" TargetMode="External"/><Relationship Id="rId17" Type="http://schemas.openxmlformats.org/officeDocument/2006/relationships/hyperlink" Target="mailto:rapittillo@arkbluecross.com" TargetMode="External"/><Relationship Id="rId25" Type="http://schemas.openxmlformats.org/officeDocument/2006/relationships/hyperlink" Target="mailto:Angelique.Critz@greatdayimprovements.com" TargetMode="External"/><Relationship Id="rId2" Type="http://schemas.openxmlformats.org/officeDocument/2006/relationships/hyperlink" Target="mailto:Kevin.Crockett@ks.gov" TargetMode="External"/><Relationship Id="rId16" Type="http://schemas.openxmlformats.org/officeDocument/2006/relationships/hyperlink" Target="mailto:707marketing@texasroadhouse.com" TargetMode="External"/><Relationship Id="rId20" Type="http://schemas.openxmlformats.org/officeDocument/2006/relationships/hyperlink" Target="mailto:surveying@conwaycorp.net" TargetMode="External"/><Relationship Id="rId1" Type="http://schemas.openxmlformats.org/officeDocument/2006/relationships/pivotTable" Target="../pivotTables/pivotTable27.xml"/><Relationship Id="rId6" Type="http://schemas.openxmlformats.org/officeDocument/2006/relationships/hyperlink" Target="mailto:Crystal.Floyd@acxiom.com" TargetMode="External"/><Relationship Id="rId11" Type="http://schemas.openxmlformats.org/officeDocument/2006/relationships/hyperlink" Target="mailto:dgoforth@AFCU.org" TargetMode="External"/><Relationship Id="rId24" Type="http://schemas.openxmlformats.org/officeDocument/2006/relationships/hyperlink" Target="mailto:jmillican@rbaofar.com" TargetMode="External"/><Relationship Id="rId5" Type="http://schemas.openxmlformats.org/officeDocument/2006/relationships/hyperlink" Target="mailto:spencer.griffith@agfc.ar.gov" TargetMode="External"/><Relationship Id="rId15" Type="http://schemas.openxmlformats.org/officeDocument/2006/relationships/hyperlink" Target="mailto:jake.turpin@claytonhomes.com" TargetMode="External"/><Relationship Id="rId23" Type="http://schemas.openxmlformats.org/officeDocument/2006/relationships/hyperlink" Target="mailto:silverfieldconstruction@gmail.com" TargetMode="External"/><Relationship Id="rId10" Type="http://schemas.openxmlformats.org/officeDocument/2006/relationships/hyperlink" Target="mailto:woneda.grayham@obi.org" TargetMode="External"/><Relationship Id="rId19" Type="http://schemas.openxmlformats.org/officeDocument/2006/relationships/hyperlink" Target="mailto:jennifer.mcgill@cnent.com" TargetMode="External"/><Relationship Id="rId4" Type="http://schemas.openxmlformats.org/officeDocument/2006/relationships/hyperlink" Target="mailto:khooten@reachtherapyservices.com" TargetMode="External"/><Relationship Id="rId9" Type="http://schemas.openxmlformats.org/officeDocument/2006/relationships/hyperlink" Target="mailto:AThreats@leaffilter.com" TargetMode="External"/><Relationship Id="rId14" Type="http://schemas.openxmlformats.org/officeDocument/2006/relationships/hyperlink" Target="mailto:jake.turpin@claytonhomes.com" TargetMode="External"/><Relationship Id="rId22" Type="http://schemas.openxmlformats.org/officeDocument/2006/relationships/hyperlink" Target="mailto:omar.delgado@verizonwireless.com" TargetMode="External"/><Relationship Id="rId27" Type="http://schemas.openxmlformats.org/officeDocument/2006/relationships/hyperlink" Target="mailto:Traci.Byrd@orthoarkansas.com"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mailto:jay.bernard.l8if@statefarm.com" TargetMode="External"/><Relationship Id="rId13" Type="http://schemas.openxmlformats.org/officeDocument/2006/relationships/hyperlink" Target="mailto:amber.wyatt1@smilebrands.com" TargetMode="External"/><Relationship Id="rId3" Type="http://schemas.openxmlformats.org/officeDocument/2006/relationships/hyperlink" Target="mailto:lstarr@mosestucker.com" TargetMode="External"/><Relationship Id="rId7" Type="http://schemas.openxmlformats.org/officeDocument/2006/relationships/hyperlink" Target="mailto:cpledger@trinitydevelopmentinc.com" TargetMode="External"/><Relationship Id="rId12" Type="http://schemas.openxmlformats.org/officeDocument/2006/relationships/hyperlink" Target="mailto:mwhiting@uca.edu" TargetMode="External"/><Relationship Id="rId2" Type="http://schemas.openxmlformats.org/officeDocument/2006/relationships/hyperlink" Target="mailto:mcahillwicks@arvest.com;%20bdavis3@arvest.com" TargetMode="External"/><Relationship Id="rId16" Type="http://schemas.openxmlformats.org/officeDocument/2006/relationships/hyperlink" Target="mailto:jbasey@marketplacegrill.com" TargetMode="External"/><Relationship Id="rId1" Type="http://schemas.openxmlformats.org/officeDocument/2006/relationships/pivotTable" Target="../pivotTables/pivotTable28.xml"/><Relationship Id="rId6" Type="http://schemas.openxmlformats.org/officeDocument/2006/relationships/hyperlink" Target="mailto:cate.mcconnell@smithford.com" TargetMode="External"/><Relationship Id="rId11" Type="http://schemas.openxmlformats.org/officeDocument/2006/relationships/hyperlink" Target="mailto:Lori.Melton@firstcommunity.net" TargetMode="External"/><Relationship Id="rId5" Type="http://schemas.openxmlformats.org/officeDocument/2006/relationships/hyperlink" Target="mailto:rfincher@conwayregional.org" TargetMode="External"/><Relationship Id="rId15" Type="http://schemas.openxmlformats.org/officeDocument/2006/relationships/hyperlink" Target="mailto:Brandihorton113@gmail.com" TargetMode="External"/><Relationship Id="rId10" Type="http://schemas.openxmlformats.org/officeDocument/2006/relationships/hyperlink" Target="mailto:tbreeding@sjbulldogs.org" TargetMode="External"/><Relationship Id="rId4" Type="http://schemas.openxmlformats.org/officeDocument/2006/relationships/hyperlink" Target="mailto:morgan.lefler@engagemanagement.com" TargetMode="External"/><Relationship Id="rId9" Type="http://schemas.openxmlformats.org/officeDocument/2006/relationships/hyperlink" Target="mailto:wsparks2@uca.edu" TargetMode="External"/><Relationship Id="rId14" Type="http://schemas.openxmlformats.org/officeDocument/2006/relationships/hyperlink" Target="mailto:david@stobys.com"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mailto:rhealana@rhealana.com" TargetMode="External"/><Relationship Id="rId13" Type="http://schemas.openxmlformats.org/officeDocument/2006/relationships/hyperlink" Target="mailto:si@conwaycorp.net" TargetMode="External"/><Relationship Id="rId3" Type="http://schemas.openxmlformats.org/officeDocument/2006/relationships/hyperlink" Target="mailto:Crystal.Floyd@acxiom.com" TargetMode="External"/><Relationship Id="rId7" Type="http://schemas.openxmlformats.org/officeDocument/2006/relationships/hyperlink" Target="mailto:DLTackett@GarverUSA.com" TargetMode="External"/><Relationship Id="rId12" Type="http://schemas.openxmlformats.org/officeDocument/2006/relationships/hyperlink" Target="mailto:drjosh@rhlittlerock.com" TargetMode="External"/><Relationship Id="rId2" Type="http://schemas.openxmlformats.org/officeDocument/2006/relationships/hyperlink" Target="mailto:amyw@uca.edu;" TargetMode="External"/><Relationship Id="rId16" Type="http://schemas.openxmlformats.org/officeDocument/2006/relationships/hyperlink" Target="mailto:vsullivan@weaverbailey.com" TargetMode="External"/><Relationship Id="rId1" Type="http://schemas.openxmlformats.org/officeDocument/2006/relationships/pivotTable" Target="../pivotTables/pivotTable29.xml"/><Relationship Id="rId6" Type="http://schemas.openxmlformats.org/officeDocument/2006/relationships/hyperlink" Target="mailto:CarrollJo.Malloy@CARTI.com" TargetMode="External"/><Relationship Id="rId11" Type="http://schemas.openxmlformats.org/officeDocument/2006/relationships/hyperlink" Target="mailto:frostyourcakestudio@gmail.com" TargetMode="External"/><Relationship Id="rId5" Type="http://schemas.openxmlformats.org/officeDocument/2006/relationships/hyperlink" Target="mailto:mcahillwicks@arvest.com" TargetMode="External"/><Relationship Id="rId15" Type="http://schemas.openxmlformats.org/officeDocument/2006/relationships/hyperlink" Target="mailto:jboyete@uca.edu" TargetMode="External"/><Relationship Id="rId10" Type="http://schemas.openxmlformats.org/officeDocument/2006/relationships/hyperlink" Target="mailto:sotees@hotmail.com" TargetMode="External"/><Relationship Id="rId4" Type="http://schemas.openxmlformats.org/officeDocument/2006/relationships/hyperlink" Target="mailto:grace@arconductor.org" TargetMode="External"/><Relationship Id="rId9" Type="http://schemas.openxmlformats.org/officeDocument/2006/relationships/hyperlink" Target="mailto:a0b0q84.s04749.us@samsclub.com" TargetMode="External"/><Relationship Id="rId14" Type="http://schemas.openxmlformats.org/officeDocument/2006/relationships/hyperlink" Target="mailto:liv.wilson@piroofing.com" TargetMode="Externa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40.xml.rels><?xml version="1.0" encoding="UTF-8" standalone="yes"?>
<Relationships xmlns="http://schemas.openxmlformats.org/package/2006/relationships"><Relationship Id="rId3" Type="http://schemas.openxmlformats.org/officeDocument/2006/relationships/hyperlink" Target="mailto:ADuVall@rockefellerinstitute.org" TargetMode="External"/><Relationship Id="rId2" Type="http://schemas.openxmlformats.org/officeDocument/2006/relationships/hyperlink" Target="mailto:shaneil@wlnarkansas.org" TargetMode="External"/><Relationship Id="rId1" Type="http://schemas.openxmlformats.org/officeDocument/2006/relationships/hyperlink" Target="mailto:hannahjohnson@rhealana.com" TargetMode="External"/><Relationship Id="rId6" Type="http://schemas.openxmlformats.org/officeDocument/2006/relationships/hyperlink" Target="mailto:heather.finch@staleyelectric.com" TargetMode="External"/><Relationship Id="rId5" Type="http://schemas.openxmlformats.org/officeDocument/2006/relationships/hyperlink" Target="mailto:David@littlerockconwaysign.com" TargetMode="External"/><Relationship Id="rId4" Type="http://schemas.openxmlformats.org/officeDocument/2006/relationships/hyperlink" Target="mailto:rjohnson@bandapm.com" TargetMode="External"/></Relationships>
</file>

<file path=xl/worksheets/_rels/sheet4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02A23-4199-4143-B5B0-E8531CF65029}">
  <dimension ref="A1:V317"/>
  <sheetViews>
    <sheetView workbookViewId="0">
      <pane xSplit="10" ySplit="18" topLeftCell="K19" activePane="bottomRight" state="frozen"/>
      <selection pane="topRight" activeCell="K1" sqref="K1"/>
      <selection pane="bottomLeft" activeCell="A19" sqref="A19"/>
      <selection pane="bottomRight"/>
    </sheetView>
  </sheetViews>
  <sheetFormatPr defaultColWidth="9.1796875" defaultRowHeight="14.5" x14ac:dyDescent="0.35"/>
  <cols>
    <col min="1" max="1" width="29.7265625" style="5" bestFit="1" customWidth="1"/>
    <col min="2" max="2" width="14.81640625" style="5" bestFit="1" customWidth="1"/>
    <col min="3" max="3" width="9.1796875" style="5" bestFit="1" customWidth="1"/>
    <col min="4" max="4" width="15.81640625" style="5" bestFit="1" customWidth="1"/>
    <col min="5" max="5" width="8.7265625" style="5" bestFit="1" customWidth="1"/>
    <col min="6" max="6" width="11.1796875" style="5" bestFit="1" customWidth="1"/>
    <col min="7" max="7" width="27" style="5" customWidth="1"/>
    <col min="8" max="8" width="16.26953125" style="5" bestFit="1" customWidth="1"/>
    <col min="9" max="9" width="10.1796875" style="5" bestFit="1" customWidth="1"/>
    <col min="10" max="10" width="10.26953125" style="114" bestFit="1" customWidth="1"/>
    <col min="11" max="11" width="14.453125" style="5" bestFit="1" customWidth="1"/>
    <col min="12" max="12" width="28" style="5" customWidth="1"/>
    <col min="13" max="13" width="7.54296875" style="5" bestFit="1" customWidth="1"/>
    <col min="14" max="14" width="43.1796875" style="5" bestFit="1" customWidth="1"/>
    <col min="15" max="15" width="9.1796875" style="5"/>
    <col min="16" max="16" width="11" style="5" bestFit="1" customWidth="1"/>
    <col min="17" max="17" width="13" style="5" customWidth="1"/>
    <col min="18" max="18" width="9.1796875" style="5"/>
    <col min="19" max="19" width="29.7265625" style="5" bestFit="1" customWidth="1"/>
    <col min="20" max="20" width="15" style="5" customWidth="1"/>
    <col min="21" max="21" width="16.81640625" style="5" customWidth="1"/>
    <col min="22" max="22" width="8.7265625" style="5" bestFit="1" customWidth="1"/>
    <col min="23" max="16384" width="9.1796875" style="5"/>
  </cols>
  <sheetData>
    <row r="1" spans="1:22" x14ac:dyDescent="0.35">
      <c r="A1" s="4" t="s">
        <v>0</v>
      </c>
      <c r="B1" s="4">
        <v>2025</v>
      </c>
      <c r="S1" s="4" t="s">
        <v>0</v>
      </c>
      <c r="T1" s="4">
        <v>2024</v>
      </c>
    </row>
    <row r="2" spans="1:22" x14ac:dyDescent="0.35">
      <c r="A2" s="6" t="s">
        <v>1</v>
      </c>
      <c r="B2" s="7">
        <f>SUM(D9:D27)</f>
        <v>17500</v>
      </c>
      <c r="K2" s="11" t="s">
        <v>2</v>
      </c>
      <c r="S2" s="6" t="s">
        <v>1</v>
      </c>
      <c r="T2" s="7">
        <f>SUM(U9:U17)</f>
        <v>15000</v>
      </c>
    </row>
    <row r="3" spans="1:22" x14ac:dyDescent="0.35">
      <c r="A3" s="6" t="s">
        <v>3</v>
      </c>
      <c r="B3" s="7">
        <v>10000</v>
      </c>
      <c r="K3" s="7">
        <f>MIN(K23-B2)</f>
        <v>-1000</v>
      </c>
      <c r="S3" s="6" t="s">
        <v>3</v>
      </c>
      <c r="T3" s="7">
        <v>9000</v>
      </c>
    </row>
    <row r="4" spans="1:22" x14ac:dyDescent="0.35">
      <c r="A4" s="6" t="s">
        <v>4</v>
      </c>
      <c r="B4" s="7">
        <f>MIN(B2-B3)</f>
        <v>7500</v>
      </c>
      <c r="K4" s="42">
        <f>K23/B2</f>
        <v>0.94285714285714284</v>
      </c>
      <c r="S4" s="6" t="s">
        <v>4</v>
      </c>
      <c r="T4" s="7">
        <f>MIN(T2-T3)</f>
        <v>6000</v>
      </c>
    </row>
    <row r="5" spans="1:22" x14ac:dyDescent="0.35">
      <c r="A5" s="6" t="s">
        <v>5</v>
      </c>
      <c r="B5" s="7">
        <v>20000</v>
      </c>
      <c r="S5" s="6" t="s">
        <v>5</v>
      </c>
      <c r="T5" s="7">
        <v>11000</v>
      </c>
    </row>
    <row r="6" spans="1:22" x14ac:dyDescent="0.35">
      <c r="A6" s="6" t="s">
        <v>4</v>
      </c>
      <c r="B6" s="7">
        <f>MIN(B2-B5)</f>
        <v>-2500</v>
      </c>
      <c r="S6" s="6" t="s">
        <v>4</v>
      </c>
      <c r="T6" s="7">
        <f>MIN(T2-T5)</f>
        <v>4000</v>
      </c>
    </row>
    <row r="8" spans="1:22" x14ac:dyDescent="0.35">
      <c r="A8" s="12" t="s">
        <v>6</v>
      </c>
      <c r="B8" s="12" t="s">
        <v>7</v>
      </c>
      <c r="C8" s="12" t="s">
        <v>8</v>
      </c>
      <c r="D8" s="12" t="s">
        <v>9</v>
      </c>
      <c r="E8" s="12" t="s">
        <v>10</v>
      </c>
      <c r="F8" s="12" t="s">
        <v>11</v>
      </c>
      <c r="G8" s="12" t="s">
        <v>12</v>
      </c>
      <c r="H8" s="11" t="s">
        <v>13</v>
      </c>
      <c r="I8" s="12" t="s">
        <v>14</v>
      </c>
      <c r="J8" s="122" t="s">
        <v>15</v>
      </c>
      <c r="K8" s="12" t="s">
        <v>16</v>
      </c>
      <c r="L8" s="12" t="s">
        <v>17</v>
      </c>
      <c r="M8" s="12" t="s">
        <v>18</v>
      </c>
      <c r="N8" s="12" t="s">
        <v>19</v>
      </c>
      <c r="P8" s="44" t="s">
        <v>10</v>
      </c>
      <c r="Q8" s="44" t="s">
        <v>20</v>
      </c>
      <c r="S8" s="8" t="s">
        <v>6</v>
      </c>
      <c r="T8" s="8" t="s">
        <v>21</v>
      </c>
      <c r="U8" s="8" t="s">
        <v>9</v>
      </c>
      <c r="V8" s="8" t="s">
        <v>10</v>
      </c>
    </row>
    <row r="9" spans="1:22" x14ac:dyDescent="0.35">
      <c r="A9" s="9" t="s">
        <v>22</v>
      </c>
      <c r="B9" s="9" t="s">
        <v>23</v>
      </c>
      <c r="C9" s="10">
        <v>5000</v>
      </c>
      <c r="D9" s="10">
        <v>5000</v>
      </c>
      <c r="E9" s="9" t="s">
        <v>24</v>
      </c>
      <c r="F9" s="9" t="s">
        <v>25</v>
      </c>
      <c r="G9" s="9" t="s">
        <v>26</v>
      </c>
      <c r="H9" s="94" t="s">
        <v>27</v>
      </c>
      <c r="I9" s="9"/>
      <c r="J9" s="115" t="s">
        <v>28</v>
      </c>
      <c r="K9" s="10">
        <v>5000</v>
      </c>
      <c r="L9" s="9" t="s">
        <v>29</v>
      </c>
      <c r="M9" s="9"/>
      <c r="N9" s="87" t="s">
        <v>30</v>
      </c>
      <c r="P9" s="39" t="s">
        <v>24</v>
      </c>
      <c r="Q9" s="10">
        <v>13500</v>
      </c>
      <c r="S9" s="48" t="s">
        <v>31</v>
      </c>
      <c r="T9" s="48" t="s">
        <v>32</v>
      </c>
      <c r="U9" s="55">
        <v>3500</v>
      </c>
      <c r="V9" s="48" t="s">
        <v>24</v>
      </c>
    </row>
    <row r="10" spans="1:22" ht="29" x14ac:dyDescent="0.35">
      <c r="A10" s="9" t="s">
        <v>31</v>
      </c>
      <c r="B10" s="9" t="s">
        <v>32</v>
      </c>
      <c r="C10" s="10">
        <v>3500</v>
      </c>
      <c r="D10" s="10">
        <v>3500</v>
      </c>
      <c r="E10" s="9" t="s">
        <v>24</v>
      </c>
      <c r="F10" s="9" t="s">
        <v>33</v>
      </c>
      <c r="G10" s="9"/>
      <c r="H10" s="9"/>
      <c r="I10" s="9"/>
      <c r="J10" s="115" t="s">
        <v>34</v>
      </c>
      <c r="K10" s="10">
        <v>3500</v>
      </c>
      <c r="L10" s="9" t="s">
        <v>35</v>
      </c>
      <c r="M10" s="9"/>
      <c r="N10" s="87" t="s">
        <v>36</v>
      </c>
      <c r="P10" s="39" t="s">
        <v>37</v>
      </c>
      <c r="Q10" s="10">
        <v>4000</v>
      </c>
      <c r="S10" s="112" t="s">
        <v>38</v>
      </c>
      <c r="T10" s="112" t="s">
        <v>39</v>
      </c>
      <c r="U10" s="113">
        <v>1500</v>
      </c>
      <c r="V10" s="112" t="s">
        <v>24</v>
      </c>
    </row>
    <row r="11" spans="1:22" ht="43.5" x14ac:dyDescent="0.35">
      <c r="A11" s="9" t="s">
        <v>40</v>
      </c>
      <c r="B11" s="9" t="s">
        <v>41</v>
      </c>
      <c r="C11" s="10">
        <v>2500</v>
      </c>
      <c r="D11" s="10">
        <v>2500</v>
      </c>
      <c r="E11" s="9" t="s">
        <v>37</v>
      </c>
      <c r="F11" s="9" t="s">
        <v>42</v>
      </c>
      <c r="G11" s="9" t="s">
        <v>43</v>
      </c>
      <c r="H11" s="94" t="s">
        <v>27</v>
      </c>
      <c r="I11" s="9"/>
      <c r="J11" s="115" t="s">
        <v>44</v>
      </c>
      <c r="K11" s="10">
        <v>2500</v>
      </c>
      <c r="L11" s="9" t="s">
        <v>45</v>
      </c>
      <c r="M11" s="9"/>
      <c r="N11" s="9" t="s">
        <v>46</v>
      </c>
      <c r="P11" s="39" t="s">
        <v>47</v>
      </c>
      <c r="Q11" s="10"/>
      <c r="S11" s="48" t="s">
        <v>48</v>
      </c>
      <c r="T11" s="48" t="s">
        <v>39</v>
      </c>
      <c r="U11" s="55">
        <v>500</v>
      </c>
      <c r="V11" s="48" t="s">
        <v>24</v>
      </c>
    </row>
    <row r="12" spans="1:22" x14ac:dyDescent="0.35">
      <c r="A12" s="9"/>
      <c r="B12" s="9" t="s">
        <v>49</v>
      </c>
      <c r="C12" s="10">
        <v>2500</v>
      </c>
      <c r="D12" s="10"/>
      <c r="E12" s="9"/>
      <c r="F12" s="9"/>
      <c r="G12" s="9"/>
      <c r="H12" s="9"/>
      <c r="I12" s="9"/>
      <c r="J12" s="115"/>
      <c r="K12" s="10"/>
      <c r="L12" s="9"/>
      <c r="M12" s="9"/>
      <c r="N12" s="9"/>
      <c r="P12" s="39" t="s">
        <v>50</v>
      </c>
      <c r="Q12" s="10"/>
      <c r="S12" s="48" t="s">
        <v>51</v>
      </c>
      <c r="T12" s="48" t="s">
        <v>39</v>
      </c>
      <c r="U12" s="55">
        <v>1000</v>
      </c>
      <c r="V12" s="48" t="s">
        <v>24</v>
      </c>
    </row>
    <row r="13" spans="1:22" x14ac:dyDescent="0.35">
      <c r="A13" s="9" t="s">
        <v>52</v>
      </c>
      <c r="B13" s="9" t="s">
        <v>39</v>
      </c>
      <c r="C13" s="10">
        <v>1000</v>
      </c>
      <c r="D13" s="10">
        <v>1000</v>
      </c>
      <c r="E13" s="9" t="s">
        <v>24</v>
      </c>
      <c r="F13" s="9" t="s">
        <v>53</v>
      </c>
      <c r="G13" s="9"/>
      <c r="H13" s="94" t="s">
        <v>27</v>
      </c>
      <c r="I13" s="9"/>
      <c r="J13" s="245">
        <v>45902</v>
      </c>
      <c r="K13" s="9">
        <v>1000</v>
      </c>
      <c r="L13" s="9" t="s">
        <v>54</v>
      </c>
      <c r="M13" s="9"/>
      <c r="N13" s="9" t="s">
        <v>55</v>
      </c>
      <c r="P13" s="39" t="s">
        <v>56</v>
      </c>
      <c r="Q13" s="10"/>
      <c r="S13" s="48" t="s">
        <v>57</v>
      </c>
      <c r="T13" s="48" t="s">
        <v>39</v>
      </c>
      <c r="U13" s="55">
        <v>1000</v>
      </c>
      <c r="V13" s="48" t="s">
        <v>24</v>
      </c>
    </row>
    <row r="14" spans="1:22" x14ac:dyDescent="0.35">
      <c r="A14" s="9" t="s">
        <v>57</v>
      </c>
      <c r="B14" s="9" t="s">
        <v>39</v>
      </c>
      <c r="C14" s="10">
        <v>1000</v>
      </c>
      <c r="D14" s="10">
        <v>1000</v>
      </c>
      <c r="E14" s="9" t="s">
        <v>24</v>
      </c>
      <c r="F14" s="9" t="s">
        <v>58</v>
      </c>
      <c r="G14" s="9"/>
      <c r="H14" s="94" t="s">
        <v>27</v>
      </c>
      <c r="I14" s="9"/>
      <c r="J14" s="115" t="s">
        <v>59</v>
      </c>
      <c r="K14" s="10">
        <v>1000</v>
      </c>
      <c r="L14" s="9" t="s">
        <v>60</v>
      </c>
      <c r="M14" s="9"/>
      <c r="N14" s="9" t="s">
        <v>61</v>
      </c>
      <c r="P14" s="39" t="s">
        <v>62</v>
      </c>
      <c r="Q14" s="10"/>
      <c r="S14" s="48" t="s">
        <v>63</v>
      </c>
      <c r="T14" s="48" t="s">
        <v>39</v>
      </c>
      <c r="U14" s="55">
        <v>1000</v>
      </c>
      <c r="V14" s="48" t="s">
        <v>24</v>
      </c>
    </row>
    <row r="15" spans="1:22" x14ac:dyDescent="0.35">
      <c r="A15" s="9" t="s">
        <v>48</v>
      </c>
      <c r="B15" s="9" t="s">
        <v>39</v>
      </c>
      <c r="C15" s="10">
        <v>1000</v>
      </c>
      <c r="D15" s="10">
        <v>500</v>
      </c>
      <c r="E15" s="9" t="s">
        <v>24</v>
      </c>
      <c r="F15" s="9" t="s">
        <v>64</v>
      </c>
      <c r="G15" s="9"/>
      <c r="H15" s="9"/>
      <c r="I15" s="9"/>
      <c r="J15" s="115" t="s">
        <v>65</v>
      </c>
      <c r="K15" s="10">
        <v>500</v>
      </c>
      <c r="L15" s="9" t="s">
        <v>66</v>
      </c>
      <c r="M15" s="9"/>
      <c r="N15" s="87" t="s">
        <v>67</v>
      </c>
      <c r="P15" s="39" t="s">
        <v>68</v>
      </c>
      <c r="Q15" s="10"/>
      <c r="S15" s="48" t="s">
        <v>69</v>
      </c>
      <c r="T15" s="48" t="s">
        <v>39</v>
      </c>
      <c r="U15" s="55">
        <v>500</v>
      </c>
      <c r="V15" s="48" t="s">
        <v>24</v>
      </c>
    </row>
    <row r="16" spans="1:22" ht="45" x14ac:dyDescent="0.35">
      <c r="A16" s="9" t="s">
        <v>70</v>
      </c>
      <c r="B16" s="9" t="s">
        <v>39</v>
      </c>
      <c r="C16" s="10">
        <v>1000</v>
      </c>
      <c r="D16" s="10">
        <v>1500</v>
      </c>
      <c r="E16" s="9" t="s">
        <v>37</v>
      </c>
      <c r="F16" s="9" t="s">
        <v>71</v>
      </c>
      <c r="G16" s="180" t="s">
        <v>72</v>
      </c>
      <c r="H16" s="9"/>
      <c r="I16" s="9"/>
      <c r="J16" s="115" t="s">
        <v>73</v>
      </c>
      <c r="K16" s="10">
        <v>1500</v>
      </c>
      <c r="L16" s="9" t="s">
        <v>74</v>
      </c>
      <c r="M16" s="9"/>
      <c r="N16" s="87" t="s">
        <v>75</v>
      </c>
      <c r="P16" s="39" t="s">
        <v>76</v>
      </c>
      <c r="Q16" s="10"/>
      <c r="S16" s="48" t="s">
        <v>77</v>
      </c>
      <c r="T16" s="48" t="s">
        <v>23</v>
      </c>
      <c r="U16" s="55">
        <v>5000</v>
      </c>
      <c r="V16" s="48" t="s">
        <v>37</v>
      </c>
    </row>
    <row r="17" spans="1:22" x14ac:dyDescent="0.35">
      <c r="A17" s="9" t="s">
        <v>51</v>
      </c>
      <c r="B17" s="9" t="s">
        <v>39</v>
      </c>
      <c r="C17" s="10">
        <v>1000</v>
      </c>
      <c r="D17" s="10">
        <v>1000</v>
      </c>
      <c r="E17" s="9" t="s">
        <v>24</v>
      </c>
      <c r="F17" s="9" t="s">
        <v>78</v>
      </c>
      <c r="G17" s="9"/>
      <c r="H17" s="94" t="s">
        <v>27</v>
      </c>
      <c r="I17" s="9"/>
      <c r="J17" s="245">
        <v>45887</v>
      </c>
      <c r="K17" s="10">
        <v>1000</v>
      </c>
      <c r="L17" s="9" t="s">
        <v>79</v>
      </c>
      <c r="M17" s="9"/>
      <c r="N17" s="9" t="s">
        <v>80</v>
      </c>
      <c r="P17" s="39" t="s">
        <v>81</v>
      </c>
      <c r="Q17" s="10"/>
      <c r="S17" s="48" t="s">
        <v>52</v>
      </c>
      <c r="T17" s="48" t="s">
        <v>39</v>
      </c>
      <c r="U17" s="55">
        <v>1000</v>
      </c>
      <c r="V17" s="48" t="s">
        <v>24</v>
      </c>
    </row>
    <row r="18" spans="1:22" x14ac:dyDescent="0.35">
      <c r="A18" s="9" t="s">
        <v>69</v>
      </c>
      <c r="B18" s="9" t="s">
        <v>39</v>
      </c>
      <c r="C18" s="10">
        <v>1000</v>
      </c>
      <c r="D18" s="10">
        <v>500</v>
      </c>
      <c r="E18" s="9" t="s">
        <v>24</v>
      </c>
      <c r="F18" s="9" t="s">
        <v>82</v>
      </c>
      <c r="G18" s="9"/>
      <c r="H18" s="9"/>
      <c r="I18" s="9"/>
      <c r="J18" s="115" t="s">
        <v>83</v>
      </c>
      <c r="K18" s="10">
        <v>500</v>
      </c>
      <c r="L18" s="9" t="s">
        <v>84</v>
      </c>
      <c r="M18" s="9"/>
      <c r="N18" s="87" t="s">
        <v>85</v>
      </c>
      <c r="P18" s="39" t="s">
        <v>86</v>
      </c>
      <c r="Q18" s="10"/>
    </row>
    <row r="19" spans="1:22" ht="29" x14ac:dyDescent="0.35">
      <c r="A19" s="9" t="s">
        <v>87</v>
      </c>
      <c r="B19" s="9" t="s">
        <v>39</v>
      </c>
      <c r="C19" s="10">
        <v>1000</v>
      </c>
      <c r="D19" s="10">
        <v>1000</v>
      </c>
      <c r="E19" s="9" t="s">
        <v>24</v>
      </c>
      <c r="F19" s="9" t="s">
        <v>88</v>
      </c>
      <c r="G19" s="9" t="s">
        <v>89</v>
      </c>
      <c r="H19" s="94" t="s">
        <v>27</v>
      </c>
      <c r="I19" s="9"/>
      <c r="J19" s="115"/>
      <c r="K19" s="10"/>
      <c r="L19" s="9"/>
      <c r="M19" s="9"/>
      <c r="N19" s="9"/>
      <c r="P19" s="39" t="s">
        <v>90</v>
      </c>
      <c r="Q19" s="10"/>
    </row>
    <row r="20" spans="1:22" x14ac:dyDescent="0.35">
      <c r="K20" s="21"/>
      <c r="P20" s="39" t="s">
        <v>91</v>
      </c>
      <c r="Q20" s="10"/>
    </row>
    <row r="21" spans="1:22" x14ac:dyDescent="0.35">
      <c r="K21" s="21"/>
      <c r="P21" s="39" t="s">
        <v>92</v>
      </c>
      <c r="Q21" s="10"/>
    </row>
    <row r="22" spans="1:22" x14ac:dyDescent="0.35">
      <c r="K22" s="21"/>
      <c r="P22" s="39" t="s">
        <v>93</v>
      </c>
      <c r="Q22" s="10"/>
    </row>
    <row r="23" spans="1:22" x14ac:dyDescent="0.35">
      <c r="K23" s="29">
        <f>SUM(K9:K22)</f>
        <v>16500</v>
      </c>
      <c r="P23" s="39" t="s">
        <v>94</v>
      </c>
      <c r="Q23" s="10"/>
    </row>
    <row r="24" spans="1:22" x14ac:dyDescent="0.35">
      <c r="P24" s="39" t="s">
        <v>95</v>
      </c>
      <c r="Q24" s="10"/>
    </row>
    <row r="25" spans="1:22" x14ac:dyDescent="0.35">
      <c r="P25" s="39" t="s">
        <v>96</v>
      </c>
      <c r="Q25" s="10"/>
    </row>
    <row r="26" spans="1:22" x14ac:dyDescent="0.35">
      <c r="P26" s="39" t="s">
        <v>97</v>
      </c>
      <c r="Q26" s="10"/>
    </row>
    <row r="27" spans="1:22" x14ac:dyDescent="0.35">
      <c r="P27" s="39" t="s">
        <v>98</v>
      </c>
      <c r="Q27" s="10"/>
    </row>
    <row r="28" spans="1:22" x14ac:dyDescent="0.35">
      <c r="P28" s="45" t="s">
        <v>99</v>
      </c>
      <c r="Q28" s="46">
        <v>17500</v>
      </c>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V17">
    <sortCondition ref="S9:S17"/>
  </sortState>
  <hyperlinks>
    <hyperlink ref="N15" r:id="rId2" xr:uid="{FC671312-1442-41D7-96F1-447193307506}"/>
    <hyperlink ref="N10" r:id="rId3" display="mailto:Crystal.Floyd@acxiom.com" xr:uid="{7040DFC3-9B6D-4BEC-A256-9542FC7A72FE}"/>
    <hyperlink ref="N16" r:id="rId4" xr:uid="{4C4CB94E-07DF-4674-A81D-208432C1E7B5}"/>
    <hyperlink ref="N18" r:id="rId5" xr:uid="{E778BD47-96FD-42F4-8133-21469400EA64}"/>
    <hyperlink ref="N9" r:id="rId6" display="mailto:jay.bernard.l8if@statefarm.com" xr:uid="{2EAF66DA-0303-4793-983B-101C0B9B1A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6B47-7771-4AF9-8877-8117ED237356}">
  <dimension ref="A1:V324"/>
  <sheetViews>
    <sheetView workbookViewId="0">
      <pane ySplit="8" topLeftCell="A41" activePane="bottomLeft" state="frozen"/>
      <selection pane="bottomLeft" activeCell="B43" sqref="B43"/>
    </sheetView>
  </sheetViews>
  <sheetFormatPr defaultColWidth="38.54296875" defaultRowHeight="14.5" x14ac:dyDescent="0.35"/>
  <cols>
    <col min="1" max="1" width="36.453125" style="5" bestFit="1" customWidth="1"/>
    <col min="2" max="2" width="16.81640625" style="5" bestFit="1" customWidth="1"/>
    <col min="3" max="3" width="12.7265625" style="5" customWidth="1"/>
    <col min="4" max="4" width="15.81640625" style="5" bestFit="1" customWidth="1"/>
    <col min="5" max="5" width="8.7265625" style="5" bestFit="1" customWidth="1"/>
    <col min="6" max="6" width="11.1796875" style="5" bestFit="1" customWidth="1"/>
    <col min="7" max="7" width="71.7265625" style="5" bestFit="1" customWidth="1"/>
    <col min="8" max="8" width="16.26953125" style="98" bestFit="1" customWidth="1"/>
    <col min="9" max="9" width="10.1796875" style="5" bestFit="1" customWidth="1"/>
    <col min="10" max="10" width="10.7265625" style="5" customWidth="1"/>
    <col min="11" max="11" width="14.453125" style="221" bestFit="1" customWidth="1"/>
    <col min="12" max="12" width="29.1796875" style="5" bestFit="1" customWidth="1"/>
    <col min="13" max="13" width="21.81640625" style="5" bestFit="1" customWidth="1"/>
    <col min="14" max="14" width="44.453125" style="5" bestFit="1" customWidth="1"/>
    <col min="15" max="15" width="38.54296875" style="5"/>
    <col min="16" max="16" width="11" style="5" bestFit="1" customWidth="1"/>
    <col min="17" max="17" width="11.1796875" style="5" bestFit="1" customWidth="1"/>
    <col min="18" max="18" width="38.54296875" style="5"/>
    <col min="19" max="19" width="53.81640625" style="5" bestFit="1" customWidth="1"/>
    <col min="20" max="20" width="17.453125" style="5" bestFit="1" customWidth="1"/>
    <col min="21" max="21" width="15.81640625" style="5" bestFit="1" customWidth="1"/>
    <col min="22" max="22" width="8.7265625" style="5" bestFit="1" customWidth="1"/>
    <col min="23" max="16384" width="38.54296875" style="5"/>
  </cols>
  <sheetData>
    <row r="1" spans="1:22" x14ac:dyDescent="0.35">
      <c r="A1" s="4" t="s">
        <v>100</v>
      </c>
      <c r="B1" s="4">
        <v>2025</v>
      </c>
      <c r="S1" s="4" t="s">
        <v>100</v>
      </c>
      <c r="T1" s="167">
        <v>2024</v>
      </c>
    </row>
    <row r="2" spans="1:22" x14ac:dyDescent="0.35">
      <c r="A2" s="6" t="s">
        <v>1</v>
      </c>
      <c r="B2" s="7">
        <f>SUM(D9:D117)</f>
        <v>293000</v>
      </c>
      <c r="G2" s="4" t="s">
        <v>101</v>
      </c>
      <c r="K2" s="222" t="s">
        <v>2</v>
      </c>
      <c r="S2" s="6" t="s">
        <v>1</v>
      </c>
      <c r="T2" s="6">
        <f>SUM(U9:U100)</f>
        <v>305120</v>
      </c>
    </row>
    <row r="3" spans="1:22" x14ac:dyDescent="0.35">
      <c r="A3" s="6" t="s">
        <v>3</v>
      </c>
      <c r="B3" s="7">
        <v>255000</v>
      </c>
      <c r="K3" s="223">
        <f>MIN(K120-B2)</f>
        <v>-22064.5</v>
      </c>
      <c r="S3" s="6" t="s">
        <v>3</v>
      </c>
      <c r="T3" s="6">
        <v>215000</v>
      </c>
    </row>
    <row r="4" spans="1:22" x14ac:dyDescent="0.35">
      <c r="A4" s="6" t="s">
        <v>4</v>
      </c>
      <c r="B4" s="7">
        <f>MIN(B2-B3)</f>
        <v>38000</v>
      </c>
      <c r="K4" s="224">
        <f>K120/B2</f>
        <v>0.9246945392491468</v>
      </c>
      <c r="S4" s="6" t="s">
        <v>4</v>
      </c>
      <c r="T4" s="6">
        <f>MIN(T2-T3)</f>
        <v>90120</v>
      </c>
    </row>
    <row r="5" spans="1:22" x14ac:dyDescent="0.35">
      <c r="A5" s="6" t="s">
        <v>5</v>
      </c>
      <c r="B5" s="7">
        <v>305000</v>
      </c>
      <c r="S5" s="6" t="s">
        <v>5</v>
      </c>
      <c r="T5" s="6">
        <v>300000</v>
      </c>
    </row>
    <row r="6" spans="1:22" x14ac:dyDescent="0.35">
      <c r="A6" s="6" t="s">
        <v>4</v>
      </c>
      <c r="B6" s="7">
        <f>MIN(B2-B5)</f>
        <v>-12000</v>
      </c>
      <c r="S6" s="6" t="s">
        <v>4</v>
      </c>
      <c r="T6" s="6">
        <f>MIN(T2-T5)</f>
        <v>5120</v>
      </c>
    </row>
    <row r="8" spans="1:22" x14ac:dyDescent="0.35">
      <c r="A8" s="12" t="s">
        <v>6</v>
      </c>
      <c r="B8" s="12" t="s">
        <v>7</v>
      </c>
      <c r="C8" s="12" t="s">
        <v>8</v>
      </c>
      <c r="D8" s="12" t="s">
        <v>9</v>
      </c>
      <c r="E8" s="12" t="s">
        <v>10</v>
      </c>
      <c r="F8" s="12" t="s">
        <v>11</v>
      </c>
      <c r="G8" s="12" t="s">
        <v>12</v>
      </c>
      <c r="H8" s="96" t="s">
        <v>13</v>
      </c>
      <c r="I8" s="122" t="s">
        <v>14</v>
      </c>
      <c r="J8" s="12" t="s">
        <v>15</v>
      </c>
      <c r="K8" s="225" t="s">
        <v>16</v>
      </c>
      <c r="L8" s="12" t="s">
        <v>17</v>
      </c>
      <c r="M8" s="12" t="s">
        <v>18</v>
      </c>
      <c r="N8" s="12" t="s">
        <v>19</v>
      </c>
      <c r="P8" s="44" t="s">
        <v>10</v>
      </c>
      <c r="Q8" s="44" t="s">
        <v>20</v>
      </c>
      <c r="S8" s="8" t="s">
        <v>6</v>
      </c>
      <c r="T8" s="8" t="s">
        <v>21</v>
      </c>
      <c r="U8" s="8" t="s">
        <v>9</v>
      </c>
      <c r="V8" s="8" t="s">
        <v>10</v>
      </c>
    </row>
    <row r="9" spans="1:22" x14ac:dyDescent="0.35">
      <c r="A9" s="9" t="s">
        <v>102</v>
      </c>
      <c r="B9" s="9" t="s">
        <v>23</v>
      </c>
      <c r="C9" s="10">
        <v>25000</v>
      </c>
      <c r="D9" s="10">
        <v>20000</v>
      </c>
      <c r="E9" s="9" t="s">
        <v>96</v>
      </c>
      <c r="F9" s="9" t="s">
        <v>103</v>
      </c>
      <c r="G9" s="9" t="s">
        <v>104</v>
      </c>
      <c r="H9" s="233" t="s">
        <v>27</v>
      </c>
      <c r="I9" s="215"/>
      <c r="J9" s="255">
        <v>45954</v>
      </c>
      <c r="K9" s="234">
        <v>8925</v>
      </c>
      <c r="L9" s="9" t="s">
        <v>105</v>
      </c>
      <c r="M9" s="9"/>
      <c r="N9" s="168" t="s">
        <v>106</v>
      </c>
      <c r="P9" s="39" t="s">
        <v>24</v>
      </c>
      <c r="Q9" s="10">
        <v>133000</v>
      </c>
      <c r="S9" s="48" t="s">
        <v>31</v>
      </c>
      <c r="T9" s="48" t="s">
        <v>32</v>
      </c>
      <c r="U9" s="48">
        <v>15000</v>
      </c>
      <c r="V9" s="48" t="s">
        <v>24</v>
      </c>
    </row>
    <row r="10" spans="1:22" ht="29" x14ac:dyDescent="0.35">
      <c r="A10" s="9" t="s">
        <v>31</v>
      </c>
      <c r="B10" s="9" t="s">
        <v>32</v>
      </c>
      <c r="C10" s="10">
        <v>15000</v>
      </c>
      <c r="D10" s="10">
        <v>15000</v>
      </c>
      <c r="E10" s="9" t="s">
        <v>24</v>
      </c>
      <c r="F10" s="9" t="s">
        <v>33</v>
      </c>
      <c r="G10" s="9"/>
      <c r="H10" s="99"/>
      <c r="I10" s="9"/>
      <c r="J10" s="9" t="s">
        <v>107</v>
      </c>
      <c r="K10" s="226">
        <v>15000</v>
      </c>
      <c r="L10" s="9" t="s">
        <v>35</v>
      </c>
      <c r="M10" s="9"/>
      <c r="N10" s="169" t="s">
        <v>36</v>
      </c>
      <c r="P10" s="39" t="s">
        <v>37</v>
      </c>
      <c r="Q10" s="10">
        <v>12350</v>
      </c>
      <c r="S10" s="48" t="s">
        <v>108</v>
      </c>
      <c r="T10" s="48" t="s">
        <v>109</v>
      </c>
      <c r="U10" s="48">
        <v>1500</v>
      </c>
      <c r="V10" s="48" t="s">
        <v>95</v>
      </c>
    </row>
    <row r="11" spans="1:22" ht="29" x14ac:dyDescent="0.35">
      <c r="A11" s="9" t="s">
        <v>110</v>
      </c>
      <c r="B11" s="9" t="s">
        <v>32</v>
      </c>
      <c r="C11" s="10">
        <v>15000</v>
      </c>
      <c r="D11" s="10">
        <v>15000</v>
      </c>
      <c r="E11" s="9" t="s">
        <v>24</v>
      </c>
      <c r="F11" s="9" t="s">
        <v>111</v>
      </c>
      <c r="G11" s="9"/>
      <c r="H11" s="99"/>
      <c r="I11" s="9"/>
      <c r="J11" s="9" t="s">
        <v>112</v>
      </c>
      <c r="K11" s="226">
        <v>7500</v>
      </c>
      <c r="L11" s="9" t="s">
        <v>113</v>
      </c>
      <c r="M11" s="9"/>
      <c r="N11" s="9"/>
      <c r="P11" s="39" t="s">
        <v>47</v>
      </c>
      <c r="Q11" s="10"/>
      <c r="S11" s="112" t="s">
        <v>114</v>
      </c>
      <c r="T11" s="112" t="s">
        <v>109</v>
      </c>
      <c r="U11" s="112">
        <v>1500</v>
      </c>
      <c r="V11" s="112" t="s">
        <v>96</v>
      </c>
    </row>
    <row r="12" spans="1:22" x14ac:dyDescent="0.35">
      <c r="A12" s="88"/>
      <c r="B12" s="88" t="s">
        <v>32</v>
      </c>
      <c r="C12" s="171">
        <v>15000</v>
      </c>
      <c r="D12" s="171"/>
      <c r="E12" s="88"/>
      <c r="F12" s="88"/>
      <c r="G12" s="88"/>
      <c r="H12" s="220"/>
      <c r="I12" s="88"/>
      <c r="J12" s="9" t="s">
        <v>115</v>
      </c>
      <c r="K12" s="226">
        <v>7500</v>
      </c>
      <c r="L12" s="88"/>
      <c r="M12" s="88"/>
      <c r="N12" s="88"/>
      <c r="P12" s="39" t="s">
        <v>50</v>
      </c>
      <c r="Q12" s="10"/>
      <c r="S12" s="48" t="s">
        <v>116</v>
      </c>
      <c r="T12" s="48" t="s">
        <v>109</v>
      </c>
      <c r="U12" s="48">
        <v>1500</v>
      </c>
      <c r="V12" s="48" t="s">
        <v>24</v>
      </c>
    </row>
    <row r="13" spans="1:22" x14ac:dyDescent="0.35">
      <c r="A13" s="9" t="s">
        <v>117</v>
      </c>
      <c r="B13" s="9" t="s">
        <v>118</v>
      </c>
      <c r="C13" s="10">
        <v>10000</v>
      </c>
      <c r="D13" s="10">
        <v>7000</v>
      </c>
      <c r="E13" s="9" t="s">
        <v>97</v>
      </c>
      <c r="F13" s="9" t="s">
        <v>119</v>
      </c>
      <c r="G13" s="9" t="s">
        <v>120</v>
      </c>
      <c r="H13" s="99"/>
      <c r="I13" s="9"/>
      <c r="J13" s="9" t="s">
        <v>121</v>
      </c>
      <c r="K13" s="226">
        <v>7000</v>
      </c>
      <c r="L13" s="9" t="s">
        <v>122</v>
      </c>
      <c r="M13" s="9"/>
      <c r="N13" s="9" t="s">
        <v>123</v>
      </c>
      <c r="P13" s="39" t="s">
        <v>56</v>
      </c>
      <c r="Q13" s="10">
        <v>10850</v>
      </c>
      <c r="S13" s="9" t="s">
        <v>124</v>
      </c>
      <c r="T13" s="9" t="s">
        <v>39</v>
      </c>
      <c r="U13" s="9">
        <v>2850</v>
      </c>
      <c r="V13" s="9" t="s">
        <v>92</v>
      </c>
    </row>
    <row r="14" spans="1:22" x14ac:dyDescent="0.35">
      <c r="A14" s="9" t="s">
        <v>48</v>
      </c>
      <c r="B14" s="9" t="s">
        <v>118</v>
      </c>
      <c r="C14" s="10">
        <v>10000</v>
      </c>
      <c r="D14" s="10">
        <v>10000</v>
      </c>
      <c r="E14" s="9" t="s">
        <v>24</v>
      </c>
      <c r="F14" s="9" t="s">
        <v>64</v>
      </c>
      <c r="G14" s="9"/>
      <c r="H14" s="99"/>
      <c r="I14" s="9"/>
      <c r="J14" s="9" t="s">
        <v>125</v>
      </c>
      <c r="K14" s="226">
        <v>10000</v>
      </c>
      <c r="L14" s="9" t="s">
        <v>66</v>
      </c>
      <c r="M14" s="9"/>
      <c r="N14" s="169" t="s">
        <v>67</v>
      </c>
      <c r="P14" s="39" t="s">
        <v>62</v>
      </c>
      <c r="Q14" s="10"/>
      <c r="S14" s="48" t="s">
        <v>126</v>
      </c>
      <c r="T14" s="48" t="s">
        <v>39</v>
      </c>
      <c r="U14" s="48">
        <v>2850</v>
      </c>
      <c r="V14" s="48" t="s">
        <v>24</v>
      </c>
    </row>
    <row r="15" spans="1:22" x14ac:dyDescent="0.35">
      <c r="A15" s="9" t="s">
        <v>40</v>
      </c>
      <c r="B15" s="9" t="s">
        <v>118</v>
      </c>
      <c r="C15" s="10">
        <v>10000</v>
      </c>
      <c r="D15" s="10">
        <v>10000</v>
      </c>
      <c r="E15" s="9" t="s">
        <v>24</v>
      </c>
      <c r="F15" s="9" t="s">
        <v>42</v>
      </c>
      <c r="G15" s="9" t="s">
        <v>127</v>
      </c>
      <c r="H15" s="233" t="s">
        <v>27</v>
      </c>
      <c r="I15" s="215"/>
      <c r="J15" s="215" t="s">
        <v>128</v>
      </c>
      <c r="K15" s="234">
        <v>10000</v>
      </c>
      <c r="L15" s="9" t="s">
        <v>45</v>
      </c>
      <c r="M15" s="9"/>
      <c r="N15" s="9" t="s">
        <v>46</v>
      </c>
      <c r="P15" s="39" t="s">
        <v>68</v>
      </c>
      <c r="Q15" s="10">
        <v>8000</v>
      </c>
      <c r="S15" s="48" t="s">
        <v>129</v>
      </c>
      <c r="T15" s="48" t="s">
        <v>109</v>
      </c>
      <c r="U15" s="48">
        <v>1500</v>
      </c>
      <c r="V15" s="48" t="s">
        <v>90</v>
      </c>
    </row>
    <row r="16" spans="1:22" x14ac:dyDescent="0.35">
      <c r="A16" s="9" t="s">
        <v>130</v>
      </c>
      <c r="B16" s="9" t="s">
        <v>131</v>
      </c>
      <c r="C16" s="10">
        <v>5000</v>
      </c>
      <c r="D16" s="10">
        <v>5000</v>
      </c>
      <c r="E16" s="9" t="s">
        <v>37</v>
      </c>
      <c r="F16" s="9"/>
      <c r="G16" s="9"/>
      <c r="H16" s="99"/>
      <c r="I16" s="9"/>
      <c r="J16" s="195">
        <v>46010</v>
      </c>
      <c r="K16" s="226">
        <v>5000</v>
      </c>
      <c r="L16" s="9"/>
      <c r="M16" s="9"/>
      <c r="N16" s="9"/>
      <c r="P16" s="39" t="s">
        <v>76</v>
      </c>
      <c r="Q16" s="10">
        <v>5850</v>
      </c>
      <c r="S16" s="48" t="s">
        <v>132</v>
      </c>
      <c r="T16" s="48" t="s">
        <v>109</v>
      </c>
      <c r="U16" s="48">
        <v>1500</v>
      </c>
      <c r="V16" s="48"/>
    </row>
    <row r="17" spans="1:22" ht="43.5" x14ac:dyDescent="0.35">
      <c r="A17" s="9" t="s">
        <v>52</v>
      </c>
      <c r="B17" s="9" t="s">
        <v>131</v>
      </c>
      <c r="C17" s="10">
        <v>5000</v>
      </c>
      <c r="D17" s="10">
        <v>5000</v>
      </c>
      <c r="E17" s="9" t="s">
        <v>24</v>
      </c>
      <c r="F17" s="9" t="s">
        <v>53</v>
      </c>
      <c r="G17" s="9" t="s">
        <v>133</v>
      </c>
      <c r="H17" s="233" t="s">
        <v>27</v>
      </c>
      <c r="I17" s="215"/>
      <c r="J17" s="215" t="s">
        <v>134</v>
      </c>
      <c r="K17" s="234">
        <f>686.25+2813.75+1500</f>
        <v>5000</v>
      </c>
      <c r="L17" s="9" t="s">
        <v>54</v>
      </c>
      <c r="M17" s="9"/>
      <c r="N17" s="9" t="s">
        <v>55</v>
      </c>
      <c r="P17" s="39" t="s">
        <v>81</v>
      </c>
      <c r="Q17" s="10"/>
      <c r="S17" s="48" t="s">
        <v>135</v>
      </c>
      <c r="T17" s="48" t="s">
        <v>131</v>
      </c>
      <c r="U17" s="48">
        <v>5000</v>
      </c>
      <c r="V17" s="48" t="s">
        <v>86</v>
      </c>
    </row>
    <row r="18" spans="1:22" x14ac:dyDescent="0.35">
      <c r="A18" s="9" t="s">
        <v>57</v>
      </c>
      <c r="B18" s="9" t="s">
        <v>131</v>
      </c>
      <c r="C18" s="10">
        <v>5000</v>
      </c>
      <c r="D18" s="10">
        <v>5000</v>
      </c>
      <c r="E18" s="9" t="s">
        <v>24</v>
      </c>
      <c r="F18" s="9" t="s">
        <v>58</v>
      </c>
      <c r="G18" s="9"/>
      <c r="H18" s="233" t="s">
        <v>27</v>
      </c>
      <c r="I18" s="215"/>
      <c r="J18" s="215" t="s">
        <v>136</v>
      </c>
      <c r="K18" s="234">
        <v>5000</v>
      </c>
      <c r="L18" s="9" t="s">
        <v>60</v>
      </c>
      <c r="M18" s="9"/>
      <c r="N18" s="9" t="s">
        <v>61</v>
      </c>
      <c r="P18" s="39" t="s">
        <v>86</v>
      </c>
      <c r="Q18" s="10">
        <v>18500</v>
      </c>
      <c r="S18" s="48" t="s">
        <v>137</v>
      </c>
      <c r="T18" s="48" t="s">
        <v>109</v>
      </c>
      <c r="U18" s="48">
        <v>1500</v>
      </c>
      <c r="V18" s="48" t="s">
        <v>95</v>
      </c>
    </row>
    <row r="19" spans="1:22" ht="29" x14ac:dyDescent="0.35">
      <c r="A19" s="9" t="s">
        <v>51</v>
      </c>
      <c r="B19" s="9" t="s">
        <v>131</v>
      </c>
      <c r="C19" s="10">
        <v>5000</v>
      </c>
      <c r="D19" s="10">
        <v>5000</v>
      </c>
      <c r="E19" s="9" t="s">
        <v>24</v>
      </c>
      <c r="F19" s="9" t="s">
        <v>78</v>
      </c>
      <c r="G19" s="9"/>
      <c r="H19" s="233" t="s">
        <v>27</v>
      </c>
      <c r="I19" s="215"/>
      <c r="J19" s="215" t="s">
        <v>138</v>
      </c>
      <c r="K19" s="234">
        <f>2755+1017</f>
        <v>3772</v>
      </c>
      <c r="L19" s="9" t="s">
        <v>79</v>
      </c>
      <c r="M19" s="9"/>
      <c r="N19" s="9" t="s">
        <v>80</v>
      </c>
      <c r="P19" s="39" t="s">
        <v>90</v>
      </c>
      <c r="Q19" s="10">
        <v>3000</v>
      </c>
      <c r="S19" s="48" t="s">
        <v>139</v>
      </c>
      <c r="T19" s="48" t="s">
        <v>131</v>
      </c>
      <c r="U19" s="48">
        <v>5000</v>
      </c>
      <c r="V19" s="48" t="s">
        <v>95</v>
      </c>
    </row>
    <row r="20" spans="1:22" x14ac:dyDescent="0.35">
      <c r="A20" s="43"/>
      <c r="B20" s="43"/>
      <c r="C20" s="43"/>
      <c r="D20" s="43"/>
      <c r="E20" s="43"/>
      <c r="F20" s="43"/>
      <c r="G20" s="43"/>
      <c r="H20" s="100"/>
      <c r="I20" s="43"/>
      <c r="J20" s="5" t="s">
        <v>28</v>
      </c>
      <c r="K20" s="231">
        <v>1228</v>
      </c>
      <c r="L20" s="43"/>
      <c r="M20" s="43"/>
      <c r="N20" s="43"/>
      <c r="P20" s="39" t="s">
        <v>91</v>
      </c>
      <c r="Q20" s="10"/>
      <c r="S20" s="48" t="s">
        <v>140</v>
      </c>
      <c r="T20" s="48" t="s">
        <v>39</v>
      </c>
      <c r="U20" s="48">
        <v>2850</v>
      </c>
      <c r="V20" s="48" t="s">
        <v>24</v>
      </c>
    </row>
    <row r="21" spans="1:22" x14ac:dyDescent="0.35">
      <c r="A21" s="9" t="s">
        <v>141</v>
      </c>
      <c r="B21" s="9" t="s">
        <v>131</v>
      </c>
      <c r="C21" s="10">
        <v>5000</v>
      </c>
      <c r="D21" s="10">
        <v>5000</v>
      </c>
      <c r="E21" s="9" t="s">
        <v>86</v>
      </c>
      <c r="F21" s="9" t="s">
        <v>142</v>
      </c>
      <c r="G21" s="9"/>
      <c r="H21" s="99"/>
      <c r="I21" s="9"/>
      <c r="J21" s="9" t="s">
        <v>143</v>
      </c>
      <c r="K21" s="226">
        <v>5000</v>
      </c>
      <c r="L21" s="9" t="s">
        <v>144</v>
      </c>
      <c r="M21" s="9"/>
      <c r="N21" s="9"/>
      <c r="P21" s="39" t="s">
        <v>92</v>
      </c>
      <c r="Q21" s="10">
        <v>10000</v>
      </c>
      <c r="S21" s="48" t="s">
        <v>145</v>
      </c>
      <c r="T21" s="48" t="s">
        <v>109</v>
      </c>
      <c r="U21" s="48">
        <v>1500</v>
      </c>
      <c r="V21" s="48" t="s">
        <v>96</v>
      </c>
    </row>
    <row r="22" spans="1:22" x14ac:dyDescent="0.35">
      <c r="A22" s="9" t="s">
        <v>146</v>
      </c>
      <c r="B22" s="9" t="s">
        <v>131</v>
      </c>
      <c r="C22" s="10">
        <v>5000</v>
      </c>
      <c r="D22" s="10">
        <v>5000</v>
      </c>
      <c r="E22" s="9" t="s">
        <v>24</v>
      </c>
      <c r="F22" s="9" t="s">
        <v>147</v>
      </c>
      <c r="G22" s="9"/>
      <c r="H22" s="99"/>
      <c r="I22" s="9"/>
      <c r="J22" s="9" t="s">
        <v>148</v>
      </c>
      <c r="K22" s="226">
        <v>5000</v>
      </c>
      <c r="L22" s="9" t="s">
        <v>149</v>
      </c>
      <c r="M22" s="9"/>
      <c r="N22" s="169" t="s">
        <v>150</v>
      </c>
      <c r="P22" s="39" t="s">
        <v>93</v>
      </c>
      <c r="Q22" s="10">
        <v>9000</v>
      </c>
      <c r="S22" s="48" t="s">
        <v>151</v>
      </c>
      <c r="T22" s="48" t="s">
        <v>109</v>
      </c>
      <c r="U22" s="48">
        <v>1500</v>
      </c>
      <c r="V22" s="48" t="s">
        <v>95</v>
      </c>
    </row>
    <row r="23" spans="1:22" ht="29" x14ac:dyDescent="0.35">
      <c r="A23" s="9" t="s">
        <v>152</v>
      </c>
      <c r="B23" s="9" t="s">
        <v>131</v>
      </c>
      <c r="C23" s="10">
        <v>5000</v>
      </c>
      <c r="D23" s="10">
        <v>5000</v>
      </c>
      <c r="E23" s="9" t="s">
        <v>95</v>
      </c>
      <c r="F23" s="9" t="s">
        <v>153</v>
      </c>
      <c r="G23" s="9"/>
      <c r="H23" s="233" t="s">
        <v>27</v>
      </c>
      <c r="I23" s="215"/>
      <c r="J23" s="215" t="s">
        <v>154</v>
      </c>
      <c r="K23" s="234">
        <f>241.25+672.5</f>
        <v>913.75</v>
      </c>
      <c r="L23" s="9" t="s">
        <v>155</v>
      </c>
      <c r="M23" s="9"/>
      <c r="N23" s="169" t="s">
        <v>156</v>
      </c>
      <c r="P23" s="39" t="s">
        <v>94</v>
      </c>
      <c r="Q23" s="10"/>
      <c r="S23" s="48" t="s">
        <v>157</v>
      </c>
      <c r="T23" s="48" t="s">
        <v>109</v>
      </c>
      <c r="U23" s="48">
        <v>1500</v>
      </c>
      <c r="V23" s="48" t="s">
        <v>92</v>
      </c>
    </row>
    <row r="24" spans="1:22" x14ac:dyDescent="0.35">
      <c r="A24" s="43"/>
      <c r="B24" s="43"/>
      <c r="C24" s="43"/>
      <c r="D24" s="43"/>
      <c r="E24" s="43"/>
      <c r="F24" s="43"/>
      <c r="G24" s="43"/>
      <c r="H24" s="100"/>
      <c r="I24" s="43"/>
      <c r="J24" s="9" t="s">
        <v>158</v>
      </c>
      <c r="K24" s="232">
        <v>4086.25</v>
      </c>
      <c r="L24" s="43"/>
      <c r="M24" s="43"/>
      <c r="P24" s="39" t="s">
        <v>95</v>
      </c>
      <c r="Q24" s="10">
        <v>34725</v>
      </c>
      <c r="S24" s="112" t="s">
        <v>159</v>
      </c>
      <c r="T24" s="112" t="s">
        <v>41</v>
      </c>
      <c r="U24" s="112">
        <v>5000</v>
      </c>
      <c r="V24" s="112" t="s">
        <v>95</v>
      </c>
    </row>
    <row r="25" spans="1:22" x14ac:dyDescent="0.35">
      <c r="A25" s="9" t="s">
        <v>160</v>
      </c>
      <c r="B25" s="9" t="s">
        <v>131</v>
      </c>
      <c r="C25" s="10">
        <v>5000</v>
      </c>
      <c r="D25" s="10">
        <v>5000</v>
      </c>
      <c r="E25" s="9" t="s">
        <v>86</v>
      </c>
      <c r="F25" s="9" t="s">
        <v>161</v>
      </c>
      <c r="G25" s="9"/>
      <c r="H25" s="99"/>
      <c r="I25" s="9"/>
      <c r="J25" s="9" t="s">
        <v>162</v>
      </c>
      <c r="K25" s="226">
        <v>5000</v>
      </c>
      <c r="L25" s="9" t="s">
        <v>163</v>
      </c>
      <c r="M25" s="9"/>
      <c r="N25" s="169" t="s">
        <v>164</v>
      </c>
      <c r="P25" s="39" t="s">
        <v>96</v>
      </c>
      <c r="Q25" s="10">
        <v>24500</v>
      </c>
      <c r="S25" s="112" t="s">
        <v>165</v>
      </c>
      <c r="T25" s="112" t="s">
        <v>109</v>
      </c>
      <c r="U25" s="112">
        <v>1500</v>
      </c>
      <c r="V25" s="112" t="s">
        <v>95</v>
      </c>
    </row>
    <row r="26" spans="1:22" x14ac:dyDescent="0.35">
      <c r="A26" s="9" t="s">
        <v>166</v>
      </c>
      <c r="B26" s="9" t="s">
        <v>131</v>
      </c>
      <c r="C26" s="10">
        <v>5000</v>
      </c>
      <c r="D26" s="10">
        <v>5000</v>
      </c>
      <c r="E26" s="9" t="s">
        <v>95</v>
      </c>
      <c r="F26" s="9" t="s">
        <v>167</v>
      </c>
      <c r="G26" s="9"/>
      <c r="H26" s="99"/>
      <c r="I26" s="9"/>
      <c r="J26" s="9" t="s">
        <v>83</v>
      </c>
      <c r="K26" s="226">
        <v>5000</v>
      </c>
      <c r="L26" s="9" t="s">
        <v>168</v>
      </c>
      <c r="M26" s="9"/>
      <c r="N26" s="169" t="s">
        <v>169</v>
      </c>
      <c r="P26" s="39" t="s">
        <v>97</v>
      </c>
      <c r="Q26" s="10">
        <v>12850</v>
      </c>
      <c r="S26" s="48" t="s">
        <v>170</v>
      </c>
      <c r="T26" s="48" t="s">
        <v>39</v>
      </c>
      <c r="U26" s="48">
        <v>2850</v>
      </c>
      <c r="V26" s="48" t="s">
        <v>37</v>
      </c>
    </row>
    <row r="27" spans="1:22" ht="29" x14ac:dyDescent="0.35">
      <c r="A27" s="9" t="s">
        <v>171</v>
      </c>
      <c r="B27" s="9" t="s">
        <v>131</v>
      </c>
      <c r="C27" s="10">
        <v>5000</v>
      </c>
      <c r="D27" s="10">
        <v>3500</v>
      </c>
      <c r="E27" s="9" t="s">
        <v>95</v>
      </c>
      <c r="F27" s="9" t="s">
        <v>167</v>
      </c>
      <c r="G27" s="9"/>
      <c r="H27" s="99"/>
      <c r="I27" s="9"/>
      <c r="J27" s="9" t="s">
        <v>172</v>
      </c>
      <c r="K27" s="226">
        <v>3500</v>
      </c>
      <c r="L27" s="9" t="s">
        <v>173</v>
      </c>
      <c r="M27" s="9"/>
      <c r="N27" s="169" t="s">
        <v>174</v>
      </c>
      <c r="P27" s="39" t="s">
        <v>98</v>
      </c>
      <c r="Q27" s="10">
        <v>7375</v>
      </c>
      <c r="S27" s="48" t="s">
        <v>175</v>
      </c>
      <c r="T27" s="48" t="s">
        <v>39</v>
      </c>
      <c r="U27" s="48">
        <v>2450</v>
      </c>
      <c r="V27" s="48" t="s">
        <v>95</v>
      </c>
    </row>
    <row r="28" spans="1:22" ht="43.5" x14ac:dyDescent="0.35">
      <c r="A28" s="9" t="s">
        <v>176</v>
      </c>
      <c r="B28" s="9" t="s">
        <v>131</v>
      </c>
      <c r="C28" s="10">
        <v>5000</v>
      </c>
      <c r="D28" s="10">
        <v>4000</v>
      </c>
      <c r="E28" s="9" t="s">
        <v>56</v>
      </c>
      <c r="F28" s="9" t="s">
        <v>25</v>
      </c>
      <c r="G28" s="9" t="s">
        <v>177</v>
      </c>
      <c r="H28" s="99"/>
      <c r="I28" s="9"/>
      <c r="J28" s="195">
        <v>45902</v>
      </c>
      <c r="K28" s="226">
        <v>4000</v>
      </c>
      <c r="L28" s="9" t="s">
        <v>178</v>
      </c>
      <c r="M28" s="9"/>
      <c r="N28" s="168" t="s">
        <v>179</v>
      </c>
      <c r="P28" s="39" t="s">
        <v>180</v>
      </c>
      <c r="Q28" s="10">
        <v>1500</v>
      </c>
      <c r="S28" s="112" t="s">
        <v>181</v>
      </c>
      <c r="T28" s="112" t="s">
        <v>109</v>
      </c>
      <c r="U28" s="112">
        <v>1500</v>
      </c>
      <c r="V28" s="112"/>
    </row>
    <row r="29" spans="1:22" x14ac:dyDescent="0.35">
      <c r="A29" s="9" t="s">
        <v>182</v>
      </c>
      <c r="B29" s="9" t="s">
        <v>183</v>
      </c>
      <c r="C29" s="10">
        <v>5000</v>
      </c>
      <c r="D29" s="10">
        <v>0</v>
      </c>
      <c r="E29" s="9"/>
      <c r="F29" s="9"/>
      <c r="G29" s="9" t="s">
        <v>184</v>
      </c>
      <c r="H29" s="99"/>
      <c r="I29" s="9"/>
      <c r="J29" s="9"/>
      <c r="K29" s="227"/>
      <c r="L29" s="9"/>
      <c r="M29" s="9"/>
      <c r="N29" s="9"/>
      <c r="P29" s="39" t="s">
        <v>185</v>
      </c>
      <c r="Q29" s="10">
        <v>0</v>
      </c>
      <c r="S29" s="48" t="s">
        <v>186</v>
      </c>
      <c r="T29" s="48" t="s">
        <v>109</v>
      </c>
      <c r="U29" s="48">
        <v>1500</v>
      </c>
      <c r="V29" s="48" t="s">
        <v>24</v>
      </c>
    </row>
    <row r="30" spans="1:22" x14ac:dyDescent="0.35">
      <c r="A30" s="9" t="s">
        <v>187</v>
      </c>
      <c r="B30" s="9" t="s">
        <v>188</v>
      </c>
      <c r="C30" s="10">
        <v>7500</v>
      </c>
      <c r="D30" s="10">
        <v>7500</v>
      </c>
      <c r="E30" s="9" t="s">
        <v>24</v>
      </c>
      <c r="F30" s="9" t="s">
        <v>189</v>
      </c>
      <c r="G30" s="9"/>
      <c r="H30" s="233" t="s">
        <v>27</v>
      </c>
      <c r="I30" s="215"/>
      <c r="J30" s="215" t="s">
        <v>172</v>
      </c>
      <c r="K30" s="234">
        <v>7500</v>
      </c>
      <c r="L30" s="9" t="s">
        <v>190</v>
      </c>
      <c r="M30" s="9"/>
      <c r="N30" s="9" t="s">
        <v>191</v>
      </c>
      <c r="P30" s="39" t="s">
        <v>192</v>
      </c>
      <c r="Q30" s="10">
        <v>1500</v>
      </c>
      <c r="S30" s="48" t="s">
        <v>193</v>
      </c>
      <c r="T30" s="48" t="s">
        <v>109</v>
      </c>
      <c r="U30" s="48">
        <v>1500</v>
      </c>
      <c r="V30" s="48" t="s">
        <v>24</v>
      </c>
    </row>
    <row r="31" spans="1:22" x14ac:dyDescent="0.35">
      <c r="A31" s="9" t="s">
        <v>194</v>
      </c>
      <c r="B31" s="9" t="s">
        <v>41</v>
      </c>
      <c r="C31" s="10">
        <v>5000</v>
      </c>
      <c r="D31" s="10">
        <v>4000</v>
      </c>
      <c r="E31" s="9" t="s">
        <v>56</v>
      </c>
      <c r="F31" s="9" t="s">
        <v>195</v>
      </c>
      <c r="G31" s="9"/>
      <c r="H31" s="233" t="s">
        <v>27</v>
      </c>
      <c r="I31" s="215"/>
      <c r="J31" s="215" t="s">
        <v>25</v>
      </c>
      <c r="K31" s="234">
        <v>4000</v>
      </c>
      <c r="L31" s="9" t="s">
        <v>196</v>
      </c>
      <c r="M31" s="9"/>
      <c r="N31" s="9" t="s">
        <v>197</v>
      </c>
      <c r="P31" s="45" t="s">
        <v>99</v>
      </c>
      <c r="Q31" s="46">
        <v>293000</v>
      </c>
      <c r="S31" s="48" t="s">
        <v>198</v>
      </c>
      <c r="T31" s="48" t="s">
        <v>39</v>
      </c>
      <c r="U31" s="48">
        <v>2850</v>
      </c>
      <c r="V31" s="48" t="s">
        <v>96</v>
      </c>
    </row>
    <row r="32" spans="1:22" x14ac:dyDescent="0.35">
      <c r="A32" s="9"/>
      <c r="B32" s="9"/>
      <c r="C32" s="10"/>
      <c r="D32" s="10"/>
      <c r="E32" s="9"/>
      <c r="F32" s="9"/>
      <c r="G32" s="9"/>
      <c r="H32" s="99"/>
      <c r="I32" s="9"/>
      <c r="J32" s="9"/>
      <c r="K32" s="227"/>
      <c r="L32" s="9"/>
      <c r="M32" s="9"/>
      <c r="N32" s="9"/>
      <c r="S32" s="48" t="s">
        <v>199</v>
      </c>
      <c r="T32" s="48" t="s">
        <v>109</v>
      </c>
      <c r="U32" s="48">
        <v>1500</v>
      </c>
      <c r="V32" s="48" t="s">
        <v>95</v>
      </c>
    </row>
    <row r="33" spans="1:22" x14ac:dyDescent="0.35">
      <c r="A33" s="9" t="s">
        <v>200</v>
      </c>
      <c r="B33" s="9" t="s">
        <v>201</v>
      </c>
      <c r="C33" s="10">
        <v>5000</v>
      </c>
      <c r="D33" s="10">
        <v>4000</v>
      </c>
      <c r="E33" s="9" t="s">
        <v>86</v>
      </c>
      <c r="F33" s="9" t="s">
        <v>202</v>
      </c>
      <c r="G33" s="9"/>
      <c r="H33" s="99"/>
      <c r="I33" s="9"/>
      <c r="J33" s="9" t="s">
        <v>203</v>
      </c>
      <c r="K33" s="226">
        <v>4000</v>
      </c>
      <c r="L33" s="9"/>
      <c r="M33" s="9"/>
      <c r="N33" s="9"/>
      <c r="S33" s="48" t="s">
        <v>38</v>
      </c>
      <c r="T33" s="48" t="s">
        <v>188</v>
      </c>
      <c r="U33" s="48">
        <v>7500</v>
      </c>
      <c r="V33" s="48" t="s">
        <v>24</v>
      </c>
    </row>
    <row r="34" spans="1:22" ht="58" x14ac:dyDescent="0.35">
      <c r="A34" s="9" t="s">
        <v>204</v>
      </c>
      <c r="B34" s="9" t="s">
        <v>205</v>
      </c>
      <c r="C34" s="10">
        <v>20000</v>
      </c>
      <c r="D34" s="10">
        <v>15000</v>
      </c>
      <c r="E34" s="9" t="s">
        <v>24</v>
      </c>
      <c r="F34" s="9" t="s">
        <v>206</v>
      </c>
      <c r="G34" s="9" t="s">
        <v>207</v>
      </c>
      <c r="H34" s="99"/>
      <c r="I34" s="9"/>
      <c r="J34" s="9" t="s">
        <v>208</v>
      </c>
      <c r="K34" s="226">
        <v>15000</v>
      </c>
      <c r="L34" s="9" t="s">
        <v>209</v>
      </c>
      <c r="M34" s="126" t="s">
        <v>210</v>
      </c>
      <c r="N34" s="9" t="s">
        <v>211</v>
      </c>
      <c r="S34" s="48" t="s">
        <v>48</v>
      </c>
      <c r="T34" s="48" t="s">
        <v>118</v>
      </c>
      <c r="U34" s="48">
        <v>10000</v>
      </c>
      <c r="V34" s="48" t="s">
        <v>24</v>
      </c>
    </row>
    <row r="35" spans="1:22" x14ac:dyDescent="0.35">
      <c r="A35" s="9" t="s">
        <v>212</v>
      </c>
      <c r="B35" s="9" t="s">
        <v>213</v>
      </c>
      <c r="C35" s="10">
        <v>5000</v>
      </c>
      <c r="D35" s="10">
        <v>5000</v>
      </c>
      <c r="E35" s="9" t="s">
        <v>68</v>
      </c>
      <c r="F35" s="9" t="s">
        <v>214</v>
      </c>
      <c r="G35" s="9"/>
      <c r="H35" s="233" t="s">
        <v>27</v>
      </c>
      <c r="I35" s="215"/>
      <c r="J35" s="215" t="s">
        <v>215</v>
      </c>
      <c r="K35" s="234">
        <v>5000</v>
      </c>
      <c r="L35" s="9" t="s">
        <v>216</v>
      </c>
      <c r="M35" s="9"/>
      <c r="N35" s="9" t="s">
        <v>217</v>
      </c>
      <c r="S35" s="48" t="s">
        <v>218</v>
      </c>
      <c r="T35" s="48" t="s">
        <v>109</v>
      </c>
      <c r="U35" s="48">
        <v>1500</v>
      </c>
      <c r="V35" s="48" t="s">
        <v>24</v>
      </c>
    </row>
    <row r="36" spans="1:22" x14ac:dyDescent="0.35">
      <c r="A36" s="9"/>
      <c r="B36" s="9" t="s">
        <v>219</v>
      </c>
      <c r="C36" s="10">
        <v>2500</v>
      </c>
      <c r="D36" s="10"/>
      <c r="E36" s="9"/>
      <c r="F36" s="9"/>
      <c r="G36" s="9"/>
      <c r="H36" s="99"/>
      <c r="I36" s="9"/>
      <c r="J36" s="9"/>
      <c r="K36" s="227"/>
      <c r="L36" s="9"/>
      <c r="M36" s="9"/>
      <c r="N36" s="9"/>
      <c r="S36" s="112" t="s">
        <v>220</v>
      </c>
      <c r="T36" s="112" t="s">
        <v>109</v>
      </c>
      <c r="U36" s="112">
        <v>1500</v>
      </c>
      <c r="V36" s="112" t="s">
        <v>37</v>
      </c>
    </row>
    <row r="37" spans="1:22" x14ac:dyDescent="0.35">
      <c r="A37" s="9"/>
      <c r="B37" s="9" t="s">
        <v>219</v>
      </c>
      <c r="C37" s="10">
        <v>2500</v>
      </c>
      <c r="D37" s="10"/>
      <c r="E37" s="9"/>
      <c r="F37" s="9"/>
      <c r="G37" s="9"/>
      <c r="H37" s="99"/>
      <c r="I37" s="9"/>
      <c r="J37" s="9"/>
      <c r="K37" s="227"/>
      <c r="L37" s="9"/>
      <c r="M37" s="9"/>
      <c r="N37" s="9"/>
      <c r="S37" s="48" t="s">
        <v>171</v>
      </c>
      <c r="T37" s="48" t="s">
        <v>221</v>
      </c>
      <c r="U37" s="48">
        <v>3500</v>
      </c>
      <c r="V37" s="48" t="s">
        <v>95</v>
      </c>
    </row>
    <row r="38" spans="1:22" x14ac:dyDescent="0.35">
      <c r="A38" s="9" t="s">
        <v>222</v>
      </c>
      <c r="B38" s="9" t="s">
        <v>223</v>
      </c>
      <c r="C38" s="10">
        <v>2500</v>
      </c>
      <c r="D38" s="10">
        <v>2500</v>
      </c>
      <c r="E38" s="9" t="s">
        <v>92</v>
      </c>
      <c r="F38" s="9" t="s">
        <v>224</v>
      </c>
      <c r="G38" s="9" t="s">
        <v>225</v>
      </c>
      <c r="H38" s="99"/>
      <c r="I38" s="9"/>
      <c r="J38" s="9"/>
      <c r="K38" s="226"/>
      <c r="L38" s="9"/>
      <c r="M38" s="9"/>
      <c r="N38" s="9"/>
      <c r="S38" s="48" t="s">
        <v>226</v>
      </c>
      <c r="T38" s="48" t="s">
        <v>109</v>
      </c>
      <c r="U38" s="48">
        <v>1500</v>
      </c>
      <c r="V38" s="48" t="s">
        <v>24</v>
      </c>
    </row>
    <row r="39" spans="1:22" ht="29" x14ac:dyDescent="0.35">
      <c r="A39" s="9" t="s">
        <v>170</v>
      </c>
      <c r="B39" s="9" t="s">
        <v>39</v>
      </c>
      <c r="C39" s="10">
        <v>2850</v>
      </c>
      <c r="D39" s="10">
        <v>2850</v>
      </c>
      <c r="E39" s="9" t="s">
        <v>24</v>
      </c>
      <c r="F39" s="9" t="s">
        <v>227</v>
      </c>
      <c r="G39" s="9" t="s">
        <v>228</v>
      </c>
      <c r="H39" s="99"/>
      <c r="I39" s="9"/>
      <c r="J39" s="9" t="s">
        <v>229</v>
      </c>
      <c r="K39" s="226">
        <v>2850</v>
      </c>
      <c r="L39" s="9" t="s">
        <v>230</v>
      </c>
      <c r="M39" s="9"/>
      <c r="N39" s="9" t="s">
        <v>231</v>
      </c>
      <c r="S39" s="48" t="s">
        <v>51</v>
      </c>
      <c r="T39" s="48" t="s">
        <v>131</v>
      </c>
      <c r="U39" s="48">
        <v>5000</v>
      </c>
      <c r="V39" s="48" t="s">
        <v>24</v>
      </c>
    </row>
    <row r="40" spans="1:22" x14ac:dyDescent="0.35">
      <c r="A40" s="9" t="s">
        <v>232</v>
      </c>
      <c r="B40" s="9" t="s">
        <v>39</v>
      </c>
      <c r="C40" s="10">
        <v>2850</v>
      </c>
      <c r="D40" s="10">
        <v>2850</v>
      </c>
      <c r="E40" s="9" t="s">
        <v>24</v>
      </c>
      <c r="F40" s="9" t="s">
        <v>42</v>
      </c>
      <c r="G40" s="9"/>
      <c r="H40" s="99"/>
      <c r="I40" s="9"/>
      <c r="J40" s="9" t="s">
        <v>215</v>
      </c>
      <c r="K40" s="226">
        <v>2850</v>
      </c>
      <c r="L40" s="9" t="s">
        <v>233</v>
      </c>
      <c r="M40" s="9"/>
      <c r="N40" s="169" t="s">
        <v>234</v>
      </c>
      <c r="S40" s="48" t="s">
        <v>204</v>
      </c>
      <c r="T40" s="48" t="s">
        <v>205</v>
      </c>
      <c r="U40" s="48">
        <v>15000</v>
      </c>
      <c r="V40" s="48" t="s">
        <v>37</v>
      </c>
    </row>
    <row r="41" spans="1:22" x14ac:dyDescent="0.35">
      <c r="A41" s="9" t="s">
        <v>235</v>
      </c>
      <c r="B41" s="9" t="s">
        <v>39</v>
      </c>
      <c r="C41" s="10">
        <v>2850</v>
      </c>
      <c r="D41" s="10">
        <v>2850</v>
      </c>
      <c r="E41" s="9" t="s">
        <v>24</v>
      </c>
      <c r="F41" s="9" t="s">
        <v>236</v>
      </c>
      <c r="G41" s="9"/>
      <c r="H41" s="99"/>
      <c r="I41" s="9"/>
      <c r="J41" s="9" t="s">
        <v>143</v>
      </c>
      <c r="K41" s="226">
        <v>2850</v>
      </c>
      <c r="L41" s="9" t="s">
        <v>237</v>
      </c>
      <c r="M41" s="9"/>
      <c r="N41" s="169" t="s">
        <v>238</v>
      </c>
      <c r="S41" s="9" t="s">
        <v>239</v>
      </c>
      <c r="T41" s="9" t="s">
        <v>109</v>
      </c>
      <c r="U41" s="9">
        <v>1500</v>
      </c>
      <c r="V41" s="9" t="s">
        <v>90</v>
      </c>
    </row>
    <row r="42" spans="1:22" x14ac:dyDescent="0.35">
      <c r="A42" s="9" t="s">
        <v>198</v>
      </c>
      <c r="B42" s="9" t="s">
        <v>39</v>
      </c>
      <c r="C42" s="10">
        <v>2850</v>
      </c>
      <c r="D42" s="10">
        <v>2850</v>
      </c>
      <c r="E42" s="9" t="s">
        <v>97</v>
      </c>
      <c r="F42" s="9" t="s">
        <v>142</v>
      </c>
      <c r="G42" s="9"/>
      <c r="H42" s="99"/>
      <c r="I42" s="9"/>
      <c r="J42" s="9" t="s">
        <v>161</v>
      </c>
      <c r="K42" s="226">
        <v>2850</v>
      </c>
      <c r="L42" s="9" t="s">
        <v>240</v>
      </c>
      <c r="M42" s="9"/>
      <c r="N42" s="169" t="s">
        <v>241</v>
      </c>
      <c r="S42" s="48" t="s">
        <v>242</v>
      </c>
      <c r="T42" s="48" t="s">
        <v>109</v>
      </c>
      <c r="U42" s="48">
        <v>1500</v>
      </c>
      <c r="V42" s="48" t="s">
        <v>97</v>
      </c>
    </row>
    <row r="43" spans="1:22" x14ac:dyDescent="0.35">
      <c r="A43" s="9" t="s">
        <v>243</v>
      </c>
      <c r="B43" s="9" t="s">
        <v>39</v>
      </c>
      <c r="C43" s="10">
        <v>2850</v>
      </c>
      <c r="D43" s="10">
        <v>2850</v>
      </c>
      <c r="E43" s="9" t="s">
        <v>24</v>
      </c>
      <c r="F43" s="9" t="s">
        <v>147</v>
      </c>
      <c r="G43" s="9"/>
      <c r="H43" s="99"/>
      <c r="I43" s="9"/>
      <c r="J43" s="9" t="s">
        <v>244</v>
      </c>
      <c r="K43" s="226">
        <v>2850</v>
      </c>
      <c r="L43" s="9" t="s">
        <v>245</v>
      </c>
      <c r="M43" s="9"/>
      <c r="N43" s="169" t="s">
        <v>246</v>
      </c>
      <c r="S43" s="112" t="s">
        <v>247</v>
      </c>
      <c r="T43" s="112" t="s">
        <v>109</v>
      </c>
      <c r="U43" s="112">
        <v>1500</v>
      </c>
      <c r="V43" s="112" t="s">
        <v>92</v>
      </c>
    </row>
    <row r="44" spans="1:22" ht="29" x14ac:dyDescent="0.35">
      <c r="A44" s="9" t="s">
        <v>248</v>
      </c>
      <c r="B44" s="9" t="s">
        <v>39</v>
      </c>
      <c r="C44" s="10">
        <v>2850</v>
      </c>
      <c r="D44" s="10">
        <v>2850</v>
      </c>
      <c r="E44" s="9" t="s">
        <v>24</v>
      </c>
      <c r="F44" s="9" t="s">
        <v>147</v>
      </c>
      <c r="G44" s="9"/>
      <c r="H44" s="99"/>
      <c r="I44" s="9"/>
      <c r="J44" s="9" t="s">
        <v>167</v>
      </c>
      <c r="K44" s="226">
        <v>2850</v>
      </c>
      <c r="L44" s="9" t="s">
        <v>249</v>
      </c>
      <c r="M44" s="9"/>
      <c r="N44" s="9" t="s">
        <v>250</v>
      </c>
      <c r="S44" s="48" t="s">
        <v>251</v>
      </c>
      <c r="T44" s="48" t="s">
        <v>109</v>
      </c>
      <c r="U44" s="48">
        <v>1500</v>
      </c>
      <c r="V44" s="48" t="s">
        <v>92</v>
      </c>
    </row>
    <row r="45" spans="1:22" x14ac:dyDescent="0.35">
      <c r="A45" s="9" t="s">
        <v>252</v>
      </c>
      <c r="B45" s="9" t="s">
        <v>39</v>
      </c>
      <c r="C45" s="10">
        <v>2850</v>
      </c>
      <c r="D45" s="10">
        <v>0</v>
      </c>
      <c r="E45" s="9" t="s">
        <v>185</v>
      </c>
      <c r="F45" s="9" t="s">
        <v>253</v>
      </c>
      <c r="G45" s="9" t="s">
        <v>254</v>
      </c>
      <c r="H45" s="99"/>
      <c r="I45" s="9"/>
      <c r="J45" s="9"/>
      <c r="K45" s="227"/>
      <c r="L45" s="9"/>
      <c r="M45" s="9"/>
      <c r="N45" s="9"/>
      <c r="S45" s="112" t="s">
        <v>255</v>
      </c>
      <c r="T45" s="112" t="s">
        <v>109</v>
      </c>
      <c r="U45" s="112">
        <v>1500</v>
      </c>
      <c r="V45" s="112" t="s">
        <v>96</v>
      </c>
    </row>
    <row r="46" spans="1:22" x14ac:dyDescent="0.35">
      <c r="A46" s="9" t="s">
        <v>126</v>
      </c>
      <c r="B46" s="9" t="s">
        <v>39</v>
      </c>
      <c r="C46" s="10">
        <v>2850</v>
      </c>
      <c r="D46" s="10">
        <v>2850</v>
      </c>
      <c r="E46" s="9" t="s">
        <v>24</v>
      </c>
      <c r="F46" s="9" t="s">
        <v>253</v>
      </c>
      <c r="G46" s="9"/>
      <c r="H46" s="233" t="s">
        <v>27</v>
      </c>
      <c r="I46" s="215"/>
      <c r="J46" s="215" t="s">
        <v>256</v>
      </c>
      <c r="K46" s="234">
        <v>2850</v>
      </c>
      <c r="L46" s="9" t="s">
        <v>257</v>
      </c>
      <c r="M46" s="9"/>
      <c r="N46" s="169" t="s">
        <v>258</v>
      </c>
      <c r="S46" s="48" t="s">
        <v>243</v>
      </c>
      <c r="T46" s="48" t="s">
        <v>39</v>
      </c>
      <c r="U46" s="48">
        <v>2850</v>
      </c>
      <c r="V46" s="48" t="s">
        <v>24</v>
      </c>
    </row>
    <row r="47" spans="1:22" x14ac:dyDescent="0.35">
      <c r="A47" s="9" t="s">
        <v>175</v>
      </c>
      <c r="B47" s="9" t="s">
        <v>39</v>
      </c>
      <c r="C47" s="10">
        <v>2850</v>
      </c>
      <c r="D47" s="10">
        <v>2450</v>
      </c>
      <c r="E47" s="9" t="s">
        <v>95</v>
      </c>
      <c r="F47" s="9" t="s">
        <v>244</v>
      </c>
      <c r="G47" s="9"/>
      <c r="H47" s="99"/>
      <c r="I47" s="9"/>
      <c r="J47" s="9"/>
      <c r="K47" s="226"/>
      <c r="L47" s="9"/>
      <c r="M47" s="9"/>
      <c r="N47" s="169"/>
      <c r="S47" s="48" t="s">
        <v>259</v>
      </c>
      <c r="T47" s="48" t="s">
        <v>32</v>
      </c>
      <c r="U47" s="48">
        <v>15000</v>
      </c>
      <c r="V47" s="48" t="s">
        <v>96</v>
      </c>
    </row>
    <row r="48" spans="1:22" x14ac:dyDescent="0.35">
      <c r="A48" s="9" t="s">
        <v>260</v>
      </c>
      <c r="B48" s="9" t="s">
        <v>39</v>
      </c>
      <c r="C48" s="10">
        <v>2850</v>
      </c>
      <c r="D48" s="10">
        <v>2850</v>
      </c>
      <c r="E48" s="9" t="s">
        <v>56</v>
      </c>
      <c r="F48" s="9" t="s">
        <v>261</v>
      </c>
      <c r="G48" s="9"/>
      <c r="H48" s="233" t="s">
        <v>27</v>
      </c>
      <c r="I48" s="215"/>
      <c r="J48" s="215" t="s">
        <v>83</v>
      </c>
      <c r="K48" s="234">
        <v>2850</v>
      </c>
      <c r="L48" s="9" t="s">
        <v>262</v>
      </c>
      <c r="M48" s="9"/>
      <c r="N48" s="9" t="s">
        <v>263</v>
      </c>
      <c r="S48" s="48" t="s">
        <v>264</v>
      </c>
      <c r="T48" s="48" t="s">
        <v>109</v>
      </c>
      <c r="U48" s="48">
        <v>1500</v>
      </c>
      <c r="V48" s="48" t="s">
        <v>24</v>
      </c>
    </row>
    <row r="49" spans="1:22" ht="29" x14ac:dyDescent="0.35">
      <c r="A49" s="9" t="s">
        <v>265</v>
      </c>
      <c r="B49" s="9" t="s">
        <v>39</v>
      </c>
      <c r="C49" s="10">
        <v>2850</v>
      </c>
      <c r="D49" s="10">
        <v>2850</v>
      </c>
      <c r="E49" s="9" t="s">
        <v>95</v>
      </c>
      <c r="F49" s="9" t="s">
        <v>215</v>
      </c>
      <c r="G49" s="9"/>
      <c r="H49" s="99"/>
      <c r="I49" s="9"/>
      <c r="J49" s="9" t="s">
        <v>25</v>
      </c>
      <c r="K49" s="226">
        <v>2850</v>
      </c>
      <c r="L49" s="9" t="s">
        <v>266</v>
      </c>
      <c r="M49" s="9"/>
      <c r="N49" s="169" t="s">
        <v>267</v>
      </c>
      <c r="S49" s="112" t="s">
        <v>268</v>
      </c>
      <c r="T49" s="112" t="s">
        <v>109</v>
      </c>
      <c r="U49" s="112">
        <v>1500</v>
      </c>
      <c r="V49" s="112" t="s">
        <v>68</v>
      </c>
    </row>
    <row r="50" spans="1:22" x14ac:dyDescent="0.35">
      <c r="A50" s="9" t="s">
        <v>269</v>
      </c>
      <c r="B50" s="9" t="s">
        <v>39</v>
      </c>
      <c r="C50" s="10">
        <v>2850</v>
      </c>
      <c r="D50" s="10">
        <v>2850</v>
      </c>
      <c r="E50" s="9" t="s">
        <v>37</v>
      </c>
      <c r="F50" s="9" t="s">
        <v>215</v>
      </c>
      <c r="G50" s="9"/>
      <c r="H50" s="233" t="s">
        <v>27</v>
      </c>
      <c r="I50" s="215"/>
      <c r="J50" s="215" t="s">
        <v>270</v>
      </c>
      <c r="K50" s="234">
        <v>2850</v>
      </c>
      <c r="L50" s="9" t="s">
        <v>271</v>
      </c>
      <c r="M50" s="9"/>
      <c r="N50" s="169" t="s">
        <v>272</v>
      </c>
      <c r="S50" s="112" t="s">
        <v>273</v>
      </c>
      <c r="T50" s="112" t="s">
        <v>109</v>
      </c>
      <c r="U50" s="112">
        <v>1500</v>
      </c>
      <c r="V50" s="112" t="s">
        <v>95</v>
      </c>
    </row>
    <row r="51" spans="1:22" x14ac:dyDescent="0.35">
      <c r="A51" s="9" t="s">
        <v>140</v>
      </c>
      <c r="B51" s="9" t="s">
        <v>39</v>
      </c>
      <c r="C51" s="10">
        <v>2850</v>
      </c>
      <c r="D51" s="10">
        <v>2850</v>
      </c>
      <c r="E51" s="9" t="s">
        <v>24</v>
      </c>
      <c r="F51" s="9"/>
      <c r="G51" s="9"/>
      <c r="H51" s="99"/>
      <c r="I51" s="9"/>
      <c r="J51" s="9" t="s">
        <v>143</v>
      </c>
      <c r="K51" s="226">
        <v>2850</v>
      </c>
      <c r="L51" s="9"/>
      <c r="M51" s="9"/>
      <c r="N51" s="9"/>
      <c r="S51" s="9" t="s">
        <v>274</v>
      </c>
      <c r="T51" s="9" t="s">
        <v>275</v>
      </c>
      <c r="U51" s="9">
        <v>300</v>
      </c>
      <c r="V51" s="9"/>
    </row>
    <row r="52" spans="1:22" ht="29" x14ac:dyDescent="0.35">
      <c r="A52" s="9" t="s">
        <v>276</v>
      </c>
      <c r="B52" s="9" t="s">
        <v>39</v>
      </c>
      <c r="C52" s="10">
        <v>2850</v>
      </c>
      <c r="D52" s="10">
        <v>2850</v>
      </c>
      <c r="E52" s="9" t="s">
        <v>76</v>
      </c>
      <c r="F52" s="9" t="s">
        <v>161</v>
      </c>
      <c r="G52" s="9"/>
      <c r="H52" s="99"/>
      <c r="I52" s="9"/>
      <c r="J52" s="9" t="s">
        <v>277</v>
      </c>
      <c r="K52" s="226">
        <v>2850</v>
      </c>
      <c r="L52" s="9" t="s">
        <v>278</v>
      </c>
      <c r="M52" s="9"/>
      <c r="N52" s="9"/>
      <c r="S52" s="48" t="s">
        <v>276</v>
      </c>
      <c r="T52" s="48" t="s">
        <v>109</v>
      </c>
      <c r="U52" s="48">
        <v>1500</v>
      </c>
      <c r="V52" s="48" t="s">
        <v>76</v>
      </c>
    </row>
    <row r="53" spans="1:22" x14ac:dyDescent="0.35">
      <c r="A53" s="9" t="s">
        <v>279</v>
      </c>
      <c r="B53" s="9" t="s">
        <v>39</v>
      </c>
      <c r="C53" s="10">
        <v>2850</v>
      </c>
      <c r="D53" s="10">
        <v>2850</v>
      </c>
      <c r="E53" s="9" t="s">
        <v>24</v>
      </c>
      <c r="F53" s="9" t="s">
        <v>280</v>
      </c>
      <c r="G53" s="9" t="s">
        <v>281</v>
      </c>
      <c r="H53" s="99"/>
      <c r="I53" s="9"/>
      <c r="J53" s="9" t="s">
        <v>282</v>
      </c>
      <c r="K53" s="226">
        <v>2850</v>
      </c>
      <c r="L53" s="9" t="s">
        <v>283</v>
      </c>
      <c r="M53" s="9"/>
      <c r="N53" s="9" t="s">
        <v>284</v>
      </c>
      <c r="S53" s="48" t="s">
        <v>285</v>
      </c>
      <c r="T53" s="48" t="s">
        <v>109</v>
      </c>
      <c r="U53" s="48">
        <v>925</v>
      </c>
      <c r="V53" s="48" t="s">
        <v>95</v>
      </c>
    </row>
    <row r="54" spans="1:22" x14ac:dyDescent="0.35">
      <c r="A54" s="9" t="s">
        <v>286</v>
      </c>
      <c r="B54" s="9" t="s">
        <v>39</v>
      </c>
      <c r="C54" s="10">
        <v>2850</v>
      </c>
      <c r="D54" s="10">
        <v>2850</v>
      </c>
      <c r="E54" s="9" t="s">
        <v>24</v>
      </c>
      <c r="F54" s="9" t="s">
        <v>280</v>
      </c>
      <c r="G54" s="9" t="s">
        <v>281</v>
      </c>
      <c r="H54" s="99"/>
      <c r="I54" s="9"/>
      <c r="J54" s="9" t="s">
        <v>287</v>
      </c>
      <c r="K54" s="226">
        <v>2850</v>
      </c>
      <c r="L54" s="9"/>
      <c r="M54" s="9"/>
      <c r="N54" s="9"/>
      <c r="S54" s="48" t="s">
        <v>288</v>
      </c>
      <c r="T54" s="48" t="s">
        <v>109</v>
      </c>
      <c r="U54" s="48">
        <v>1500</v>
      </c>
      <c r="V54" s="48" t="s">
        <v>24</v>
      </c>
    </row>
    <row r="55" spans="1:22" ht="29" x14ac:dyDescent="0.35">
      <c r="A55" s="9" t="s">
        <v>289</v>
      </c>
      <c r="B55" s="9" t="s">
        <v>39</v>
      </c>
      <c r="C55" s="10">
        <v>2850</v>
      </c>
      <c r="D55" s="10">
        <v>2850</v>
      </c>
      <c r="E55" s="9" t="s">
        <v>24</v>
      </c>
      <c r="F55" s="9" t="s">
        <v>280</v>
      </c>
      <c r="G55" s="9" t="s">
        <v>281</v>
      </c>
      <c r="H55" s="233" t="s">
        <v>27</v>
      </c>
      <c r="I55" s="215"/>
      <c r="J55" s="215" t="s">
        <v>290</v>
      </c>
      <c r="K55" s="234">
        <v>2850</v>
      </c>
      <c r="L55" s="9" t="s">
        <v>291</v>
      </c>
      <c r="M55" s="9"/>
      <c r="N55" s="168" t="s">
        <v>292</v>
      </c>
      <c r="S55" s="48" t="s">
        <v>110</v>
      </c>
      <c r="T55" s="48" t="s">
        <v>32</v>
      </c>
      <c r="U55" s="48">
        <v>15000</v>
      </c>
      <c r="V55" s="48" t="s">
        <v>24</v>
      </c>
    </row>
    <row r="56" spans="1:22" ht="43.5" x14ac:dyDescent="0.35">
      <c r="A56" s="9" t="s">
        <v>293</v>
      </c>
      <c r="B56" s="9" t="s">
        <v>109</v>
      </c>
      <c r="C56" s="10">
        <v>1500</v>
      </c>
      <c r="D56" s="10">
        <v>1500</v>
      </c>
      <c r="E56" s="9" t="s">
        <v>90</v>
      </c>
      <c r="F56" s="9"/>
      <c r="G56" s="9"/>
      <c r="H56" s="99"/>
      <c r="I56" s="9"/>
      <c r="J56" s="9" t="s">
        <v>148</v>
      </c>
      <c r="K56" s="226">
        <v>1500</v>
      </c>
      <c r="L56" s="9"/>
      <c r="M56" s="9"/>
      <c r="N56" s="9" t="s">
        <v>294</v>
      </c>
      <c r="S56" s="48" t="s">
        <v>248</v>
      </c>
      <c r="T56" s="48" t="s">
        <v>131</v>
      </c>
      <c r="U56" s="48">
        <v>5000</v>
      </c>
      <c r="V56" s="48" t="s">
        <v>37</v>
      </c>
    </row>
    <row r="57" spans="1:22" x14ac:dyDescent="0.35">
      <c r="A57" s="9" t="s">
        <v>268</v>
      </c>
      <c r="B57" s="9" t="s">
        <v>109</v>
      </c>
      <c r="C57" s="10">
        <v>1500</v>
      </c>
      <c r="D57" s="10">
        <v>1500</v>
      </c>
      <c r="E57" s="9" t="s">
        <v>68</v>
      </c>
      <c r="F57" s="9" t="s">
        <v>295</v>
      </c>
      <c r="G57" s="9"/>
      <c r="H57" s="99"/>
      <c r="I57" s="9"/>
      <c r="J57" s="9" t="s">
        <v>172</v>
      </c>
      <c r="K57" s="226">
        <v>1500</v>
      </c>
      <c r="L57" s="9" t="s">
        <v>296</v>
      </c>
      <c r="M57" s="9"/>
      <c r="N57" s="169" t="s">
        <v>297</v>
      </c>
      <c r="S57" s="48" t="s">
        <v>298</v>
      </c>
      <c r="T57" s="48" t="s">
        <v>109</v>
      </c>
      <c r="U57" s="48">
        <v>1500</v>
      </c>
      <c r="V57" s="48" t="s">
        <v>24</v>
      </c>
    </row>
    <row r="58" spans="1:22" x14ac:dyDescent="0.35">
      <c r="A58" s="9" t="s">
        <v>132</v>
      </c>
      <c r="B58" s="9" t="s">
        <v>109</v>
      </c>
      <c r="C58" s="10">
        <v>1500</v>
      </c>
      <c r="D58" s="10">
        <v>1500</v>
      </c>
      <c r="E58" s="9" t="s">
        <v>180</v>
      </c>
      <c r="F58" s="9" t="s">
        <v>189</v>
      </c>
      <c r="G58" s="9"/>
      <c r="H58" s="99"/>
      <c r="I58" s="9"/>
      <c r="J58" s="9" t="s">
        <v>299</v>
      </c>
      <c r="K58" s="226">
        <v>1500</v>
      </c>
      <c r="L58" s="9" t="s">
        <v>300</v>
      </c>
      <c r="M58" s="9"/>
      <c r="N58" s="169" t="s">
        <v>301</v>
      </c>
      <c r="S58" s="48" t="s">
        <v>302</v>
      </c>
      <c r="T58" s="48" t="s">
        <v>109</v>
      </c>
      <c r="U58" s="48">
        <v>1500</v>
      </c>
      <c r="V58" s="48" t="s">
        <v>95</v>
      </c>
    </row>
    <row r="59" spans="1:22" ht="43.5" x14ac:dyDescent="0.35">
      <c r="A59" s="9" t="s">
        <v>285</v>
      </c>
      <c r="B59" s="9" t="s">
        <v>109</v>
      </c>
      <c r="C59" s="10">
        <v>1500</v>
      </c>
      <c r="D59" s="10">
        <v>925</v>
      </c>
      <c r="E59" s="9" t="s">
        <v>95</v>
      </c>
      <c r="F59" s="9" t="s">
        <v>303</v>
      </c>
      <c r="G59" s="9"/>
      <c r="H59" s="233" t="s">
        <v>27</v>
      </c>
      <c r="I59" s="215"/>
      <c r="J59" s="215" t="s">
        <v>304</v>
      </c>
      <c r="K59" s="234">
        <v>925</v>
      </c>
      <c r="L59" s="9" t="s">
        <v>305</v>
      </c>
      <c r="M59" s="9"/>
      <c r="N59" s="9" t="s">
        <v>306</v>
      </c>
      <c r="S59" s="48" t="s">
        <v>160</v>
      </c>
      <c r="T59" s="48" t="s">
        <v>131</v>
      </c>
      <c r="U59" s="48">
        <v>5000</v>
      </c>
      <c r="V59" s="48" t="s">
        <v>86</v>
      </c>
    </row>
    <row r="60" spans="1:22" x14ac:dyDescent="0.35">
      <c r="A60" s="9" t="s">
        <v>307</v>
      </c>
      <c r="B60" s="9" t="s">
        <v>109</v>
      </c>
      <c r="C60" s="10">
        <v>1500</v>
      </c>
      <c r="D60" s="10">
        <v>1500</v>
      </c>
      <c r="E60" s="9" t="s">
        <v>86</v>
      </c>
      <c r="F60" s="9" t="s">
        <v>308</v>
      </c>
      <c r="G60" s="9" t="s">
        <v>309</v>
      </c>
      <c r="H60" s="99"/>
      <c r="I60" s="9"/>
      <c r="J60" s="9" t="s">
        <v>310</v>
      </c>
      <c r="K60" s="226">
        <v>1500</v>
      </c>
      <c r="L60" s="9" t="s">
        <v>311</v>
      </c>
      <c r="M60" s="9"/>
      <c r="N60" s="169" t="s">
        <v>312</v>
      </c>
      <c r="S60" s="48" t="s">
        <v>57</v>
      </c>
      <c r="T60" s="48" t="s">
        <v>131</v>
      </c>
      <c r="U60" s="48">
        <v>5000</v>
      </c>
      <c r="V60" s="48" t="s">
        <v>24</v>
      </c>
    </row>
    <row r="61" spans="1:22" x14ac:dyDescent="0.35">
      <c r="A61" s="9"/>
      <c r="B61" s="9" t="s">
        <v>109</v>
      </c>
      <c r="C61" s="10">
        <v>1500</v>
      </c>
      <c r="D61" s="10"/>
      <c r="E61" s="9"/>
      <c r="F61" s="9"/>
      <c r="G61" s="9"/>
      <c r="H61" s="99"/>
      <c r="I61" s="9"/>
      <c r="J61" s="9"/>
      <c r="K61" s="227"/>
      <c r="L61" s="9"/>
      <c r="M61" s="9"/>
      <c r="N61" s="168"/>
      <c r="S61" s="48" t="s">
        <v>313</v>
      </c>
      <c r="T61" s="48" t="s">
        <v>39</v>
      </c>
      <c r="U61" s="48">
        <v>2850</v>
      </c>
      <c r="V61" s="48" t="s">
        <v>96</v>
      </c>
    </row>
    <row r="62" spans="1:22" ht="29" x14ac:dyDescent="0.35">
      <c r="A62" s="9" t="s">
        <v>314</v>
      </c>
      <c r="B62" s="9" t="s">
        <v>109</v>
      </c>
      <c r="C62" s="10">
        <v>1500</v>
      </c>
      <c r="D62" s="10">
        <v>1500</v>
      </c>
      <c r="E62" s="9" t="s">
        <v>24</v>
      </c>
      <c r="F62" s="9"/>
      <c r="G62" s="9"/>
      <c r="H62" s="99"/>
      <c r="I62" s="9"/>
      <c r="J62" s="9" t="s">
        <v>34</v>
      </c>
      <c r="K62" s="226">
        <v>1500</v>
      </c>
      <c r="L62" s="9" t="s">
        <v>315</v>
      </c>
      <c r="M62" s="9"/>
      <c r="N62" s="9" t="s">
        <v>316</v>
      </c>
      <c r="S62" s="48" t="s">
        <v>317</v>
      </c>
      <c r="T62" s="48" t="s">
        <v>109</v>
      </c>
      <c r="U62" s="48">
        <v>1500</v>
      </c>
      <c r="V62" s="48" t="s">
        <v>81</v>
      </c>
    </row>
    <row r="63" spans="1:22" ht="29" x14ac:dyDescent="0.35">
      <c r="A63" s="9" t="s">
        <v>108</v>
      </c>
      <c r="B63" s="9" t="s">
        <v>109</v>
      </c>
      <c r="C63" s="10">
        <v>1500</v>
      </c>
      <c r="D63" s="10">
        <v>1500</v>
      </c>
      <c r="E63" s="9" t="s">
        <v>95</v>
      </c>
      <c r="F63" s="9" t="s">
        <v>318</v>
      </c>
      <c r="G63" s="9"/>
      <c r="H63" s="233" t="s">
        <v>27</v>
      </c>
      <c r="I63" s="215"/>
      <c r="J63" s="215" t="s">
        <v>319</v>
      </c>
      <c r="K63" s="234">
        <v>1441.25</v>
      </c>
      <c r="L63" s="9" t="s">
        <v>320</v>
      </c>
      <c r="M63" s="9"/>
      <c r="N63" s="9" t="s">
        <v>321</v>
      </c>
      <c r="S63" s="48" t="s">
        <v>322</v>
      </c>
      <c r="T63" s="48" t="s">
        <v>109</v>
      </c>
      <c r="U63" s="48">
        <v>1500</v>
      </c>
      <c r="V63" s="48" t="s">
        <v>68</v>
      </c>
    </row>
    <row r="64" spans="1:22" x14ac:dyDescent="0.35">
      <c r="A64" s="43"/>
      <c r="B64" s="43"/>
      <c r="C64" s="43"/>
      <c r="D64" s="43"/>
      <c r="E64" s="43"/>
      <c r="F64" s="43"/>
      <c r="G64" s="43"/>
      <c r="H64" s="100"/>
      <c r="I64" s="43"/>
      <c r="J64" s="5" t="s">
        <v>65</v>
      </c>
      <c r="K64" s="231">
        <v>58.75</v>
      </c>
      <c r="L64" s="43"/>
      <c r="M64" s="43"/>
      <c r="N64" s="43"/>
      <c r="S64" s="48" t="s">
        <v>323</v>
      </c>
      <c r="T64" s="48" t="s">
        <v>109</v>
      </c>
      <c r="U64" s="48">
        <v>1500</v>
      </c>
      <c r="V64" s="48" t="s">
        <v>24</v>
      </c>
    </row>
    <row r="65" spans="1:22" x14ac:dyDescent="0.35">
      <c r="A65" s="9" t="s">
        <v>324</v>
      </c>
      <c r="B65" s="9" t="s">
        <v>109</v>
      </c>
      <c r="C65" s="10">
        <v>1500</v>
      </c>
      <c r="D65" s="10">
        <v>1500</v>
      </c>
      <c r="E65" s="9" t="s">
        <v>76</v>
      </c>
      <c r="F65" s="9" t="s">
        <v>325</v>
      </c>
      <c r="G65" s="9" t="s">
        <v>326</v>
      </c>
      <c r="H65" s="99"/>
      <c r="I65" s="9"/>
      <c r="J65" s="9" t="s">
        <v>277</v>
      </c>
      <c r="K65" s="226">
        <v>1500</v>
      </c>
      <c r="L65" s="9" t="s">
        <v>327</v>
      </c>
      <c r="M65" s="9"/>
      <c r="N65" s="169" t="s">
        <v>328</v>
      </c>
      <c r="S65" s="48" t="s">
        <v>329</v>
      </c>
      <c r="T65" s="48" t="s">
        <v>221</v>
      </c>
      <c r="U65" s="48">
        <v>2545</v>
      </c>
      <c r="V65" s="48" t="s">
        <v>96</v>
      </c>
    </row>
    <row r="66" spans="1:22" x14ac:dyDescent="0.35">
      <c r="A66" s="9" t="s">
        <v>330</v>
      </c>
      <c r="B66" s="9" t="s">
        <v>109</v>
      </c>
      <c r="C66" s="10">
        <v>1500</v>
      </c>
      <c r="D66" s="10">
        <v>1500</v>
      </c>
      <c r="E66" s="9" t="s">
        <v>37</v>
      </c>
      <c r="F66" s="9" t="s">
        <v>331</v>
      </c>
      <c r="G66" s="9" t="s">
        <v>332</v>
      </c>
      <c r="H66" s="99"/>
      <c r="I66" s="9"/>
      <c r="J66" s="9" t="s">
        <v>253</v>
      </c>
      <c r="K66" s="226">
        <v>1500</v>
      </c>
      <c r="L66" s="9" t="s">
        <v>333</v>
      </c>
      <c r="M66" s="9"/>
      <c r="N66" s="169" t="s">
        <v>334</v>
      </c>
      <c r="S66" s="48" t="s">
        <v>194</v>
      </c>
      <c r="T66" s="48" t="s">
        <v>39</v>
      </c>
      <c r="U66" s="48">
        <v>2850</v>
      </c>
      <c r="V66" s="48" t="s">
        <v>56</v>
      </c>
    </row>
    <row r="67" spans="1:22" x14ac:dyDescent="0.35">
      <c r="A67" s="9" t="s">
        <v>70</v>
      </c>
      <c r="B67" s="9" t="s">
        <v>109</v>
      </c>
      <c r="C67" s="10">
        <v>1500</v>
      </c>
      <c r="D67" s="10">
        <v>1500</v>
      </c>
      <c r="E67" s="9" t="s">
        <v>37</v>
      </c>
      <c r="F67" s="9" t="s">
        <v>71</v>
      </c>
      <c r="G67" s="9" t="s">
        <v>335</v>
      </c>
      <c r="H67" s="99"/>
      <c r="I67" s="9"/>
      <c r="J67" s="9" t="s">
        <v>336</v>
      </c>
      <c r="K67" s="226">
        <v>1500</v>
      </c>
      <c r="L67" s="9" t="s">
        <v>74</v>
      </c>
      <c r="M67" s="9"/>
      <c r="N67" s="9" t="s">
        <v>75</v>
      </c>
      <c r="S67" s="48" t="s">
        <v>337</v>
      </c>
      <c r="T67" s="48" t="s">
        <v>109</v>
      </c>
      <c r="U67" s="48">
        <v>1500</v>
      </c>
      <c r="V67" s="48" t="s">
        <v>92</v>
      </c>
    </row>
    <row r="68" spans="1:22" ht="29" x14ac:dyDescent="0.35">
      <c r="A68" s="9" t="s">
        <v>338</v>
      </c>
      <c r="B68" s="9" t="s">
        <v>109</v>
      </c>
      <c r="C68" s="10">
        <v>1500</v>
      </c>
      <c r="D68" s="10">
        <v>1500</v>
      </c>
      <c r="E68" s="9" t="s">
        <v>95</v>
      </c>
      <c r="F68" s="9" t="s">
        <v>103</v>
      </c>
      <c r="G68" s="9"/>
      <c r="H68" s="99"/>
      <c r="I68" s="9"/>
      <c r="J68" s="9" t="s">
        <v>88</v>
      </c>
      <c r="K68" s="226">
        <v>1500</v>
      </c>
      <c r="L68" s="9" t="s">
        <v>339</v>
      </c>
      <c r="M68" s="9"/>
      <c r="N68" s="169" t="s">
        <v>340</v>
      </c>
      <c r="S68" s="48" t="s">
        <v>341</v>
      </c>
      <c r="T68" s="48" t="s">
        <v>109</v>
      </c>
      <c r="U68" s="48">
        <v>1500</v>
      </c>
      <c r="V68" s="48" t="s">
        <v>97</v>
      </c>
    </row>
    <row r="69" spans="1:22" x14ac:dyDescent="0.35">
      <c r="A69" s="9" t="s">
        <v>322</v>
      </c>
      <c r="B69" s="9" t="s">
        <v>109</v>
      </c>
      <c r="C69" s="10">
        <v>1500</v>
      </c>
      <c r="D69" s="10">
        <v>1500</v>
      </c>
      <c r="E69" s="9" t="s">
        <v>68</v>
      </c>
      <c r="F69" s="9" t="s">
        <v>103</v>
      </c>
      <c r="G69" s="9"/>
      <c r="H69" s="99"/>
      <c r="I69" s="9"/>
      <c r="J69" s="9"/>
      <c r="K69" s="226"/>
      <c r="L69" s="9" t="s">
        <v>342</v>
      </c>
      <c r="M69" s="9"/>
      <c r="N69" s="169" t="s">
        <v>343</v>
      </c>
      <c r="S69" s="112" t="s">
        <v>344</v>
      </c>
      <c r="T69" s="112" t="s">
        <v>109</v>
      </c>
      <c r="U69" s="112">
        <v>1500</v>
      </c>
      <c r="V69" s="112" t="s">
        <v>24</v>
      </c>
    </row>
    <row r="70" spans="1:22" x14ac:dyDescent="0.35">
      <c r="A70" s="9" t="s">
        <v>69</v>
      </c>
      <c r="B70" s="9" t="s">
        <v>109</v>
      </c>
      <c r="C70" s="10">
        <v>1500</v>
      </c>
      <c r="D70" s="10">
        <v>1500</v>
      </c>
      <c r="E70" s="9" t="s">
        <v>24</v>
      </c>
      <c r="F70" s="9" t="s">
        <v>82</v>
      </c>
      <c r="G70" s="9"/>
      <c r="H70" s="99"/>
      <c r="I70" s="9"/>
      <c r="J70" s="9" t="s">
        <v>83</v>
      </c>
      <c r="K70" s="226">
        <v>1500</v>
      </c>
      <c r="L70" s="9" t="s">
        <v>84</v>
      </c>
      <c r="M70" s="9"/>
      <c r="N70" s="9" t="s">
        <v>85</v>
      </c>
      <c r="S70" s="112" t="s">
        <v>345</v>
      </c>
      <c r="T70" s="112" t="s">
        <v>109</v>
      </c>
      <c r="U70" s="112">
        <v>1500</v>
      </c>
      <c r="V70" s="112"/>
    </row>
    <row r="71" spans="1:22" ht="29" x14ac:dyDescent="0.35">
      <c r="A71" s="9" t="s">
        <v>346</v>
      </c>
      <c r="B71" s="9" t="s">
        <v>109</v>
      </c>
      <c r="C71" s="10">
        <v>1500</v>
      </c>
      <c r="D71" s="10">
        <v>1500</v>
      </c>
      <c r="E71" s="9" t="s">
        <v>86</v>
      </c>
      <c r="F71" s="9" t="s">
        <v>347</v>
      </c>
      <c r="G71" s="9"/>
      <c r="H71" s="99"/>
      <c r="I71" s="9"/>
      <c r="J71" s="9" t="s">
        <v>65</v>
      </c>
      <c r="K71" s="226">
        <v>1500</v>
      </c>
      <c r="L71" s="9" t="s">
        <v>348</v>
      </c>
      <c r="M71" s="9"/>
      <c r="N71" s="169" t="s">
        <v>349</v>
      </c>
      <c r="S71" s="48" t="s">
        <v>279</v>
      </c>
      <c r="T71" s="48" t="s">
        <v>39</v>
      </c>
      <c r="U71" s="48">
        <v>2850</v>
      </c>
      <c r="V71" s="48" t="s">
        <v>37</v>
      </c>
    </row>
    <row r="72" spans="1:22" x14ac:dyDescent="0.35">
      <c r="A72" s="9" t="s">
        <v>350</v>
      </c>
      <c r="B72" s="9" t="s">
        <v>109</v>
      </c>
      <c r="C72" s="10">
        <v>1500</v>
      </c>
      <c r="D72" s="10">
        <v>1500</v>
      </c>
      <c r="E72" s="9" t="s">
        <v>95</v>
      </c>
      <c r="F72" s="9" t="s">
        <v>253</v>
      </c>
      <c r="G72" s="9"/>
      <c r="H72" s="99"/>
      <c r="I72" s="9"/>
      <c r="J72" s="9"/>
      <c r="K72" s="226"/>
      <c r="L72" s="9" t="s">
        <v>351</v>
      </c>
      <c r="M72" s="9"/>
      <c r="N72" s="9"/>
      <c r="S72" s="48" t="s">
        <v>222</v>
      </c>
      <c r="T72" s="48" t="s">
        <v>223</v>
      </c>
      <c r="U72" s="48">
        <v>2500</v>
      </c>
      <c r="V72" s="48" t="s">
        <v>92</v>
      </c>
    </row>
    <row r="73" spans="1:22" x14ac:dyDescent="0.35">
      <c r="A73" s="9" t="s">
        <v>352</v>
      </c>
      <c r="B73" s="9" t="s">
        <v>109</v>
      </c>
      <c r="C73" s="10">
        <v>1500</v>
      </c>
      <c r="D73" s="10">
        <v>1500</v>
      </c>
      <c r="E73" s="9" t="s">
        <v>92</v>
      </c>
      <c r="F73" s="9" t="s">
        <v>353</v>
      </c>
      <c r="G73" s="9"/>
      <c r="H73" s="99"/>
      <c r="I73" s="9"/>
      <c r="J73" s="9" t="s">
        <v>172</v>
      </c>
      <c r="K73" s="226">
        <v>1500</v>
      </c>
      <c r="L73" s="9" t="s">
        <v>354</v>
      </c>
      <c r="M73" s="9"/>
      <c r="N73" s="169" t="s">
        <v>355</v>
      </c>
      <c r="S73" s="48" t="s">
        <v>152</v>
      </c>
      <c r="T73" s="48" t="s">
        <v>131</v>
      </c>
      <c r="U73" s="48">
        <v>5000</v>
      </c>
      <c r="V73" s="48" t="s">
        <v>95</v>
      </c>
    </row>
    <row r="74" spans="1:22" x14ac:dyDescent="0.35">
      <c r="A74" s="9" t="s">
        <v>356</v>
      </c>
      <c r="B74" s="9" t="s">
        <v>109</v>
      </c>
      <c r="C74" s="10">
        <v>1500</v>
      </c>
      <c r="D74" s="10">
        <v>1500</v>
      </c>
      <c r="E74" s="9" t="s">
        <v>92</v>
      </c>
      <c r="F74" s="9" t="s">
        <v>353</v>
      </c>
      <c r="G74" s="9"/>
      <c r="H74" s="99"/>
      <c r="I74" s="9"/>
      <c r="J74" s="9" t="s">
        <v>287</v>
      </c>
      <c r="K74" s="226">
        <v>1500</v>
      </c>
      <c r="L74" s="9" t="s">
        <v>357</v>
      </c>
      <c r="M74" s="9"/>
      <c r="N74" s="169" t="s">
        <v>358</v>
      </c>
      <c r="S74" s="112" t="s">
        <v>359</v>
      </c>
      <c r="T74" s="112" t="s">
        <v>109</v>
      </c>
      <c r="U74" s="112">
        <v>1500</v>
      </c>
      <c r="V74" s="112" t="s">
        <v>93</v>
      </c>
    </row>
    <row r="75" spans="1:22" x14ac:dyDescent="0.35">
      <c r="A75" s="9" t="s">
        <v>360</v>
      </c>
      <c r="B75" s="9" t="s">
        <v>109</v>
      </c>
      <c r="C75" s="10">
        <v>1500</v>
      </c>
      <c r="D75" s="10">
        <v>1500</v>
      </c>
      <c r="E75" s="9" t="s">
        <v>92</v>
      </c>
      <c r="F75" s="9" t="s">
        <v>353</v>
      </c>
      <c r="G75" s="9"/>
      <c r="H75" s="99"/>
      <c r="I75" s="9"/>
      <c r="J75" s="9" t="s">
        <v>143</v>
      </c>
      <c r="K75" s="226">
        <v>1500</v>
      </c>
      <c r="L75" s="9" t="s">
        <v>361</v>
      </c>
      <c r="M75" s="9"/>
      <c r="N75" s="169" t="s">
        <v>362</v>
      </c>
      <c r="S75" s="48" t="s">
        <v>363</v>
      </c>
      <c r="T75" s="48" t="s">
        <v>109</v>
      </c>
      <c r="U75" s="48">
        <v>1500</v>
      </c>
      <c r="V75" s="48" t="s">
        <v>95</v>
      </c>
    </row>
    <row r="76" spans="1:22" x14ac:dyDescent="0.35">
      <c r="A76" s="9" t="s">
        <v>364</v>
      </c>
      <c r="B76" s="9" t="s">
        <v>109</v>
      </c>
      <c r="C76" s="10">
        <v>1500</v>
      </c>
      <c r="D76" s="10">
        <v>1500</v>
      </c>
      <c r="E76" s="9" t="s">
        <v>93</v>
      </c>
      <c r="F76" s="9" t="s">
        <v>353</v>
      </c>
      <c r="G76" s="9"/>
      <c r="H76" s="99"/>
      <c r="I76" s="9"/>
      <c r="J76" s="9"/>
      <c r="K76" s="226"/>
      <c r="L76" s="9" t="s">
        <v>365</v>
      </c>
      <c r="M76" s="9"/>
      <c r="N76" s="169" t="s">
        <v>366</v>
      </c>
      <c r="S76" s="112" t="s">
        <v>367</v>
      </c>
      <c r="T76" s="112" t="s">
        <v>275</v>
      </c>
      <c r="U76" s="112">
        <v>900</v>
      </c>
      <c r="V76" s="112"/>
    </row>
    <row r="77" spans="1:22" x14ac:dyDescent="0.35">
      <c r="A77" s="9" t="s">
        <v>368</v>
      </c>
      <c r="B77" s="9" t="s">
        <v>109</v>
      </c>
      <c r="C77" s="10">
        <v>1500</v>
      </c>
      <c r="D77" s="10">
        <v>1500</v>
      </c>
      <c r="E77" s="9" t="s">
        <v>93</v>
      </c>
      <c r="F77" s="9" t="s">
        <v>111</v>
      </c>
      <c r="G77" s="9"/>
      <c r="H77" s="99"/>
      <c r="I77" s="9"/>
      <c r="J77" s="9" t="s">
        <v>65</v>
      </c>
      <c r="K77" s="226">
        <v>1500</v>
      </c>
      <c r="L77" s="9" t="s">
        <v>369</v>
      </c>
      <c r="M77" s="9"/>
      <c r="N77" s="169" t="s">
        <v>370</v>
      </c>
      <c r="S77" s="48" t="s">
        <v>146</v>
      </c>
      <c r="T77" s="48" t="s">
        <v>131</v>
      </c>
      <c r="U77" s="48">
        <v>5000</v>
      </c>
      <c r="V77" s="48" t="s">
        <v>24</v>
      </c>
    </row>
    <row r="78" spans="1:22" ht="29" x14ac:dyDescent="0.35">
      <c r="A78" s="9" t="s">
        <v>329</v>
      </c>
      <c r="B78" s="9" t="s">
        <v>109</v>
      </c>
      <c r="C78" s="10">
        <v>1500</v>
      </c>
      <c r="D78" s="10">
        <v>1500</v>
      </c>
      <c r="E78" s="9" t="s">
        <v>95</v>
      </c>
      <c r="F78" s="9" t="s">
        <v>353</v>
      </c>
      <c r="G78" s="9"/>
      <c r="H78" s="233" t="s">
        <v>27</v>
      </c>
      <c r="I78" s="215"/>
      <c r="J78" s="215" t="s">
        <v>143</v>
      </c>
      <c r="K78" s="234">
        <v>1500</v>
      </c>
      <c r="L78" s="9" t="s">
        <v>371</v>
      </c>
      <c r="M78" s="9"/>
      <c r="N78" s="169" t="s">
        <v>372</v>
      </c>
      <c r="S78" s="48" t="s">
        <v>373</v>
      </c>
      <c r="T78" s="48" t="s">
        <v>109</v>
      </c>
      <c r="U78" s="48">
        <v>1500</v>
      </c>
      <c r="V78" s="48" t="s">
        <v>86</v>
      </c>
    </row>
    <row r="79" spans="1:22" x14ac:dyDescent="0.35">
      <c r="A79" s="9" t="s">
        <v>374</v>
      </c>
      <c r="B79" s="9" t="s">
        <v>109</v>
      </c>
      <c r="C79" s="10">
        <v>1500</v>
      </c>
      <c r="D79" s="10">
        <v>1500</v>
      </c>
      <c r="E79" s="9"/>
      <c r="F79" s="9" t="s">
        <v>202</v>
      </c>
      <c r="G79" s="9"/>
      <c r="H79" s="99"/>
      <c r="I79" s="9"/>
      <c r="J79" s="9" t="s">
        <v>375</v>
      </c>
      <c r="K79" s="226">
        <v>1500</v>
      </c>
      <c r="L79" s="9"/>
      <c r="M79" s="9"/>
      <c r="N79" s="169"/>
      <c r="S79" s="48" t="s">
        <v>376</v>
      </c>
      <c r="T79" s="48" t="s">
        <v>109</v>
      </c>
      <c r="U79" s="48">
        <v>1500</v>
      </c>
      <c r="V79" s="48" t="s">
        <v>96</v>
      </c>
    </row>
    <row r="80" spans="1:22" x14ac:dyDescent="0.35">
      <c r="A80" s="9" t="s">
        <v>377</v>
      </c>
      <c r="B80" s="9" t="s">
        <v>109</v>
      </c>
      <c r="C80" s="10">
        <v>1500</v>
      </c>
      <c r="D80" s="10">
        <v>1500</v>
      </c>
      <c r="E80" s="9" t="s">
        <v>93</v>
      </c>
      <c r="F80" s="9" t="s">
        <v>202</v>
      </c>
      <c r="G80" s="9"/>
      <c r="H80" s="99"/>
      <c r="I80" s="9"/>
      <c r="J80" s="9" t="s">
        <v>270</v>
      </c>
      <c r="K80" s="226">
        <v>1500</v>
      </c>
      <c r="L80" s="9"/>
      <c r="M80" s="9"/>
      <c r="N80" s="169"/>
      <c r="S80" s="48" t="s">
        <v>356</v>
      </c>
      <c r="T80" s="48" t="s">
        <v>109</v>
      </c>
      <c r="U80" s="48">
        <v>1500</v>
      </c>
      <c r="V80" s="48" t="s">
        <v>92</v>
      </c>
    </row>
    <row r="81" spans="1:22" x14ac:dyDescent="0.35">
      <c r="A81" s="9" t="s">
        <v>378</v>
      </c>
      <c r="B81" s="9" t="s">
        <v>109</v>
      </c>
      <c r="C81" s="10">
        <v>1500</v>
      </c>
      <c r="D81" s="10">
        <v>1500</v>
      </c>
      <c r="E81" s="9" t="s">
        <v>192</v>
      </c>
      <c r="F81" s="9" t="s">
        <v>153</v>
      </c>
      <c r="G81" s="9"/>
      <c r="H81" s="99"/>
      <c r="I81" s="9"/>
      <c r="J81" s="9" t="s">
        <v>287</v>
      </c>
      <c r="K81" s="226">
        <v>1500</v>
      </c>
      <c r="L81" s="9" t="s">
        <v>379</v>
      </c>
      <c r="M81" s="9"/>
      <c r="N81" s="169"/>
      <c r="S81" s="48" t="s">
        <v>286</v>
      </c>
      <c r="T81" s="48" t="s">
        <v>39</v>
      </c>
      <c r="U81" s="48">
        <v>2850</v>
      </c>
      <c r="V81" s="48" t="s">
        <v>37</v>
      </c>
    </row>
    <row r="82" spans="1:22" x14ac:dyDescent="0.35">
      <c r="A82" s="9" t="s">
        <v>380</v>
      </c>
      <c r="B82" s="9" t="s">
        <v>109</v>
      </c>
      <c r="C82" s="10">
        <v>1500</v>
      </c>
      <c r="D82" s="10">
        <v>1500</v>
      </c>
      <c r="E82" s="9" t="s">
        <v>95</v>
      </c>
      <c r="F82" s="9" t="s">
        <v>153</v>
      </c>
      <c r="G82" s="9"/>
      <c r="H82" s="99"/>
      <c r="I82" s="9"/>
      <c r="J82" s="9" t="s">
        <v>381</v>
      </c>
      <c r="K82" s="226">
        <v>1500</v>
      </c>
      <c r="L82" s="9" t="s">
        <v>382</v>
      </c>
      <c r="M82" s="9"/>
      <c r="N82" s="169"/>
      <c r="S82" s="48" t="s">
        <v>352</v>
      </c>
      <c r="T82" s="48" t="s">
        <v>109</v>
      </c>
      <c r="U82" s="48">
        <v>1500</v>
      </c>
      <c r="V82" s="48" t="s">
        <v>92</v>
      </c>
    </row>
    <row r="83" spans="1:22" x14ac:dyDescent="0.35">
      <c r="A83" s="9" t="s">
        <v>383</v>
      </c>
      <c r="B83" s="9" t="s">
        <v>109</v>
      </c>
      <c r="C83" s="10">
        <v>1500</v>
      </c>
      <c r="D83" s="10">
        <v>1500</v>
      </c>
      <c r="E83" s="9" t="s">
        <v>76</v>
      </c>
      <c r="F83" s="9" t="s">
        <v>153</v>
      </c>
      <c r="G83" s="9"/>
      <c r="H83" s="99"/>
      <c r="I83" s="9"/>
      <c r="J83" s="9" t="s">
        <v>384</v>
      </c>
      <c r="K83" s="226">
        <v>1500</v>
      </c>
      <c r="L83" s="9" t="s">
        <v>385</v>
      </c>
      <c r="M83" s="9"/>
      <c r="N83" s="169" t="s">
        <v>386</v>
      </c>
      <c r="S83" s="48" t="s">
        <v>232</v>
      </c>
      <c r="T83" s="48" t="s">
        <v>39</v>
      </c>
      <c r="U83" s="48">
        <v>2850</v>
      </c>
      <c r="V83" s="48" t="s">
        <v>24</v>
      </c>
    </row>
    <row r="84" spans="1:22" x14ac:dyDescent="0.35">
      <c r="A84" s="9"/>
      <c r="B84" s="9" t="s">
        <v>109</v>
      </c>
      <c r="C84" s="10">
        <v>1500</v>
      </c>
      <c r="D84" s="10"/>
      <c r="E84" s="9"/>
      <c r="F84" s="9"/>
      <c r="G84" s="9"/>
      <c r="H84" s="99"/>
      <c r="I84" s="9"/>
      <c r="J84" s="9"/>
      <c r="K84" s="227"/>
      <c r="L84" s="9"/>
      <c r="M84" s="9"/>
      <c r="N84" s="9"/>
      <c r="S84" s="112" t="s">
        <v>387</v>
      </c>
      <c r="T84" s="112" t="s">
        <v>109</v>
      </c>
      <c r="U84" s="112">
        <v>0</v>
      </c>
      <c r="V84" s="112"/>
    </row>
    <row r="85" spans="1:22" x14ac:dyDescent="0.35">
      <c r="A85" s="9" t="s">
        <v>388</v>
      </c>
      <c r="B85" s="9" t="s">
        <v>109</v>
      </c>
      <c r="C85" s="10">
        <v>1500</v>
      </c>
      <c r="D85" s="10">
        <v>1500</v>
      </c>
      <c r="E85" s="9"/>
      <c r="F85" s="9" t="s">
        <v>153</v>
      </c>
      <c r="G85" s="9"/>
      <c r="H85" s="99"/>
      <c r="I85" s="9"/>
      <c r="J85" s="9" t="s">
        <v>143</v>
      </c>
      <c r="K85" s="226">
        <v>1500</v>
      </c>
      <c r="L85" s="9" t="s">
        <v>389</v>
      </c>
      <c r="M85" s="9"/>
      <c r="N85" s="9" t="s">
        <v>390</v>
      </c>
      <c r="S85" s="48" t="s">
        <v>235</v>
      </c>
      <c r="T85" s="48" t="s">
        <v>23</v>
      </c>
      <c r="U85" s="48">
        <v>20000</v>
      </c>
      <c r="V85" s="48" t="s">
        <v>37</v>
      </c>
    </row>
    <row r="86" spans="1:22" x14ac:dyDescent="0.35">
      <c r="A86" s="9" t="s">
        <v>193</v>
      </c>
      <c r="B86" s="9" t="s">
        <v>109</v>
      </c>
      <c r="C86" s="10">
        <v>1500</v>
      </c>
      <c r="D86" s="10">
        <v>1500</v>
      </c>
      <c r="E86" s="9" t="s">
        <v>24</v>
      </c>
      <c r="F86" s="9" t="s">
        <v>153</v>
      </c>
      <c r="G86" s="9"/>
      <c r="H86" s="99"/>
      <c r="I86" s="9"/>
      <c r="J86" s="9" t="s">
        <v>143</v>
      </c>
      <c r="K86" s="226">
        <v>1500</v>
      </c>
      <c r="L86" s="9" t="s">
        <v>391</v>
      </c>
      <c r="M86" s="9"/>
      <c r="N86" s="9" t="s">
        <v>392</v>
      </c>
      <c r="S86" s="48" t="s">
        <v>350</v>
      </c>
      <c r="T86" s="48" t="s">
        <v>118</v>
      </c>
      <c r="U86" s="48">
        <v>10000</v>
      </c>
      <c r="V86" s="48" t="s">
        <v>96</v>
      </c>
    </row>
    <row r="87" spans="1:22" x14ac:dyDescent="0.35">
      <c r="A87" s="9" t="s">
        <v>151</v>
      </c>
      <c r="B87" s="9" t="s">
        <v>109</v>
      </c>
      <c r="C87" s="10">
        <v>1500</v>
      </c>
      <c r="D87" s="10">
        <v>1500</v>
      </c>
      <c r="E87" s="9" t="s">
        <v>95</v>
      </c>
      <c r="F87" s="9" t="s">
        <v>261</v>
      </c>
      <c r="G87" s="9"/>
      <c r="H87" s="99"/>
      <c r="I87" s="9"/>
      <c r="J87" s="9" t="s">
        <v>256</v>
      </c>
      <c r="K87" s="226">
        <v>1500</v>
      </c>
      <c r="L87" s="9" t="s">
        <v>393</v>
      </c>
      <c r="M87" s="9"/>
      <c r="N87" s="169" t="s">
        <v>394</v>
      </c>
      <c r="S87" s="48" t="s">
        <v>69</v>
      </c>
      <c r="T87" s="48" t="s">
        <v>109</v>
      </c>
      <c r="U87" s="48">
        <v>1500</v>
      </c>
      <c r="V87" s="48" t="s">
        <v>24</v>
      </c>
    </row>
    <row r="88" spans="1:22" ht="29" x14ac:dyDescent="0.35">
      <c r="A88" s="9" t="s">
        <v>395</v>
      </c>
      <c r="B88" s="9" t="s">
        <v>109</v>
      </c>
      <c r="C88" s="10">
        <v>1500</v>
      </c>
      <c r="D88" s="10">
        <v>1500</v>
      </c>
      <c r="E88" s="9" t="s">
        <v>95</v>
      </c>
      <c r="F88" s="9" t="s">
        <v>161</v>
      </c>
      <c r="G88" s="9"/>
      <c r="H88" s="99"/>
      <c r="I88" s="9"/>
      <c r="J88" s="9" t="s">
        <v>277</v>
      </c>
      <c r="K88" s="226">
        <v>1500</v>
      </c>
      <c r="L88" s="9" t="s">
        <v>396</v>
      </c>
      <c r="M88" s="9"/>
      <c r="N88" s="169" t="s">
        <v>397</v>
      </c>
      <c r="S88" s="48" t="s">
        <v>398</v>
      </c>
      <c r="T88" s="48" t="s">
        <v>109</v>
      </c>
      <c r="U88" s="48">
        <v>1500</v>
      </c>
      <c r="V88" s="48" t="s">
        <v>96</v>
      </c>
    </row>
    <row r="89" spans="1:22" ht="29" x14ac:dyDescent="0.35">
      <c r="A89" s="9" t="s">
        <v>363</v>
      </c>
      <c r="B89" s="9" t="s">
        <v>109</v>
      </c>
      <c r="C89" s="10">
        <v>1500</v>
      </c>
      <c r="D89" s="10">
        <v>1500</v>
      </c>
      <c r="E89" s="9" t="s">
        <v>95</v>
      </c>
      <c r="F89" s="9" t="s">
        <v>161</v>
      </c>
      <c r="G89" s="9"/>
      <c r="H89" s="99"/>
      <c r="I89" s="9"/>
      <c r="J89" s="9" t="s">
        <v>208</v>
      </c>
      <c r="K89" s="226">
        <v>1500</v>
      </c>
      <c r="L89" s="9" t="s">
        <v>399</v>
      </c>
      <c r="M89" s="9"/>
      <c r="N89" s="9" t="s">
        <v>400</v>
      </c>
      <c r="S89" s="112" t="s">
        <v>401</v>
      </c>
      <c r="T89" s="112" t="s">
        <v>109</v>
      </c>
      <c r="U89" s="112">
        <v>1500</v>
      </c>
      <c r="V89" s="112" t="s">
        <v>37</v>
      </c>
    </row>
    <row r="90" spans="1:22" x14ac:dyDescent="0.35">
      <c r="A90" s="9" t="s">
        <v>323</v>
      </c>
      <c r="B90" s="9" t="s">
        <v>109</v>
      </c>
      <c r="C90" s="10">
        <v>1500</v>
      </c>
      <c r="D90" s="10">
        <v>1500</v>
      </c>
      <c r="E90" s="9" t="s">
        <v>97</v>
      </c>
      <c r="F90" s="9" t="s">
        <v>402</v>
      </c>
      <c r="G90" s="9"/>
      <c r="H90" s="99"/>
      <c r="I90" s="9"/>
      <c r="J90" s="9" t="s">
        <v>287</v>
      </c>
      <c r="K90" s="226">
        <v>1500</v>
      </c>
      <c r="L90" s="9" t="s">
        <v>403</v>
      </c>
      <c r="M90" s="9"/>
      <c r="N90" s="169" t="s">
        <v>404</v>
      </c>
      <c r="S90" s="48" t="s">
        <v>405</v>
      </c>
      <c r="T90" s="48" t="s">
        <v>275</v>
      </c>
      <c r="U90" s="48">
        <v>300</v>
      </c>
      <c r="V90" s="48" t="s">
        <v>95</v>
      </c>
    </row>
    <row r="91" spans="1:22" x14ac:dyDescent="0.35">
      <c r="A91" s="9" t="s">
        <v>406</v>
      </c>
      <c r="B91" s="9" t="s">
        <v>109</v>
      </c>
      <c r="C91" s="10">
        <v>1500</v>
      </c>
      <c r="D91" s="10">
        <v>1500</v>
      </c>
      <c r="E91" s="9" t="s">
        <v>96</v>
      </c>
      <c r="F91" s="9" t="s">
        <v>381</v>
      </c>
      <c r="G91" s="9"/>
      <c r="H91" s="99"/>
      <c r="I91" s="9"/>
      <c r="J91" s="9" t="s">
        <v>407</v>
      </c>
      <c r="K91" s="226">
        <v>1500</v>
      </c>
      <c r="L91" s="9" t="s">
        <v>405</v>
      </c>
      <c r="M91" s="9"/>
      <c r="N91" s="169" t="s">
        <v>408</v>
      </c>
      <c r="S91" s="48" t="s">
        <v>409</v>
      </c>
      <c r="T91" s="48" t="s">
        <v>201</v>
      </c>
      <c r="U91" s="48">
        <v>4000</v>
      </c>
      <c r="V91" s="48" t="s">
        <v>86</v>
      </c>
    </row>
    <row r="92" spans="1:22" x14ac:dyDescent="0.35">
      <c r="A92" s="19" t="s">
        <v>410</v>
      </c>
      <c r="B92" s="19" t="s">
        <v>109</v>
      </c>
      <c r="C92" s="20">
        <v>1500</v>
      </c>
      <c r="D92" s="20">
        <v>1500</v>
      </c>
      <c r="E92" s="19" t="s">
        <v>90</v>
      </c>
      <c r="F92" s="19" t="s">
        <v>381</v>
      </c>
      <c r="G92" s="19"/>
      <c r="H92" s="124"/>
      <c r="I92" s="9"/>
      <c r="J92" s="19" t="s">
        <v>277</v>
      </c>
      <c r="K92" s="228">
        <v>1500</v>
      </c>
      <c r="L92" s="19" t="s">
        <v>411</v>
      </c>
      <c r="M92" s="19"/>
      <c r="N92" s="169" t="s">
        <v>412</v>
      </c>
      <c r="S92" s="48" t="s">
        <v>182</v>
      </c>
      <c r="T92" s="48" t="s">
        <v>183</v>
      </c>
      <c r="U92" s="48">
        <v>0</v>
      </c>
      <c r="V92" s="48" t="s">
        <v>24</v>
      </c>
    </row>
    <row r="93" spans="1:22" x14ac:dyDescent="0.35">
      <c r="A93" s="9" t="s">
        <v>313</v>
      </c>
      <c r="B93" s="9" t="s">
        <v>109</v>
      </c>
      <c r="C93" s="10">
        <v>1500</v>
      </c>
      <c r="D93" s="10">
        <v>1500</v>
      </c>
      <c r="E93" s="9" t="s">
        <v>95</v>
      </c>
      <c r="F93" s="9" t="s">
        <v>381</v>
      </c>
      <c r="G93" s="9"/>
      <c r="H93" s="233" t="s">
        <v>27</v>
      </c>
      <c r="I93" s="215"/>
      <c r="J93" s="215" t="s">
        <v>290</v>
      </c>
      <c r="K93" s="234">
        <v>1500</v>
      </c>
      <c r="L93" s="9" t="s">
        <v>413</v>
      </c>
      <c r="M93" s="9"/>
      <c r="N93" s="169" t="s">
        <v>414</v>
      </c>
      <c r="S93" s="48" t="s">
        <v>415</v>
      </c>
      <c r="T93" s="48" t="s">
        <v>416</v>
      </c>
      <c r="U93" s="48">
        <v>5000</v>
      </c>
      <c r="V93" s="48" t="s">
        <v>76</v>
      </c>
    </row>
    <row r="94" spans="1:22" x14ac:dyDescent="0.35">
      <c r="A94" s="9" t="s">
        <v>264</v>
      </c>
      <c r="B94" s="9" t="s">
        <v>109</v>
      </c>
      <c r="C94" s="10">
        <v>1500</v>
      </c>
      <c r="D94" s="10">
        <v>1500</v>
      </c>
      <c r="E94" s="9" t="s">
        <v>24</v>
      </c>
      <c r="F94" s="9" t="s">
        <v>417</v>
      </c>
      <c r="G94" s="9"/>
      <c r="H94" s="99"/>
      <c r="I94" s="9"/>
      <c r="J94" s="9" t="s">
        <v>418</v>
      </c>
      <c r="K94" s="226">
        <v>1500</v>
      </c>
      <c r="L94" s="9" t="s">
        <v>419</v>
      </c>
      <c r="M94" s="9"/>
      <c r="N94" s="9" t="s">
        <v>420</v>
      </c>
      <c r="S94" s="48" t="s">
        <v>166</v>
      </c>
      <c r="T94" s="48" t="s">
        <v>131</v>
      </c>
      <c r="U94" s="48">
        <v>5000</v>
      </c>
      <c r="V94" s="48" t="s">
        <v>95</v>
      </c>
    </row>
    <row r="95" spans="1:22" x14ac:dyDescent="0.35">
      <c r="A95" s="9" t="s">
        <v>218</v>
      </c>
      <c r="B95" s="9" t="s">
        <v>109</v>
      </c>
      <c r="C95" s="10">
        <v>1500</v>
      </c>
      <c r="D95" s="10">
        <v>1500</v>
      </c>
      <c r="E95" s="9" t="s">
        <v>24</v>
      </c>
      <c r="F95" s="9" t="s">
        <v>417</v>
      </c>
      <c r="G95" s="9"/>
      <c r="H95" s="233" t="s">
        <v>27</v>
      </c>
      <c r="I95" s="215"/>
      <c r="J95" s="215" t="s">
        <v>421</v>
      </c>
      <c r="K95" s="234">
        <v>885</v>
      </c>
      <c r="L95" s="9" t="s">
        <v>422</v>
      </c>
      <c r="M95" s="9"/>
      <c r="N95" s="9" t="s">
        <v>423</v>
      </c>
      <c r="S95" s="48" t="s">
        <v>40</v>
      </c>
      <c r="T95" s="48" t="s">
        <v>118</v>
      </c>
      <c r="U95" s="48">
        <v>10000</v>
      </c>
      <c r="V95" s="48" t="s">
        <v>37</v>
      </c>
    </row>
    <row r="96" spans="1:22" x14ac:dyDescent="0.35">
      <c r="A96" s="43"/>
      <c r="B96" s="43"/>
      <c r="C96" s="43"/>
      <c r="D96" s="43"/>
      <c r="E96" s="43"/>
      <c r="F96" s="43"/>
      <c r="G96" s="43"/>
      <c r="H96" s="100"/>
      <c r="I96" s="43"/>
      <c r="J96" s="5" t="s">
        <v>256</v>
      </c>
      <c r="K96" s="231">
        <v>615</v>
      </c>
      <c r="L96" s="43"/>
      <c r="M96" s="43"/>
      <c r="N96" s="43"/>
      <c r="S96" s="48" t="s">
        <v>424</v>
      </c>
      <c r="T96" s="48" t="s">
        <v>109</v>
      </c>
      <c r="U96" s="48">
        <v>1500</v>
      </c>
      <c r="V96" s="48" t="s">
        <v>86</v>
      </c>
    </row>
    <row r="97" spans="1:22" x14ac:dyDescent="0.35">
      <c r="A97" s="9" t="s">
        <v>425</v>
      </c>
      <c r="B97" s="9" t="s">
        <v>109</v>
      </c>
      <c r="C97" s="10">
        <v>1500</v>
      </c>
      <c r="D97" s="10">
        <v>1500</v>
      </c>
      <c r="E97" s="9" t="s">
        <v>92</v>
      </c>
      <c r="F97" s="9" t="s">
        <v>215</v>
      </c>
      <c r="G97" s="9"/>
      <c r="H97" s="99"/>
      <c r="I97" s="9"/>
      <c r="J97" s="9" t="s">
        <v>407</v>
      </c>
      <c r="K97" s="226">
        <v>1500</v>
      </c>
      <c r="L97" s="9" t="s">
        <v>426</v>
      </c>
      <c r="M97" s="9"/>
      <c r="N97" s="169" t="s">
        <v>427</v>
      </c>
      <c r="S97" s="48" t="s">
        <v>117</v>
      </c>
      <c r="T97" s="48" t="s">
        <v>118</v>
      </c>
      <c r="U97" s="48">
        <v>7000</v>
      </c>
      <c r="V97" s="48" t="s">
        <v>97</v>
      </c>
    </row>
    <row r="98" spans="1:22" x14ac:dyDescent="0.35">
      <c r="A98" s="9" t="s">
        <v>428</v>
      </c>
      <c r="B98" s="9" t="s">
        <v>109</v>
      </c>
      <c r="C98" s="10">
        <v>1500</v>
      </c>
      <c r="D98" s="10">
        <v>1500</v>
      </c>
      <c r="E98" s="9" t="s">
        <v>97</v>
      </c>
      <c r="F98" s="9" t="s">
        <v>215</v>
      </c>
      <c r="G98" s="9"/>
      <c r="H98" s="99"/>
      <c r="I98" s="9"/>
      <c r="J98" s="9" t="s">
        <v>421</v>
      </c>
      <c r="K98" s="226">
        <v>1500</v>
      </c>
      <c r="L98" s="9" t="s">
        <v>429</v>
      </c>
      <c r="M98" s="9"/>
      <c r="N98" s="169" t="s">
        <v>430</v>
      </c>
      <c r="S98" s="48" t="s">
        <v>52</v>
      </c>
      <c r="T98" s="48" t="s">
        <v>131</v>
      </c>
      <c r="U98" s="48">
        <v>3500</v>
      </c>
      <c r="V98" s="48" t="s">
        <v>37</v>
      </c>
    </row>
    <row r="99" spans="1:22" x14ac:dyDescent="0.35">
      <c r="A99" s="9" t="s">
        <v>431</v>
      </c>
      <c r="B99" s="9" t="s">
        <v>109</v>
      </c>
      <c r="C99" s="10">
        <v>1500</v>
      </c>
      <c r="D99" s="10">
        <v>1500</v>
      </c>
      <c r="E99" s="9" t="s">
        <v>24</v>
      </c>
      <c r="F99" s="9" t="s">
        <v>215</v>
      </c>
      <c r="G99" s="9"/>
      <c r="H99" s="99"/>
      <c r="I99" s="9"/>
      <c r="J99" s="9" t="s">
        <v>375</v>
      </c>
      <c r="K99" s="226">
        <v>1500</v>
      </c>
      <c r="L99" s="9" t="s">
        <v>432</v>
      </c>
      <c r="M99" s="9"/>
      <c r="N99" s="169" t="s">
        <v>433</v>
      </c>
      <c r="S99" s="48" t="s">
        <v>289</v>
      </c>
      <c r="T99" s="48" t="s">
        <v>39</v>
      </c>
      <c r="U99" s="48">
        <v>2850</v>
      </c>
      <c r="V99" s="48" t="s">
        <v>37</v>
      </c>
    </row>
    <row r="100" spans="1:22" ht="29" x14ac:dyDescent="0.35">
      <c r="A100" s="9" t="s">
        <v>434</v>
      </c>
      <c r="B100" s="9" t="s">
        <v>109</v>
      </c>
      <c r="C100" s="10">
        <v>1500</v>
      </c>
      <c r="D100" s="10">
        <v>1500</v>
      </c>
      <c r="E100" s="9" t="s">
        <v>96</v>
      </c>
      <c r="F100" s="9" t="s">
        <v>202</v>
      </c>
      <c r="G100" s="9"/>
      <c r="H100" s="233" t="s">
        <v>27</v>
      </c>
      <c r="I100" s="215"/>
      <c r="J100" s="215" t="s">
        <v>435</v>
      </c>
      <c r="K100" s="234">
        <f>64.5+192</f>
        <v>256.5</v>
      </c>
      <c r="L100" s="9" t="s">
        <v>436</v>
      </c>
      <c r="M100" s="9"/>
      <c r="N100" s="9" t="s">
        <v>437</v>
      </c>
      <c r="S100" s="48" t="s">
        <v>346</v>
      </c>
      <c r="T100" s="48" t="s">
        <v>109</v>
      </c>
      <c r="U100" s="48">
        <v>1500</v>
      </c>
      <c r="V100" s="48" t="s">
        <v>86</v>
      </c>
    </row>
    <row r="101" spans="1:22" x14ac:dyDescent="0.35">
      <c r="A101" s="43"/>
      <c r="B101" s="43"/>
      <c r="C101" s="43"/>
      <c r="D101" s="43"/>
      <c r="E101" s="43"/>
      <c r="F101" s="43"/>
      <c r="G101" s="43"/>
      <c r="H101" s="100"/>
      <c r="I101" s="43"/>
      <c r="J101" s="9" t="s">
        <v>128</v>
      </c>
      <c r="K101" s="226">
        <v>414.5</v>
      </c>
      <c r="L101" s="43"/>
      <c r="M101" s="43"/>
      <c r="N101" s="43"/>
    </row>
    <row r="102" spans="1:22" x14ac:dyDescent="0.35">
      <c r="A102" s="43"/>
      <c r="B102" s="43"/>
      <c r="C102" s="43"/>
      <c r="D102" s="43"/>
      <c r="E102" s="43"/>
      <c r="F102" s="43"/>
      <c r="G102" s="43"/>
      <c r="H102" s="100"/>
      <c r="I102" s="43"/>
      <c r="J102" s="9" t="s">
        <v>438</v>
      </c>
      <c r="K102" s="226">
        <v>414.5</v>
      </c>
      <c r="L102" s="43"/>
      <c r="M102" s="43"/>
      <c r="N102" s="43"/>
    </row>
    <row r="103" spans="1:22" ht="29" x14ac:dyDescent="0.35">
      <c r="A103" s="9" t="s">
        <v>288</v>
      </c>
      <c r="B103" s="9" t="s">
        <v>109</v>
      </c>
      <c r="C103" s="10">
        <v>1500</v>
      </c>
      <c r="D103" s="10">
        <v>1500</v>
      </c>
      <c r="E103" s="9" t="s">
        <v>24</v>
      </c>
      <c r="F103" s="9" t="s">
        <v>244</v>
      </c>
      <c r="G103" s="9"/>
      <c r="H103" s="99"/>
      <c r="I103" s="9"/>
      <c r="J103" s="9" t="s">
        <v>439</v>
      </c>
      <c r="K103" s="226">
        <v>1500</v>
      </c>
      <c r="L103" s="9" t="s">
        <v>440</v>
      </c>
      <c r="M103" s="9"/>
      <c r="N103" s="9" t="s">
        <v>441</v>
      </c>
    </row>
    <row r="104" spans="1:22" x14ac:dyDescent="0.35">
      <c r="A104" s="9" t="s">
        <v>442</v>
      </c>
      <c r="B104" s="9" t="s">
        <v>109</v>
      </c>
      <c r="C104" s="10">
        <v>1500</v>
      </c>
      <c r="D104" s="10">
        <v>1500</v>
      </c>
      <c r="E104" s="9" t="s">
        <v>96</v>
      </c>
      <c r="F104" s="9" t="s">
        <v>384</v>
      </c>
      <c r="G104" s="9"/>
      <c r="H104" s="99"/>
      <c r="I104" s="9"/>
      <c r="J104" s="9" t="s">
        <v>25</v>
      </c>
      <c r="K104" s="226">
        <v>1500</v>
      </c>
      <c r="L104" s="9" t="s">
        <v>443</v>
      </c>
      <c r="M104" s="9"/>
      <c r="N104" s="169" t="s">
        <v>444</v>
      </c>
    </row>
    <row r="105" spans="1:22" x14ac:dyDescent="0.35">
      <c r="A105" s="9" t="s">
        <v>199</v>
      </c>
      <c r="B105" s="9" t="s">
        <v>109</v>
      </c>
      <c r="C105" s="10">
        <v>1500</v>
      </c>
      <c r="D105" s="10">
        <v>1500</v>
      </c>
      <c r="E105" s="9" t="s">
        <v>95</v>
      </c>
      <c r="F105" s="9" t="s">
        <v>384</v>
      </c>
      <c r="G105" s="9" t="s">
        <v>445</v>
      </c>
      <c r="H105" s="99"/>
      <c r="I105" s="9"/>
      <c r="J105" s="9" t="s">
        <v>446</v>
      </c>
      <c r="K105" s="226">
        <v>1500</v>
      </c>
      <c r="L105" s="9" t="s">
        <v>447</v>
      </c>
      <c r="M105" s="9"/>
      <c r="N105" s="169" t="s">
        <v>448</v>
      </c>
    </row>
    <row r="106" spans="1:22" x14ac:dyDescent="0.35">
      <c r="A106" s="9" t="s">
        <v>449</v>
      </c>
      <c r="B106" s="9" t="s">
        <v>109</v>
      </c>
      <c r="C106" s="10">
        <v>1500</v>
      </c>
      <c r="D106" s="10">
        <v>1500</v>
      </c>
      <c r="E106" s="9" t="s">
        <v>93</v>
      </c>
      <c r="F106" s="9" t="s">
        <v>384</v>
      </c>
      <c r="G106" s="9"/>
      <c r="H106" s="99"/>
      <c r="I106" s="9"/>
      <c r="J106" s="9" t="s">
        <v>287</v>
      </c>
      <c r="K106" s="226">
        <v>1500</v>
      </c>
      <c r="L106" s="9" t="s">
        <v>450</v>
      </c>
      <c r="M106" s="9"/>
      <c r="N106" s="169" t="s">
        <v>451</v>
      </c>
    </row>
    <row r="107" spans="1:22" x14ac:dyDescent="0.35">
      <c r="A107" s="9" t="s">
        <v>452</v>
      </c>
      <c r="B107" s="9" t="s">
        <v>109</v>
      </c>
      <c r="C107" s="10">
        <v>1500</v>
      </c>
      <c r="D107" s="10">
        <v>1500</v>
      </c>
      <c r="E107" s="9" t="s">
        <v>93</v>
      </c>
      <c r="F107" s="9" t="s">
        <v>384</v>
      </c>
      <c r="G107" s="9"/>
      <c r="H107" s="99"/>
      <c r="I107" s="9"/>
      <c r="J107" s="9" t="s">
        <v>418</v>
      </c>
      <c r="K107" s="226">
        <v>375</v>
      </c>
      <c r="L107" s="9" t="s">
        <v>453</v>
      </c>
      <c r="M107" s="9"/>
      <c r="N107" s="169" t="s">
        <v>454</v>
      </c>
    </row>
    <row r="108" spans="1:22" x14ac:dyDescent="0.35">
      <c r="A108" s="9" t="s">
        <v>157</v>
      </c>
      <c r="B108" s="9" t="s">
        <v>109</v>
      </c>
      <c r="C108" s="10">
        <v>1500</v>
      </c>
      <c r="D108" s="10">
        <v>1500</v>
      </c>
      <c r="E108" s="9" t="s">
        <v>92</v>
      </c>
      <c r="F108" s="9" t="s">
        <v>384</v>
      </c>
      <c r="G108" s="9"/>
      <c r="H108" s="99"/>
      <c r="I108" s="9"/>
      <c r="J108" s="9" t="s">
        <v>299</v>
      </c>
      <c r="K108" s="226">
        <v>1500</v>
      </c>
      <c r="L108" s="9" t="s">
        <v>455</v>
      </c>
      <c r="M108" s="9"/>
      <c r="N108" s="169" t="s">
        <v>456</v>
      </c>
    </row>
    <row r="109" spans="1:22" x14ac:dyDescent="0.35">
      <c r="A109" s="9" t="s">
        <v>457</v>
      </c>
      <c r="B109" s="9" t="s">
        <v>109</v>
      </c>
      <c r="C109" s="10">
        <v>1500</v>
      </c>
      <c r="D109" s="10">
        <v>1500</v>
      </c>
      <c r="E109" s="9" t="s">
        <v>37</v>
      </c>
      <c r="F109" s="9" t="s">
        <v>25</v>
      </c>
      <c r="G109" s="9"/>
      <c r="H109" s="233" t="s">
        <v>27</v>
      </c>
      <c r="I109" s="215"/>
      <c r="J109" s="215" t="s">
        <v>458</v>
      </c>
      <c r="K109" s="234">
        <v>1500</v>
      </c>
      <c r="L109" s="9" t="s">
        <v>459</v>
      </c>
      <c r="M109" s="9"/>
      <c r="N109" s="9" t="s">
        <v>460</v>
      </c>
    </row>
    <row r="110" spans="1:22" x14ac:dyDescent="0.35">
      <c r="A110" s="9" t="s">
        <v>298</v>
      </c>
      <c r="B110" s="9" t="s">
        <v>109</v>
      </c>
      <c r="C110" s="10">
        <v>1500</v>
      </c>
      <c r="D110" s="10">
        <v>1500</v>
      </c>
      <c r="E110" s="9" t="s">
        <v>24</v>
      </c>
      <c r="F110" s="9" t="s">
        <v>25</v>
      </c>
      <c r="G110" s="9"/>
      <c r="H110" s="233" t="s">
        <v>27</v>
      </c>
      <c r="I110" s="215"/>
      <c r="J110" s="255">
        <v>45908</v>
      </c>
      <c r="K110" s="234">
        <v>1500</v>
      </c>
      <c r="L110" s="9" t="s">
        <v>461</v>
      </c>
      <c r="M110" s="9"/>
      <c r="N110" s="9" t="s">
        <v>462</v>
      </c>
    </row>
    <row r="111" spans="1:22" x14ac:dyDescent="0.35">
      <c r="A111" s="9" t="s">
        <v>242</v>
      </c>
      <c r="B111" s="9" t="s">
        <v>109</v>
      </c>
      <c r="C111" s="10">
        <v>1500</v>
      </c>
      <c r="D111" s="10">
        <v>1500</v>
      </c>
      <c r="E111" s="9" t="s">
        <v>86</v>
      </c>
      <c r="F111" s="9" t="s">
        <v>244</v>
      </c>
      <c r="G111" s="9"/>
      <c r="H111" s="99"/>
      <c r="I111" s="9"/>
      <c r="J111" s="9" t="s">
        <v>256</v>
      </c>
      <c r="K111" s="226">
        <v>1500</v>
      </c>
      <c r="L111" s="9" t="s">
        <v>463</v>
      </c>
      <c r="M111" s="9"/>
      <c r="N111" s="169" t="s">
        <v>464</v>
      </c>
    </row>
    <row r="112" spans="1:22" x14ac:dyDescent="0.35">
      <c r="A112" s="9" t="s">
        <v>465</v>
      </c>
      <c r="B112" s="9" t="s">
        <v>109</v>
      </c>
      <c r="C112" s="10">
        <v>1500</v>
      </c>
      <c r="D112" s="10">
        <v>1375</v>
      </c>
      <c r="E112" s="9"/>
      <c r="F112" s="9"/>
      <c r="G112" s="9"/>
      <c r="H112" s="99"/>
      <c r="I112" s="9"/>
      <c r="J112" s="9" t="s">
        <v>148</v>
      </c>
      <c r="K112" s="226">
        <v>1375</v>
      </c>
      <c r="L112" s="9"/>
      <c r="M112" s="9"/>
      <c r="N112" s="9"/>
    </row>
    <row r="113" spans="1:14" x14ac:dyDescent="0.35">
      <c r="A113" s="9" t="s">
        <v>466</v>
      </c>
      <c r="B113" s="9" t="s">
        <v>109</v>
      </c>
      <c r="C113" s="10">
        <v>1500</v>
      </c>
      <c r="D113" s="10">
        <v>1500</v>
      </c>
      <c r="E113" s="9"/>
      <c r="F113" s="9"/>
      <c r="G113" s="9"/>
      <c r="H113" s="99"/>
      <c r="I113" s="9"/>
      <c r="J113" s="9" t="s">
        <v>107</v>
      </c>
      <c r="K113" s="226">
        <v>1500</v>
      </c>
      <c r="L113" s="9"/>
      <c r="M113" s="9"/>
      <c r="N113" s="9"/>
    </row>
    <row r="114" spans="1:14" x14ac:dyDescent="0.35">
      <c r="A114" s="19" t="s">
        <v>467</v>
      </c>
      <c r="B114" s="19" t="s">
        <v>109</v>
      </c>
      <c r="C114" s="20">
        <v>1500</v>
      </c>
      <c r="D114" s="20">
        <v>1500</v>
      </c>
      <c r="E114" s="19" t="s">
        <v>93</v>
      </c>
      <c r="F114" s="19" t="s">
        <v>148</v>
      </c>
      <c r="G114" s="19"/>
      <c r="H114" s="124"/>
      <c r="I114" s="19"/>
      <c r="J114" s="19" t="s">
        <v>115</v>
      </c>
      <c r="K114" s="228">
        <v>1500</v>
      </c>
      <c r="L114" s="19" t="s">
        <v>468</v>
      </c>
      <c r="M114" s="19"/>
      <c r="N114" s="169" t="s">
        <v>469</v>
      </c>
    </row>
    <row r="115" spans="1:14" x14ac:dyDescent="0.35">
      <c r="A115" s="9" t="s">
        <v>470</v>
      </c>
      <c r="B115" s="9" t="s">
        <v>109</v>
      </c>
      <c r="C115" s="10">
        <v>1500</v>
      </c>
      <c r="D115" s="10">
        <v>1500</v>
      </c>
      <c r="E115" s="9"/>
      <c r="F115" s="9"/>
      <c r="G115" s="9"/>
      <c r="H115" s="99"/>
      <c r="I115" s="9"/>
      <c r="J115" s="9" t="s">
        <v>471</v>
      </c>
      <c r="K115" s="226">
        <v>1500</v>
      </c>
      <c r="L115" s="9"/>
      <c r="M115" s="9"/>
      <c r="N115" s="169"/>
    </row>
    <row r="116" spans="1:14" x14ac:dyDescent="0.35">
      <c r="A116" s="9"/>
      <c r="B116" s="9" t="s">
        <v>109</v>
      </c>
      <c r="C116" s="10">
        <v>1500</v>
      </c>
      <c r="D116" s="10"/>
      <c r="E116" s="9"/>
      <c r="F116" s="9"/>
      <c r="G116" s="9"/>
      <c r="H116" s="99"/>
      <c r="I116" s="9"/>
      <c r="J116" s="9"/>
      <c r="K116" s="227"/>
      <c r="L116" s="9"/>
      <c r="M116" s="9"/>
      <c r="N116" s="9"/>
    </row>
    <row r="117" spans="1:14" x14ac:dyDescent="0.35">
      <c r="A117" s="9"/>
      <c r="B117" s="9" t="s">
        <v>109</v>
      </c>
      <c r="C117" s="10">
        <v>1500</v>
      </c>
      <c r="D117" s="10"/>
      <c r="E117" s="9"/>
      <c r="F117" s="9"/>
      <c r="G117" s="9"/>
      <c r="H117" s="99"/>
      <c r="I117" s="9"/>
      <c r="J117" s="9"/>
      <c r="K117" s="227"/>
      <c r="L117" s="9"/>
      <c r="M117" s="9"/>
      <c r="N117" s="169"/>
    </row>
    <row r="118" spans="1:14" x14ac:dyDescent="0.35">
      <c r="A118" s="9" t="s">
        <v>472</v>
      </c>
      <c r="B118" s="9"/>
      <c r="C118" s="10">
        <v>200</v>
      </c>
      <c r="D118" s="10"/>
      <c r="E118" s="9"/>
      <c r="F118" s="9"/>
      <c r="G118" s="9" t="s">
        <v>473</v>
      </c>
      <c r="H118" s="99"/>
      <c r="I118" s="9"/>
      <c r="J118" s="9"/>
      <c r="K118" s="229"/>
      <c r="L118" s="9"/>
      <c r="M118" s="9"/>
      <c r="N118" s="9"/>
    </row>
    <row r="120" spans="1:14" x14ac:dyDescent="0.35">
      <c r="K120" s="230">
        <f>SUM(K9:K117)</f>
        <v>270935.5</v>
      </c>
    </row>
    <row r="307" spans="5:5" x14ac:dyDescent="0.35">
      <c r="E307" s="5" t="s">
        <v>47</v>
      </c>
    </row>
    <row r="308" spans="5:5" x14ac:dyDescent="0.35">
      <c r="E308" s="5" t="s">
        <v>37</v>
      </c>
    </row>
    <row r="309" spans="5:5" x14ac:dyDescent="0.35">
      <c r="E309" s="5" t="s">
        <v>24</v>
      </c>
    </row>
    <row r="310" spans="5:5" x14ac:dyDescent="0.35">
      <c r="E310" s="5" t="s">
        <v>62</v>
      </c>
    </row>
    <row r="311" spans="5:5" x14ac:dyDescent="0.35">
      <c r="E311" s="5" t="s">
        <v>56</v>
      </c>
    </row>
    <row r="312" spans="5:5" x14ac:dyDescent="0.35">
      <c r="E312" s="5" t="s">
        <v>50</v>
      </c>
    </row>
    <row r="313" spans="5:5" x14ac:dyDescent="0.35">
      <c r="E313" s="5" t="s">
        <v>91</v>
      </c>
    </row>
    <row r="314" spans="5:5" x14ac:dyDescent="0.35">
      <c r="E314" s="5" t="s">
        <v>90</v>
      </c>
    </row>
    <row r="315" spans="5:5" x14ac:dyDescent="0.35">
      <c r="E315" s="5" t="s">
        <v>86</v>
      </c>
    </row>
    <row r="316" spans="5:5" x14ac:dyDescent="0.35">
      <c r="E316" s="5" t="s">
        <v>81</v>
      </c>
    </row>
    <row r="317" spans="5:5" x14ac:dyDescent="0.35">
      <c r="E317" s="5" t="s">
        <v>76</v>
      </c>
    </row>
    <row r="318" spans="5:5" x14ac:dyDescent="0.35">
      <c r="E318" s="5" t="s">
        <v>68</v>
      </c>
    </row>
    <row r="319" spans="5:5" x14ac:dyDescent="0.35">
      <c r="E319" s="5" t="s">
        <v>94</v>
      </c>
    </row>
    <row r="320" spans="5:5" x14ac:dyDescent="0.35">
      <c r="E320" s="5" t="s">
        <v>93</v>
      </c>
    </row>
    <row r="321" spans="5:5" x14ac:dyDescent="0.35">
      <c r="E321" s="5" t="s">
        <v>92</v>
      </c>
    </row>
    <row r="322" spans="5:5" x14ac:dyDescent="0.35">
      <c r="E322" s="5" t="s">
        <v>97</v>
      </c>
    </row>
    <row r="323" spans="5:5" x14ac:dyDescent="0.35">
      <c r="E323" s="5" t="s">
        <v>96</v>
      </c>
    </row>
    <row r="324" spans="5:5" x14ac:dyDescent="0.35">
      <c r="E324" s="5" t="s">
        <v>95</v>
      </c>
    </row>
  </sheetData>
  <sortState xmlns:xlrd2="http://schemas.microsoft.com/office/spreadsheetml/2017/richdata2" ref="S9:V107">
    <sortCondition ref="S9:S107"/>
  </sortState>
  <hyperlinks>
    <hyperlink ref="N57" r:id="rId2" display="mailto:scott@excap.com" xr:uid="{448B8974-0A90-4574-B315-8B823DDF6A41}"/>
    <hyperlink ref="N58" r:id="rId3" display="mailto:debbie.townsend@ozk.com" xr:uid="{0FD5607D-FFB1-4F2B-BBDD-02BBF9B4E14A}"/>
    <hyperlink ref="N60" r:id="rId4" xr:uid="{38D07D6A-4D58-4C29-8ADA-465BAFF6560E}"/>
    <hyperlink ref="N14" r:id="rId5" xr:uid="{EC32F046-C6E6-4DD0-A817-C48AEDD03358}"/>
    <hyperlink ref="N40" r:id="rId6" xr:uid="{FC094F13-647D-41F9-B869-7D53EBCEC4CC}"/>
    <hyperlink ref="N41" r:id="rId7" xr:uid="{DCF96AF4-3773-4D80-A856-9B53C7996ECC}"/>
    <hyperlink ref="N10" r:id="rId8" display="mailto:Crystal.Floyd@acxiom.com" xr:uid="{4F0FF212-FD2A-4874-8F17-5C41AA7A70C7}"/>
    <hyperlink ref="N65" r:id="rId9" display="mailto:lauren@watsonhomesinc.com" xr:uid="{21B144FE-A07A-40B9-93D0-D7B71B91EFBB}"/>
    <hyperlink ref="N66" r:id="rId10" display="mailto:erin@citychurch.tv" xr:uid="{EE4CBBDA-6A94-4639-9405-7C4648387515}"/>
    <hyperlink ref="N42" r:id="rId11" xr:uid="{C6DEC3F3-DBAD-4556-AE5C-99B8119C8692}"/>
    <hyperlink ref="N9" r:id="rId12" display="mailto:drew.spurgers@eosworldwide.com" xr:uid="{596B63FD-B160-409D-BD19-90A458772EC4}"/>
    <hyperlink ref="N68" r:id="rId13" display="mailto:jfaulkner@cbc.edu" xr:uid="{5EB3F492-F6BD-48B5-BD7B-8855CE2E69FE}"/>
    <hyperlink ref="N69" r:id="rId14" display="mailto:andy@justuslandryhawkins.com" xr:uid="{6593CD81-2B86-4DB7-AFD7-644DADAC2958}"/>
    <hyperlink ref="N43" r:id="rId15" xr:uid="{27E26D04-1F73-4F06-A1E0-BE96433AD18D}"/>
    <hyperlink ref="N22" r:id="rId16" xr:uid="{5A3362D2-8F38-4349-AE26-3BDEB662DF3D}"/>
    <hyperlink ref="N46" r:id="rId17" display="mailto:mcahillwicks@arvest.com" xr:uid="{0DBED544-8BC8-4ED5-B7EB-252CEE4E9EA9}"/>
    <hyperlink ref="N71" r:id="rId18" display="mailto:ADuVall@rockefellerinstitute.org" xr:uid="{020B05DE-3A5B-404D-BB0C-DE335ECC85F4}"/>
    <hyperlink ref="N73" r:id="rId19" display="mailto:emilywalterrealtor@gmail.com" xr:uid="{A319FFC7-AACB-4129-AFF3-5983C036258D}"/>
    <hyperlink ref="N74" r:id="rId20" display="mailto:michellemallett@ottinsurance.com" xr:uid="{00210ECF-82F5-41E4-9278-A17A78401288}"/>
    <hyperlink ref="N75" r:id="rId21" display="mailto:parker@jowenslawfirm.com" xr:uid="{A61094DE-9D8B-45FC-9BAC-80C8B79AFF5C}"/>
    <hyperlink ref="N77" r:id="rId22" display="mailto:CarrollJo.Malloy@CARTI.com" xr:uid="{E2E5DCF8-14E6-4ED3-A96A-C0F982D0ADF2}"/>
    <hyperlink ref="N78" r:id="rId23" display="mailto:twhite@hsaconsultants.com" xr:uid="{D5D532E5-67B6-466A-95AB-EBF9EFB0CD88}"/>
    <hyperlink ref="N23" r:id="rId24" tooltip="Click to send email to Randy Milligan" display="mailto:RMilligan@landmarkcpas.com" xr:uid="{3F371DB7-238A-495B-AA9C-D4AEB46E6E86}"/>
    <hyperlink ref="N83" r:id="rId25" display="mailto:Gester64@yahoo.com" xr:uid="{F713D000-37D2-4D99-8E07-6276D53E1F3E}"/>
    <hyperlink ref="N87" r:id="rId26" xr:uid="{74EFDC84-CE7B-4637-B54F-3712A7B10E59}"/>
    <hyperlink ref="N25" r:id="rId27" display="mailto:DLTackett@GarverUSA.com" xr:uid="{57105CDA-B713-4DDB-BF6E-0CCC9FB5D7CA}"/>
    <hyperlink ref="N88" r:id="rId28" display="mailto:cody@sowellarchitects.com" xr:uid="{53FA4C1E-58C8-47FF-81DA-ABA979A1DE89}"/>
    <hyperlink ref="N90" r:id="rId29" display="mailto:KGarrett@hcjcpa.com" xr:uid="{10166B50-C664-44FD-99CB-A275AE6CCB46}"/>
    <hyperlink ref="N91" r:id="rId30" display="mailto:steve.wade@hardwyre.com" xr:uid="{9D2AB482-DA1B-49D9-AE90-FDFB836B94A1}"/>
    <hyperlink ref="N92" r:id="rId31" display="mailto:smunson@douglascomp.com" xr:uid="{202D9106-05D3-4823-BC4B-6E88573309EB}"/>
    <hyperlink ref="N93" r:id="rId32" xr:uid="{F95E7D10-35C8-4BF8-AF4F-AB13DA0D14CD}"/>
    <hyperlink ref="N97" r:id="rId33" display="mailto:kkinley@teamascend.com" xr:uid="{DE25DCA4-3982-4976-8DB9-57D63D56147C}"/>
    <hyperlink ref="N49" r:id="rId34" display="DanielleDavis@financialguide.com" xr:uid="{D1332F5F-6674-4DF1-8F2C-B98245D8015B}"/>
    <hyperlink ref="N98" r:id="rId35" display="mailto:jessie@jsimetal.com" xr:uid="{95541514-95DF-4EC3-A60B-C6C6044E9BE4}"/>
    <hyperlink ref="N50" r:id="rId36" display="mailto:michelle.mckown@ensono.com" xr:uid="{548B28E3-4279-4080-B361-03A7A77BBE41}"/>
    <hyperlink ref="N99" r:id="rId37" display="mailto:mbettis@abpg.com" xr:uid="{DA496228-3214-4807-9374-0932546D6B5E}"/>
    <hyperlink ref="N26" r:id="rId38" display="mailto:cpledger@trinitydevelopmentinc.com" xr:uid="{ED58B66B-CF8C-4A63-8F56-8228AA14A0AA}"/>
    <hyperlink ref="N104" r:id="rId39" xr:uid="{A7444DD1-BD7D-4558-A0E2-D549DC50463A}"/>
    <hyperlink ref="N105" r:id="rId40" display="mailto:valencia.anderson@conwaybh.com" xr:uid="{5938F5FE-0BA6-45D0-A922-BC861BBB2F8F}"/>
    <hyperlink ref="N106" r:id="rId41" display="mailto:markbusha@hodgeauto.com" xr:uid="{B718DC9F-6C9C-4591-9A2F-8B13EB706A92}"/>
    <hyperlink ref="N107" r:id="rId42" display="mailto:crosscreekcaitlin@gmail.com" xr:uid="{29B1E935-D847-4187-8621-9B5976BD9ABF}"/>
    <hyperlink ref="N27" r:id="rId43" display="mailto:adam@cousinsfurniture.com" xr:uid="{941FAA86-879E-4161-BFE4-2B0A30FFEA7F}"/>
    <hyperlink ref="N108" r:id="rId44" display="mailto:ebarnes@chambers.bank" xr:uid="{7C44FB2E-8603-4DF3-8822-98EE2116D7D1}"/>
    <hyperlink ref="N76" r:id="rId45" display="mailto:idismuke@wacotitle.com" xr:uid="{F23CC006-A6BC-4235-AB08-9D971BB04D62}"/>
    <hyperlink ref="N111" r:id="rId46" display="mailto:jakob@davecreekmedia.com" xr:uid="{44E75757-7530-44FA-AB08-6A39DA864688}"/>
    <hyperlink ref="N28" r:id="rId47" display="mailto:jake.turpin@claytonhomes.com" xr:uid="{83EA3B8E-9281-4EC6-9B22-67D011526DD9}"/>
    <hyperlink ref="N114" r:id="rId48" display="mailto:lacey@bradfordfencing.net" xr:uid="{EE8ABAE8-BDE0-4536-85D4-939A08BE78D2}"/>
    <hyperlink ref="N55" r:id="rId49" display="mailto:melissa.mackay@westrockcoffee.com" xr:uid="{FFC2B683-C2C1-4293-ACE6-3C7D0D50B2F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76DF-2807-4FC9-A390-26845A02577D}">
  <dimension ref="A1:V317"/>
  <sheetViews>
    <sheetView workbookViewId="0">
      <pane ySplit="8" topLeftCell="A38" activePane="bottomLeft" state="frozen"/>
      <selection pane="bottomLeft" activeCell="K52" sqref="K52"/>
    </sheetView>
  </sheetViews>
  <sheetFormatPr defaultColWidth="17.453125" defaultRowHeight="14.5" x14ac:dyDescent="0.35"/>
  <cols>
    <col min="1" max="1" width="33.26953125" style="5" bestFit="1" customWidth="1"/>
    <col min="2" max="2" width="14.453125" style="5" bestFit="1" customWidth="1"/>
    <col min="3" max="3" width="9.1796875" style="5" bestFit="1" customWidth="1"/>
    <col min="4" max="4" width="15.81640625" style="5" bestFit="1" customWidth="1"/>
    <col min="5" max="5" width="8.7265625" style="5" bestFit="1" customWidth="1"/>
    <col min="6" max="6" width="11.1796875" style="5" bestFit="1" customWidth="1"/>
    <col min="7" max="7" width="34" style="5" customWidth="1"/>
    <col min="8" max="8" width="16.26953125" style="114" bestFit="1" customWidth="1"/>
    <col min="9" max="9" width="11.7265625" style="114" customWidth="1"/>
    <col min="10" max="10" width="10.453125" style="5" bestFit="1" customWidth="1"/>
    <col min="11" max="11" width="14.453125" style="5" bestFit="1" customWidth="1"/>
    <col min="12" max="12" width="18.453125" style="5" bestFit="1" customWidth="1"/>
    <col min="13" max="13" width="16.81640625" style="5" bestFit="1" customWidth="1"/>
    <col min="14" max="14" width="34.7265625" style="5" bestFit="1" customWidth="1"/>
    <col min="15" max="15" width="17.453125" style="5"/>
    <col min="16" max="16" width="11" style="5" bestFit="1" customWidth="1"/>
    <col min="17" max="17" width="10.1796875" style="5" bestFit="1" customWidth="1"/>
    <col min="18" max="18" width="17.453125" style="5"/>
    <col min="19" max="19" width="31.453125" style="5" bestFit="1" customWidth="1"/>
    <col min="20" max="20" width="14.453125" style="5" bestFit="1" customWidth="1"/>
    <col min="21" max="21" width="15.81640625" style="5" bestFit="1" customWidth="1"/>
    <col min="22" max="22" width="8.7265625" style="5" bestFit="1" customWidth="1"/>
    <col min="23" max="16384" width="17.453125" style="5"/>
  </cols>
  <sheetData>
    <row r="1" spans="1:22" x14ac:dyDescent="0.35">
      <c r="A1" s="4" t="s">
        <v>474</v>
      </c>
      <c r="B1" s="4">
        <v>2025</v>
      </c>
      <c r="S1" s="4" t="s">
        <v>474</v>
      </c>
      <c r="T1" s="4">
        <v>2024</v>
      </c>
    </row>
    <row r="2" spans="1:22" x14ac:dyDescent="0.35">
      <c r="A2" s="6" t="s">
        <v>1</v>
      </c>
      <c r="B2" s="7">
        <f>SUM(D9:D74)</f>
        <v>29800</v>
      </c>
      <c r="G2" s="47" t="s">
        <v>475</v>
      </c>
      <c r="K2" s="11" t="s">
        <v>2</v>
      </c>
      <c r="S2" s="6" t="s">
        <v>1</v>
      </c>
      <c r="T2" s="7">
        <f>SUM(U9:U54)</f>
        <v>29300</v>
      </c>
    </row>
    <row r="3" spans="1:22" x14ac:dyDescent="0.35">
      <c r="A3" s="6" t="s">
        <v>3</v>
      </c>
      <c r="B3" s="7">
        <v>20000</v>
      </c>
      <c r="K3" s="7">
        <f>MIN(K62-B2)</f>
        <v>-2000</v>
      </c>
      <c r="S3" s="6" t="s">
        <v>3</v>
      </c>
      <c r="T3" s="7">
        <v>17500</v>
      </c>
    </row>
    <row r="4" spans="1:22" x14ac:dyDescent="0.35">
      <c r="A4" s="6" t="s">
        <v>4</v>
      </c>
      <c r="B4" s="7">
        <f>MIN(B2-B3)</f>
        <v>9800</v>
      </c>
      <c r="K4" s="42">
        <f>K62/B2</f>
        <v>0.93288590604026844</v>
      </c>
      <c r="S4" s="6" t="s">
        <v>4</v>
      </c>
      <c r="T4" s="7">
        <f>MIN(T2-T3)</f>
        <v>11800</v>
      </c>
    </row>
    <row r="5" spans="1:22" x14ac:dyDescent="0.35">
      <c r="A5" s="6" t="s">
        <v>5</v>
      </c>
      <c r="B5" s="7">
        <v>32000</v>
      </c>
      <c r="S5" s="6" t="s">
        <v>5</v>
      </c>
      <c r="T5" s="7">
        <v>27000</v>
      </c>
    </row>
    <row r="6" spans="1:22" x14ac:dyDescent="0.35">
      <c r="A6" s="6" t="s">
        <v>4</v>
      </c>
      <c r="B6" s="7">
        <f>MIN(B2-B5)</f>
        <v>-2200</v>
      </c>
      <c r="S6" s="6" t="s">
        <v>4</v>
      </c>
      <c r="T6" s="7">
        <f>MIN(T2-T5)</f>
        <v>2300</v>
      </c>
    </row>
    <row r="8" spans="1:22" x14ac:dyDescent="0.35">
      <c r="A8" s="12" t="s">
        <v>6</v>
      </c>
      <c r="B8" s="12" t="s">
        <v>7</v>
      </c>
      <c r="C8" s="12" t="s">
        <v>8</v>
      </c>
      <c r="D8" s="12" t="s">
        <v>9</v>
      </c>
      <c r="E8" s="12" t="s">
        <v>10</v>
      </c>
      <c r="F8" s="12" t="s">
        <v>11</v>
      </c>
      <c r="G8" s="12" t="s">
        <v>12</v>
      </c>
      <c r="H8" s="96" t="s">
        <v>13</v>
      </c>
      <c r="I8" s="166" t="s">
        <v>14</v>
      </c>
      <c r="J8" s="49" t="s">
        <v>15</v>
      </c>
      <c r="K8" s="12" t="s">
        <v>16</v>
      </c>
      <c r="L8" s="12" t="s">
        <v>17</v>
      </c>
      <c r="M8" s="12" t="s">
        <v>18</v>
      </c>
      <c r="N8" s="12" t="s">
        <v>19</v>
      </c>
      <c r="P8" s="44" t="s">
        <v>10</v>
      </c>
      <c r="Q8" s="44" t="s">
        <v>20</v>
      </c>
      <c r="S8" s="8" t="s">
        <v>6</v>
      </c>
      <c r="T8" s="8" t="s">
        <v>21</v>
      </c>
      <c r="U8" s="8" t="s">
        <v>9</v>
      </c>
      <c r="V8" s="8" t="s">
        <v>10</v>
      </c>
    </row>
    <row r="9" spans="1:22" ht="43.5" x14ac:dyDescent="0.35">
      <c r="A9" s="9" t="s">
        <v>108</v>
      </c>
      <c r="B9" s="9" t="s">
        <v>23</v>
      </c>
      <c r="C9" s="10">
        <v>5000</v>
      </c>
      <c r="D9" s="10">
        <v>5000</v>
      </c>
      <c r="E9" s="9" t="s">
        <v>95</v>
      </c>
      <c r="F9" s="9" t="s">
        <v>318</v>
      </c>
      <c r="G9" s="9"/>
      <c r="H9" s="163" t="s">
        <v>27</v>
      </c>
      <c r="I9" s="164"/>
      <c r="J9" s="5" t="s">
        <v>65</v>
      </c>
      <c r="K9" s="241">
        <v>4027.5</v>
      </c>
      <c r="L9" s="127" t="s">
        <v>320</v>
      </c>
      <c r="M9" s="9"/>
      <c r="N9" s="9" t="s">
        <v>321</v>
      </c>
      <c r="P9" s="39" t="s">
        <v>24</v>
      </c>
      <c r="Q9" s="10">
        <v>5150</v>
      </c>
      <c r="S9" s="48" t="s">
        <v>476</v>
      </c>
      <c r="T9" s="48" t="s">
        <v>109</v>
      </c>
      <c r="U9" s="55">
        <v>350</v>
      </c>
      <c r="V9" s="48"/>
    </row>
    <row r="10" spans="1:22" x14ac:dyDescent="0.35">
      <c r="A10" s="43"/>
      <c r="B10" s="43"/>
      <c r="C10" s="43"/>
      <c r="D10" s="43"/>
      <c r="E10" s="43"/>
      <c r="F10" s="43"/>
      <c r="G10" s="43"/>
      <c r="H10" s="240"/>
      <c r="I10" s="240"/>
      <c r="J10" s="253" t="s">
        <v>477</v>
      </c>
      <c r="K10" s="263">
        <v>972.5</v>
      </c>
      <c r="L10" s="43"/>
      <c r="M10" s="43"/>
      <c r="N10" s="43"/>
      <c r="P10" s="39" t="s">
        <v>37</v>
      </c>
      <c r="Q10" s="10">
        <v>4000</v>
      </c>
      <c r="S10" s="48" t="s">
        <v>108</v>
      </c>
      <c r="T10" s="48" t="s">
        <v>23</v>
      </c>
      <c r="U10" s="55">
        <v>5000</v>
      </c>
      <c r="V10" s="48" t="s">
        <v>95</v>
      </c>
    </row>
    <row r="11" spans="1:22" ht="29" x14ac:dyDescent="0.35">
      <c r="A11" s="9" t="s">
        <v>40</v>
      </c>
      <c r="B11" s="9" t="s">
        <v>32</v>
      </c>
      <c r="C11" s="10">
        <v>2500</v>
      </c>
      <c r="D11" s="10">
        <v>2500</v>
      </c>
      <c r="E11" s="9" t="s">
        <v>37</v>
      </c>
      <c r="F11" s="9" t="s">
        <v>42</v>
      </c>
      <c r="G11" s="9" t="s">
        <v>478</v>
      </c>
      <c r="H11" s="94" t="s">
        <v>27</v>
      </c>
      <c r="I11" s="115"/>
      <c r="J11" s="195">
        <v>46008</v>
      </c>
      <c r="K11" s="239">
        <v>500</v>
      </c>
      <c r="L11" s="9" t="s">
        <v>45</v>
      </c>
      <c r="M11" s="9"/>
      <c r="N11" s="9" t="s">
        <v>46</v>
      </c>
      <c r="P11" s="39" t="s">
        <v>47</v>
      </c>
      <c r="Q11" s="10"/>
      <c r="S11" s="215" t="s">
        <v>479</v>
      </c>
      <c r="T11" s="215" t="s">
        <v>109</v>
      </c>
      <c r="U11" s="216">
        <v>350</v>
      </c>
      <c r="V11" s="215" t="s">
        <v>96</v>
      </c>
    </row>
    <row r="12" spans="1:22" x14ac:dyDescent="0.35">
      <c r="A12" s="9" t="s">
        <v>480</v>
      </c>
      <c r="B12" s="9" t="s">
        <v>32</v>
      </c>
      <c r="C12" s="10">
        <v>2500</v>
      </c>
      <c r="D12" s="10">
        <v>2500</v>
      </c>
      <c r="E12" s="9" t="s">
        <v>92</v>
      </c>
      <c r="F12" s="9" t="s">
        <v>481</v>
      </c>
      <c r="G12" s="9"/>
      <c r="H12" s="115"/>
      <c r="I12" s="115" t="s">
        <v>482</v>
      </c>
      <c r="J12" s="195">
        <v>45931</v>
      </c>
      <c r="K12" s="239">
        <v>2500</v>
      </c>
      <c r="L12" s="9" t="s">
        <v>483</v>
      </c>
      <c r="M12" s="9"/>
      <c r="N12" s="87" t="s">
        <v>484</v>
      </c>
      <c r="P12" s="39" t="s">
        <v>50</v>
      </c>
      <c r="Q12" s="10">
        <v>1100</v>
      </c>
      <c r="S12" s="48" t="s">
        <v>132</v>
      </c>
      <c r="T12" s="48" t="s">
        <v>109</v>
      </c>
      <c r="U12" s="55">
        <v>400</v>
      </c>
      <c r="V12" s="48"/>
    </row>
    <row r="13" spans="1:22" x14ac:dyDescent="0.35">
      <c r="A13" s="9" t="s">
        <v>485</v>
      </c>
      <c r="B13" s="9" t="s">
        <v>486</v>
      </c>
      <c r="C13" s="10">
        <v>1500</v>
      </c>
      <c r="D13" s="10">
        <v>1000</v>
      </c>
      <c r="E13" s="9" t="s">
        <v>92</v>
      </c>
      <c r="F13" s="9" t="s">
        <v>215</v>
      </c>
      <c r="G13" s="9"/>
      <c r="H13" s="115"/>
      <c r="I13" s="115" t="s">
        <v>487</v>
      </c>
      <c r="J13" s="195">
        <v>45910</v>
      </c>
      <c r="K13" s="239">
        <v>1000</v>
      </c>
      <c r="L13" s="9" t="s">
        <v>488</v>
      </c>
      <c r="M13" s="9"/>
      <c r="N13" s="87" t="s">
        <v>489</v>
      </c>
      <c r="P13" s="39" t="s">
        <v>56</v>
      </c>
      <c r="Q13" s="10">
        <v>600</v>
      </c>
      <c r="S13" s="48" t="s">
        <v>490</v>
      </c>
      <c r="T13" s="48" t="s">
        <v>39</v>
      </c>
      <c r="U13" s="55">
        <v>600</v>
      </c>
      <c r="V13" s="48" t="s">
        <v>92</v>
      </c>
    </row>
    <row r="14" spans="1:22" ht="43.5" x14ac:dyDescent="0.35">
      <c r="A14" s="9" t="s">
        <v>276</v>
      </c>
      <c r="B14" s="9" t="s">
        <v>491</v>
      </c>
      <c r="C14" s="10">
        <v>1000</v>
      </c>
      <c r="D14" s="10">
        <v>1000</v>
      </c>
      <c r="E14" s="9" t="s">
        <v>68</v>
      </c>
      <c r="F14" s="9" t="s">
        <v>492</v>
      </c>
      <c r="G14" s="9"/>
      <c r="H14" s="115"/>
      <c r="I14" s="115" t="s">
        <v>487</v>
      </c>
      <c r="J14" s="9" t="s">
        <v>493</v>
      </c>
      <c r="K14" s="239">
        <v>1000</v>
      </c>
      <c r="L14" s="9" t="s">
        <v>278</v>
      </c>
      <c r="M14" s="9"/>
      <c r="N14" s="9" t="s">
        <v>294</v>
      </c>
      <c r="P14" s="39" t="s">
        <v>62</v>
      </c>
      <c r="Q14" s="10"/>
      <c r="S14" s="48" t="s">
        <v>137</v>
      </c>
      <c r="T14" s="48" t="s">
        <v>109</v>
      </c>
      <c r="U14" s="55">
        <v>350</v>
      </c>
      <c r="V14" s="48" t="s">
        <v>96</v>
      </c>
    </row>
    <row r="15" spans="1:22" x14ac:dyDescent="0.35">
      <c r="A15" s="9" t="s">
        <v>69</v>
      </c>
      <c r="B15" s="9" t="s">
        <v>491</v>
      </c>
      <c r="C15" s="10">
        <v>1000</v>
      </c>
      <c r="D15" s="10">
        <v>1000</v>
      </c>
      <c r="E15" s="9" t="s">
        <v>24</v>
      </c>
      <c r="F15" s="9" t="s">
        <v>82</v>
      </c>
      <c r="G15" s="9"/>
      <c r="H15" s="115"/>
      <c r="I15" s="115" t="s">
        <v>487</v>
      </c>
      <c r="J15" s="195">
        <v>45917</v>
      </c>
      <c r="K15" s="239">
        <v>1000</v>
      </c>
      <c r="L15" s="9" t="s">
        <v>84</v>
      </c>
      <c r="M15" s="9"/>
      <c r="N15" s="9" t="s">
        <v>85</v>
      </c>
      <c r="P15" s="39" t="s">
        <v>68</v>
      </c>
      <c r="Q15" s="10">
        <v>1850</v>
      </c>
      <c r="S15" s="48" t="s">
        <v>157</v>
      </c>
      <c r="T15" s="48" t="s">
        <v>39</v>
      </c>
      <c r="U15" s="55">
        <v>600</v>
      </c>
      <c r="V15" s="48" t="s">
        <v>93</v>
      </c>
    </row>
    <row r="16" spans="1:22" x14ac:dyDescent="0.35">
      <c r="A16" s="9" t="s">
        <v>494</v>
      </c>
      <c r="B16" s="9" t="s">
        <v>491</v>
      </c>
      <c r="C16" s="10">
        <v>1000</v>
      </c>
      <c r="D16" s="10">
        <v>0</v>
      </c>
      <c r="E16" s="9" t="s">
        <v>92</v>
      </c>
      <c r="F16" s="9" t="s">
        <v>256</v>
      </c>
      <c r="G16" s="9" t="s">
        <v>495</v>
      </c>
      <c r="H16" s="115"/>
      <c r="I16" s="115">
        <v>0</v>
      </c>
      <c r="J16" s="9"/>
      <c r="K16" s="239">
        <v>0</v>
      </c>
      <c r="L16" s="9" t="s">
        <v>453</v>
      </c>
      <c r="M16" s="9"/>
      <c r="N16" s="87" t="s">
        <v>454</v>
      </c>
      <c r="P16" s="39" t="s">
        <v>76</v>
      </c>
      <c r="Q16" s="10">
        <v>350</v>
      </c>
      <c r="S16" s="48" t="s">
        <v>170</v>
      </c>
      <c r="T16" s="48" t="s">
        <v>109</v>
      </c>
      <c r="U16" s="55">
        <v>0</v>
      </c>
      <c r="V16" s="48" t="s">
        <v>24</v>
      </c>
    </row>
    <row r="17" spans="1:22" x14ac:dyDescent="0.35">
      <c r="A17" s="9" t="s">
        <v>352</v>
      </c>
      <c r="B17" s="9" t="s">
        <v>496</v>
      </c>
      <c r="C17" s="10">
        <v>1000</v>
      </c>
      <c r="D17" s="10">
        <v>1000</v>
      </c>
      <c r="E17" s="9" t="s">
        <v>93</v>
      </c>
      <c r="F17" s="9" t="s">
        <v>353</v>
      </c>
      <c r="G17" s="9"/>
      <c r="H17" s="164"/>
      <c r="I17" s="115" t="s">
        <v>487</v>
      </c>
      <c r="J17" s="195">
        <v>45911</v>
      </c>
      <c r="K17" s="239">
        <v>1000</v>
      </c>
      <c r="L17" s="9" t="s">
        <v>354</v>
      </c>
      <c r="M17" s="9"/>
      <c r="N17" s="87" t="s">
        <v>355</v>
      </c>
      <c r="P17" s="39" t="s">
        <v>81</v>
      </c>
      <c r="Q17" s="10"/>
      <c r="S17" s="9" t="s">
        <v>181</v>
      </c>
      <c r="T17" s="9" t="s">
        <v>109</v>
      </c>
      <c r="U17" s="10">
        <v>0</v>
      </c>
      <c r="V17" s="9"/>
    </row>
    <row r="18" spans="1:22" ht="29" x14ac:dyDescent="0.35">
      <c r="A18" s="9" t="s">
        <v>457</v>
      </c>
      <c r="B18" s="9" t="s">
        <v>496</v>
      </c>
      <c r="C18" s="10">
        <v>1000</v>
      </c>
      <c r="D18" s="10">
        <v>1000</v>
      </c>
      <c r="E18" s="9" t="s">
        <v>37</v>
      </c>
      <c r="F18" s="9" t="s">
        <v>25</v>
      </c>
      <c r="G18" s="9" t="s">
        <v>497</v>
      </c>
      <c r="H18" s="163" t="s">
        <v>27</v>
      </c>
      <c r="I18" s="115"/>
      <c r="J18" s="195">
        <v>45950</v>
      </c>
      <c r="K18" s="239">
        <v>1000</v>
      </c>
      <c r="L18" s="9" t="s">
        <v>459</v>
      </c>
      <c r="M18" s="9"/>
      <c r="N18" s="9" t="s">
        <v>460</v>
      </c>
      <c r="P18" s="39" t="s">
        <v>86</v>
      </c>
      <c r="Q18" s="10"/>
      <c r="S18" s="48" t="s">
        <v>48</v>
      </c>
      <c r="T18" s="48" t="s">
        <v>39</v>
      </c>
      <c r="U18" s="55">
        <v>500</v>
      </c>
      <c r="V18" s="48" t="s">
        <v>24</v>
      </c>
    </row>
    <row r="19" spans="1:22" x14ac:dyDescent="0.35">
      <c r="A19" s="9" t="s">
        <v>498</v>
      </c>
      <c r="B19" s="9" t="s">
        <v>496</v>
      </c>
      <c r="C19" s="10">
        <v>1000</v>
      </c>
      <c r="D19" s="10">
        <v>0</v>
      </c>
      <c r="E19" s="9"/>
      <c r="F19" s="9" t="s">
        <v>499</v>
      </c>
      <c r="G19" s="9" t="s">
        <v>500</v>
      </c>
      <c r="H19" s="115"/>
      <c r="I19" s="115">
        <v>0</v>
      </c>
      <c r="J19" s="9"/>
      <c r="K19" s="239">
        <v>0</v>
      </c>
      <c r="L19" s="9"/>
      <c r="M19" s="9"/>
      <c r="N19" s="9"/>
      <c r="P19" s="39" t="s">
        <v>90</v>
      </c>
      <c r="Q19" s="10">
        <v>0</v>
      </c>
      <c r="S19" s="48" t="s">
        <v>204</v>
      </c>
      <c r="T19" s="48" t="s">
        <v>109</v>
      </c>
      <c r="U19" s="55">
        <v>0</v>
      </c>
      <c r="V19" s="48" t="s">
        <v>37</v>
      </c>
    </row>
    <row r="20" spans="1:22" ht="43.5" x14ac:dyDescent="0.35">
      <c r="A20" s="9" t="s">
        <v>501</v>
      </c>
      <c r="B20" s="9" t="s">
        <v>188</v>
      </c>
      <c r="C20" s="10">
        <v>1000</v>
      </c>
      <c r="D20" s="10">
        <v>1000</v>
      </c>
      <c r="E20" s="9" t="s">
        <v>92</v>
      </c>
      <c r="F20" s="9" t="s">
        <v>502</v>
      </c>
      <c r="G20" s="9"/>
      <c r="H20" s="94" t="s">
        <v>27</v>
      </c>
      <c r="I20" s="115"/>
      <c r="J20" s="195" t="s">
        <v>503</v>
      </c>
      <c r="K20" s="239">
        <f>112.5+512.5+375</f>
        <v>1000</v>
      </c>
      <c r="L20" s="9" t="s">
        <v>504</v>
      </c>
      <c r="M20" s="9"/>
      <c r="N20" s="87" t="s">
        <v>505</v>
      </c>
      <c r="P20" s="39" t="s">
        <v>91</v>
      </c>
      <c r="Q20" s="10"/>
      <c r="S20" s="48" t="s">
        <v>494</v>
      </c>
      <c r="T20" s="48" t="s">
        <v>491</v>
      </c>
      <c r="U20" s="55">
        <v>0</v>
      </c>
      <c r="V20" s="48" t="s">
        <v>93</v>
      </c>
    </row>
    <row r="21" spans="1:22" ht="29" x14ac:dyDescent="0.35">
      <c r="A21" s="9" t="s">
        <v>57</v>
      </c>
      <c r="B21" s="9" t="s">
        <v>39</v>
      </c>
      <c r="C21" s="10">
        <v>600</v>
      </c>
      <c r="D21" s="10">
        <v>500</v>
      </c>
      <c r="E21" s="9" t="s">
        <v>24</v>
      </c>
      <c r="F21" s="9" t="s">
        <v>58</v>
      </c>
      <c r="G21" s="9"/>
      <c r="H21" s="94" t="s">
        <v>27</v>
      </c>
      <c r="I21" s="115">
        <v>0</v>
      </c>
      <c r="J21" s="9" t="s">
        <v>59</v>
      </c>
      <c r="K21" s="239">
        <v>500</v>
      </c>
      <c r="L21" s="9" t="s">
        <v>60</v>
      </c>
      <c r="M21" s="9"/>
      <c r="N21" s="9" t="s">
        <v>61</v>
      </c>
      <c r="P21" s="39" t="s">
        <v>92</v>
      </c>
      <c r="Q21" s="10">
        <v>6050</v>
      </c>
      <c r="S21" s="112" t="s">
        <v>247</v>
      </c>
      <c r="T21" s="112" t="s">
        <v>39</v>
      </c>
      <c r="U21" s="113">
        <v>600</v>
      </c>
      <c r="V21" s="112" t="s">
        <v>93</v>
      </c>
    </row>
    <row r="22" spans="1:22" x14ac:dyDescent="0.35">
      <c r="A22" s="9" t="s">
        <v>48</v>
      </c>
      <c r="B22" s="9" t="s">
        <v>39</v>
      </c>
      <c r="C22" s="10">
        <v>600</v>
      </c>
      <c r="D22" s="10">
        <v>500</v>
      </c>
      <c r="E22" s="9" t="s">
        <v>24</v>
      </c>
      <c r="F22" s="9" t="s">
        <v>64</v>
      </c>
      <c r="G22" s="9"/>
      <c r="H22" s="115"/>
      <c r="I22" s="115" t="s">
        <v>487</v>
      </c>
      <c r="J22" s="9" t="s">
        <v>506</v>
      </c>
      <c r="K22" s="239">
        <v>500</v>
      </c>
      <c r="L22" s="9" t="s">
        <v>66</v>
      </c>
      <c r="M22" s="9"/>
      <c r="N22" s="87" t="s">
        <v>67</v>
      </c>
      <c r="P22" s="39" t="s">
        <v>93</v>
      </c>
      <c r="Q22" s="10">
        <v>3000</v>
      </c>
      <c r="S22" s="112" t="s">
        <v>260</v>
      </c>
      <c r="T22" s="112" t="s">
        <v>39</v>
      </c>
      <c r="U22" s="113">
        <v>600</v>
      </c>
      <c r="V22" s="112" t="s">
        <v>56</v>
      </c>
    </row>
    <row r="23" spans="1:22" x14ac:dyDescent="0.35">
      <c r="A23" s="9" t="s">
        <v>235</v>
      </c>
      <c r="B23" s="9" t="s">
        <v>39</v>
      </c>
      <c r="C23" s="10">
        <v>600</v>
      </c>
      <c r="D23" s="10">
        <v>500</v>
      </c>
      <c r="E23" s="9" t="s">
        <v>24</v>
      </c>
      <c r="F23" s="9" t="s">
        <v>236</v>
      </c>
      <c r="G23" s="9"/>
      <c r="H23" s="115"/>
      <c r="I23" s="115" t="s">
        <v>487</v>
      </c>
      <c r="J23" s="9" t="s">
        <v>477</v>
      </c>
      <c r="K23" s="239">
        <v>500</v>
      </c>
      <c r="L23" s="9" t="s">
        <v>237</v>
      </c>
      <c r="M23" s="9"/>
      <c r="N23" s="9" t="s">
        <v>238</v>
      </c>
      <c r="P23" s="39" t="s">
        <v>94</v>
      </c>
      <c r="Q23" s="10"/>
      <c r="S23" s="48" t="s">
        <v>501</v>
      </c>
      <c r="T23" s="48" t="s">
        <v>188</v>
      </c>
      <c r="U23" s="55">
        <v>1000</v>
      </c>
      <c r="V23" s="48" t="s">
        <v>93</v>
      </c>
    </row>
    <row r="24" spans="1:22" ht="29" x14ac:dyDescent="0.35">
      <c r="A24" s="9" t="s">
        <v>194</v>
      </c>
      <c r="B24" s="9" t="s">
        <v>39</v>
      </c>
      <c r="C24" s="10">
        <v>600</v>
      </c>
      <c r="D24" s="10">
        <v>500</v>
      </c>
      <c r="E24" s="9" t="s">
        <v>50</v>
      </c>
      <c r="F24" s="9" t="s">
        <v>195</v>
      </c>
      <c r="G24" s="9"/>
      <c r="H24" s="94" t="s">
        <v>27</v>
      </c>
      <c r="I24" s="115">
        <v>0</v>
      </c>
      <c r="J24" s="9" t="s">
        <v>439</v>
      </c>
      <c r="K24" s="239">
        <v>500</v>
      </c>
      <c r="L24" s="9" t="s">
        <v>196</v>
      </c>
      <c r="M24" s="9"/>
      <c r="N24" s="9" t="s">
        <v>197</v>
      </c>
      <c r="P24" s="39" t="s">
        <v>95</v>
      </c>
      <c r="Q24" s="10">
        <v>5700</v>
      </c>
      <c r="S24" s="48" t="s">
        <v>243</v>
      </c>
      <c r="T24" s="48" t="s">
        <v>109</v>
      </c>
      <c r="U24" s="55">
        <v>350</v>
      </c>
      <c r="V24" s="48" t="s">
        <v>37</v>
      </c>
    </row>
    <row r="25" spans="1:22" ht="29" x14ac:dyDescent="0.35">
      <c r="A25" s="9" t="s">
        <v>395</v>
      </c>
      <c r="B25" s="9" t="s">
        <v>39</v>
      </c>
      <c r="C25" s="10">
        <v>600</v>
      </c>
      <c r="D25" s="10">
        <v>600</v>
      </c>
      <c r="E25" s="9" t="s">
        <v>97</v>
      </c>
      <c r="F25" s="9" t="s">
        <v>161</v>
      </c>
      <c r="G25" s="9"/>
      <c r="H25" s="115"/>
      <c r="I25" s="115" t="s">
        <v>487</v>
      </c>
      <c r="J25" s="195">
        <v>45903</v>
      </c>
      <c r="K25" s="239">
        <v>600</v>
      </c>
      <c r="L25" s="9" t="s">
        <v>396</v>
      </c>
      <c r="M25" s="9"/>
      <c r="N25" s="87" t="s">
        <v>397</v>
      </c>
      <c r="P25" s="39" t="s">
        <v>96</v>
      </c>
      <c r="Q25" s="10"/>
      <c r="S25" s="48" t="s">
        <v>276</v>
      </c>
      <c r="T25" s="48" t="s">
        <v>491</v>
      </c>
      <c r="U25" s="55">
        <v>1000</v>
      </c>
      <c r="V25" s="48" t="s">
        <v>76</v>
      </c>
    </row>
    <row r="26" spans="1:22" ht="43.5" x14ac:dyDescent="0.35">
      <c r="A26" s="9" t="s">
        <v>507</v>
      </c>
      <c r="B26" s="9" t="s">
        <v>39</v>
      </c>
      <c r="C26" s="10">
        <v>600</v>
      </c>
      <c r="D26" s="10">
        <v>600</v>
      </c>
      <c r="E26" s="9" t="s">
        <v>50</v>
      </c>
      <c r="F26" s="9" t="s">
        <v>381</v>
      </c>
      <c r="G26" s="9"/>
      <c r="H26" s="163" t="s">
        <v>27</v>
      </c>
      <c r="I26" s="115"/>
      <c r="J26" s="195">
        <v>45888</v>
      </c>
      <c r="K26" s="239">
        <v>600</v>
      </c>
      <c r="L26" s="9" t="s">
        <v>508</v>
      </c>
      <c r="M26" s="9"/>
      <c r="N26" s="9" t="s">
        <v>509</v>
      </c>
      <c r="P26" s="39" t="s">
        <v>97</v>
      </c>
      <c r="Q26" s="10">
        <v>950</v>
      </c>
      <c r="S26" s="48" t="s">
        <v>285</v>
      </c>
      <c r="T26" s="48" t="s">
        <v>109</v>
      </c>
      <c r="U26" s="55">
        <v>0</v>
      </c>
      <c r="V26" s="48" t="s">
        <v>95</v>
      </c>
    </row>
    <row r="27" spans="1:22" ht="29" x14ac:dyDescent="0.35">
      <c r="A27" s="9" t="s">
        <v>130</v>
      </c>
      <c r="B27" s="9" t="s">
        <v>39</v>
      </c>
      <c r="C27" s="10">
        <v>600</v>
      </c>
      <c r="D27" s="10">
        <v>600</v>
      </c>
      <c r="E27" s="9" t="s">
        <v>56</v>
      </c>
      <c r="F27" s="9" t="s">
        <v>167</v>
      </c>
      <c r="G27" s="145" t="s">
        <v>510</v>
      </c>
      <c r="H27" s="164"/>
      <c r="I27" s="115" t="s">
        <v>487</v>
      </c>
      <c r="J27" s="9" t="s">
        <v>511</v>
      </c>
      <c r="K27" s="239">
        <v>600</v>
      </c>
      <c r="L27" s="9" t="s">
        <v>512</v>
      </c>
      <c r="M27" s="9"/>
      <c r="N27" s="87" t="s">
        <v>513</v>
      </c>
      <c r="P27" s="39" t="s">
        <v>98</v>
      </c>
      <c r="Q27" s="10">
        <v>1050</v>
      </c>
      <c r="S27" s="112" t="s">
        <v>288</v>
      </c>
      <c r="T27" s="112" t="s">
        <v>39</v>
      </c>
      <c r="U27" s="113">
        <v>500</v>
      </c>
      <c r="V27" s="112" t="s">
        <v>24</v>
      </c>
    </row>
    <row r="28" spans="1:22" x14ac:dyDescent="0.35">
      <c r="A28" s="9" t="s">
        <v>157</v>
      </c>
      <c r="B28" s="9" t="s">
        <v>39</v>
      </c>
      <c r="C28" s="10">
        <v>600</v>
      </c>
      <c r="D28" s="10">
        <v>600</v>
      </c>
      <c r="E28" s="9" t="s">
        <v>92</v>
      </c>
      <c r="F28" s="9" t="s">
        <v>384</v>
      </c>
      <c r="G28" s="9"/>
      <c r="H28" s="164"/>
      <c r="I28" s="115" t="s">
        <v>487</v>
      </c>
      <c r="J28" s="9" t="s">
        <v>514</v>
      </c>
      <c r="K28" s="239">
        <v>600</v>
      </c>
      <c r="L28" s="9" t="s">
        <v>455</v>
      </c>
      <c r="M28" s="9"/>
      <c r="N28" s="87" t="s">
        <v>456</v>
      </c>
      <c r="P28" s="45" t="s">
        <v>99</v>
      </c>
      <c r="Q28" s="46">
        <v>29800</v>
      </c>
      <c r="S28" s="48" t="s">
        <v>515</v>
      </c>
      <c r="T28" s="48" t="s">
        <v>39</v>
      </c>
      <c r="U28" s="55">
        <v>500</v>
      </c>
      <c r="V28" s="48" t="s">
        <v>24</v>
      </c>
    </row>
    <row r="29" spans="1:22" x14ac:dyDescent="0.35">
      <c r="A29" s="9" t="s">
        <v>22</v>
      </c>
      <c r="B29" s="9" t="s">
        <v>39</v>
      </c>
      <c r="C29" s="10">
        <v>600</v>
      </c>
      <c r="D29" s="10">
        <v>500</v>
      </c>
      <c r="E29" s="9" t="s">
        <v>37</v>
      </c>
      <c r="F29" s="9" t="s">
        <v>25</v>
      </c>
      <c r="G29" s="9"/>
      <c r="H29" s="163" t="s">
        <v>27</v>
      </c>
      <c r="I29" s="115">
        <v>0</v>
      </c>
      <c r="J29" s="9" t="s">
        <v>28</v>
      </c>
      <c r="K29" s="239">
        <v>500</v>
      </c>
      <c r="L29" s="9" t="s">
        <v>29</v>
      </c>
      <c r="M29" s="9"/>
      <c r="N29" s="87" t="s">
        <v>30</v>
      </c>
      <c r="S29" s="48" t="s">
        <v>57</v>
      </c>
      <c r="T29" s="48" t="s">
        <v>39</v>
      </c>
      <c r="U29" s="55">
        <v>500</v>
      </c>
      <c r="V29" s="48" t="s">
        <v>24</v>
      </c>
    </row>
    <row r="30" spans="1:22" ht="29" x14ac:dyDescent="0.35">
      <c r="A30" s="9" t="s">
        <v>490</v>
      </c>
      <c r="B30" s="9" t="s">
        <v>39</v>
      </c>
      <c r="C30" s="10">
        <v>600</v>
      </c>
      <c r="D30" s="10">
        <v>600</v>
      </c>
      <c r="E30" s="9" t="s">
        <v>92</v>
      </c>
      <c r="F30" s="9" t="s">
        <v>28</v>
      </c>
      <c r="G30" s="9"/>
      <c r="H30" s="163" t="s">
        <v>27</v>
      </c>
      <c r="I30" s="115">
        <v>0</v>
      </c>
      <c r="J30" s="9" t="s">
        <v>158</v>
      </c>
      <c r="K30" s="239">
        <v>600</v>
      </c>
      <c r="L30" s="9" t="s">
        <v>516</v>
      </c>
      <c r="M30" s="9"/>
      <c r="N30" s="87" t="s">
        <v>517</v>
      </c>
      <c r="S30" s="48" t="s">
        <v>480</v>
      </c>
      <c r="T30" s="48" t="s">
        <v>32</v>
      </c>
      <c r="U30" s="55">
        <v>2500</v>
      </c>
      <c r="V30" s="48" t="s">
        <v>92</v>
      </c>
    </row>
    <row r="31" spans="1:22" x14ac:dyDescent="0.35">
      <c r="A31" s="9" t="s">
        <v>515</v>
      </c>
      <c r="B31" s="9" t="s">
        <v>39</v>
      </c>
      <c r="C31" s="10">
        <v>600</v>
      </c>
      <c r="D31" s="10">
        <v>500</v>
      </c>
      <c r="E31" s="9" t="s">
        <v>24</v>
      </c>
      <c r="F31" s="9" t="s">
        <v>28</v>
      </c>
      <c r="G31" s="9"/>
      <c r="H31" s="164"/>
      <c r="I31" s="115" t="s">
        <v>487</v>
      </c>
      <c r="J31" s="195">
        <v>45925</v>
      </c>
      <c r="K31" s="239">
        <v>500</v>
      </c>
      <c r="L31" s="9" t="s">
        <v>518</v>
      </c>
      <c r="M31" s="9"/>
      <c r="N31" s="87" t="s">
        <v>519</v>
      </c>
      <c r="S31" s="48" t="s">
        <v>520</v>
      </c>
      <c r="T31" s="48" t="s">
        <v>39</v>
      </c>
      <c r="U31" s="55">
        <v>500</v>
      </c>
      <c r="V31" s="48" t="s">
        <v>50</v>
      </c>
    </row>
    <row r="32" spans="1:22" x14ac:dyDescent="0.35">
      <c r="A32" s="9" t="s">
        <v>521</v>
      </c>
      <c r="B32" s="9" t="s">
        <v>39</v>
      </c>
      <c r="C32" s="10">
        <v>600</v>
      </c>
      <c r="D32" s="10">
        <v>1800</v>
      </c>
      <c r="E32" s="9" t="s">
        <v>24</v>
      </c>
      <c r="F32" s="9" t="s">
        <v>522</v>
      </c>
      <c r="G32" s="9"/>
      <c r="H32" s="164"/>
      <c r="I32" s="115" t="s">
        <v>487</v>
      </c>
      <c r="J32" s="195">
        <v>45905</v>
      </c>
      <c r="K32" s="239">
        <v>1800</v>
      </c>
      <c r="L32" s="9" t="s">
        <v>523</v>
      </c>
      <c r="M32" s="9"/>
      <c r="N32" s="9" t="s">
        <v>524</v>
      </c>
      <c r="S32" s="9" t="s">
        <v>525</v>
      </c>
      <c r="T32" s="9" t="s">
        <v>109</v>
      </c>
      <c r="U32" s="10">
        <v>350</v>
      </c>
      <c r="V32" s="9" t="s">
        <v>76</v>
      </c>
    </row>
    <row r="33" spans="1:22" x14ac:dyDescent="0.35">
      <c r="A33" s="9" t="s">
        <v>526</v>
      </c>
      <c r="B33" s="9" t="s">
        <v>39</v>
      </c>
      <c r="C33" s="10">
        <v>600</v>
      </c>
      <c r="D33" s="10">
        <v>600</v>
      </c>
      <c r="E33" s="9" t="s">
        <v>93</v>
      </c>
      <c r="F33" s="9" t="s">
        <v>527</v>
      </c>
      <c r="G33" s="9"/>
      <c r="H33" s="164"/>
      <c r="I33" s="115" t="s">
        <v>487</v>
      </c>
      <c r="J33" s="195">
        <v>45910</v>
      </c>
      <c r="K33" s="239">
        <v>600</v>
      </c>
      <c r="L33" s="9" t="s">
        <v>528</v>
      </c>
      <c r="M33" s="9"/>
      <c r="N33" s="87" t="s">
        <v>529</v>
      </c>
      <c r="S33" s="9" t="s">
        <v>222</v>
      </c>
      <c r="T33" s="9" t="s">
        <v>496</v>
      </c>
      <c r="U33" s="10">
        <v>1000</v>
      </c>
      <c r="V33" s="9" t="s">
        <v>92</v>
      </c>
    </row>
    <row r="34" spans="1:22" x14ac:dyDescent="0.35">
      <c r="A34" s="9"/>
      <c r="B34" s="9" t="s">
        <v>39</v>
      </c>
      <c r="C34" s="10">
        <v>600</v>
      </c>
      <c r="D34" s="10"/>
      <c r="E34" s="9"/>
      <c r="F34" s="9"/>
      <c r="G34" s="9"/>
      <c r="H34" s="164"/>
      <c r="I34" s="115"/>
      <c r="J34" s="9"/>
      <c r="K34" s="239"/>
      <c r="L34" s="9"/>
      <c r="M34" s="9"/>
      <c r="N34" s="9"/>
      <c r="S34" s="112" t="s">
        <v>363</v>
      </c>
      <c r="T34" s="112" t="s">
        <v>109</v>
      </c>
      <c r="U34" s="113">
        <v>200</v>
      </c>
      <c r="V34" s="112" t="s">
        <v>95</v>
      </c>
    </row>
    <row r="35" spans="1:22" x14ac:dyDescent="0.35">
      <c r="A35" s="9"/>
      <c r="B35" s="9" t="s">
        <v>39</v>
      </c>
      <c r="C35" s="10">
        <v>600</v>
      </c>
      <c r="D35" s="10"/>
      <c r="E35" s="9"/>
      <c r="F35" s="9"/>
      <c r="G35" s="9"/>
      <c r="H35" s="164"/>
      <c r="I35" s="115"/>
      <c r="J35" s="9"/>
      <c r="K35" s="239"/>
      <c r="L35" s="9"/>
      <c r="M35" s="9"/>
      <c r="N35" s="9"/>
      <c r="S35" s="9" t="s">
        <v>530</v>
      </c>
      <c r="T35" s="9" t="s">
        <v>109</v>
      </c>
      <c r="U35" s="10">
        <v>350</v>
      </c>
      <c r="V35" s="9" t="s">
        <v>76</v>
      </c>
    </row>
    <row r="36" spans="1:22" ht="29" x14ac:dyDescent="0.35">
      <c r="A36" s="9" t="s">
        <v>531</v>
      </c>
      <c r="B36" s="9" t="s">
        <v>109</v>
      </c>
      <c r="C36" s="10">
        <v>350</v>
      </c>
      <c r="D36" s="10">
        <v>350</v>
      </c>
      <c r="E36" s="9" t="s">
        <v>97</v>
      </c>
      <c r="F36" s="9" t="s">
        <v>532</v>
      </c>
      <c r="G36" s="9" t="s">
        <v>533</v>
      </c>
      <c r="H36" s="164"/>
      <c r="I36" s="115" t="s">
        <v>534</v>
      </c>
      <c r="J36" s="195">
        <v>45917</v>
      </c>
      <c r="K36" s="239">
        <v>350</v>
      </c>
      <c r="L36" s="9" t="s">
        <v>535</v>
      </c>
      <c r="M36" s="9"/>
      <c r="N36" s="87" t="s">
        <v>536</v>
      </c>
      <c r="S36" s="48" t="s">
        <v>521</v>
      </c>
      <c r="T36" s="48" t="s">
        <v>39</v>
      </c>
      <c r="U36" s="55">
        <v>1800</v>
      </c>
      <c r="V36" s="48" t="s">
        <v>37</v>
      </c>
    </row>
    <row r="37" spans="1:22" ht="43.5" x14ac:dyDescent="0.35">
      <c r="A37" s="9" t="s">
        <v>170</v>
      </c>
      <c r="B37" s="9" t="s">
        <v>109</v>
      </c>
      <c r="C37" s="10">
        <v>350</v>
      </c>
      <c r="D37" s="10">
        <v>0</v>
      </c>
      <c r="E37" s="9" t="s">
        <v>24</v>
      </c>
      <c r="F37" s="9" t="s">
        <v>227</v>
      </c>
      <c r="G37" s="9" t="s">
        <v>228</v>
      </c>
      <c r="H37" s="164"/>
      <c r="I37" s="115">
        <v>0</v>
      </c>
      <c r="J37" s="9"/>
      <c r="K37" s="239"/>
      <c r="L37" s="9" t="s">
        <v>230</v>
      </c>
      <c r="M37" s="9"/>
      <c r="N37" s="9" t="s">
        <v>231</v>
      </c>
      <c r="S37" s="48" t="s">
        <v>356</v>
      </c>
      <c r="T37" s="48" t="s">
        <v>39</v>
      </c>
      <c r="U37" s="55">
        <v>600</v>
      </c>
      <c r="V37" s="48" t="s">
        <v>92</v>
      </c>
    </row>
    <row r="38" spans="1:22" ht="43.5" x14ac:dyDescent="0.35">
      <c r="A38" s="9" t="s">
        <v>537</v>
      </c>
      <c r="B38" s="9" t="s">
        <v>109</v>
      </c>
      <c r="C38" s="10">
        <v>350</v>
      </c>
      <c r="D38" s="10">
        <v>0</v>
      </c>
      <c r="E38" s="9" t="s">
        <v>97</v>
      </c>
      <c r="F38" s="102">
        <v>45620</v>
      </c>
      <c r="G38" s="9" t="s">
        <v>538</v>
      </c>
      <c r="H38" s="164"/>
      <c r="I38" s="115">
        <v>0</v>
      </c>
      <c r="J38" s="9"/>
      <c r="K38" s="239"/>
      <c r="L38" s="9" t="s">
        <v>539</v>
      </c>
      <c r="M38" s="9"/>
      <c r="N38" s="87" t="s">
        <v>540</v>
      </c>
      <c r="S38" s="112" t="s">
        <v>541</v>
      </c>
      <c r="T38" s="112" t="s">
        <v>109</v>
      </c>
      <c r="U38" s="113">
        <v>0</v>
      </c>
      <c r="V38" s="112" t="s">
        <v>96</v>
      </c>
    </row>
    <row r="39" spans="1:22" ht="58" x14ac:dyDescent="0.35">
      <c r="A39" s="9" t="s">
        <v>285</v>
      </c>
      <c r="B39" s="9" t="s">
        <v>109</v>
      </c>
      <c r="C39" s="10">
        <v>350</v>
      </c>
      <c r="D39" s="10">
        <v>0</v>
      </c>
      <c r="E39" s="9" t="s">
        <v>95</v>
      </c>
      <c r="F39" s="9" t="s">
        <v>303</v>
      </c>
      <c r="G39" s="9"/>
      <c r="H39" s="115"/>
      <c r="I39" s="115">
        <v>0</v>
      </c>
      <c r="J39" s="9"/>
      <c r="K39" s="239"/>
      <c r="L39" s="9" t="s">
        <v>305</v>
      </c>
      <c r="M39" s="9"/>
      <c r="N39" s="9" t="s">
        <v>306</v>
      </c>
      <c r="S39" s="9" t="s">
        <v>542</v>
      </c>
      <c r="T39" s="9" t="s">
        <v>109</v>
      </c>
      <c r="U39" s="10">
        <v>350</v>
      </c>
      <c r="V39" s="9" t="s">
        <v>93</v>
      </c>
    </row>
    <row r="40" spans="1:22" ht="58" x14ac:dyDescent="0.35">
      <c r="A40" s="9" t="s">
        <v>204</v>
      </c>
      <c r="B40" s="9" t="s">
        <v>109</v>
      </c>
      <c r="C40" s="10">
        <v>350</v>
      </c>
      <c r="D40" s="10">
        <v>0</v>
      </c>
      <c r="E40" s="9" t="s">
        <v>24</v>
      </c>
      <c r="F40" s="9" t="s">
        <v>206</v>
      </c>
      <c r="G40" s="9" t="s">
        <v>543</v>
      </c>
      <c r="H40" s="9"/>
      <c r="I40" s="115">
        <v>0</v>
      </c>
      <c r="J40" s="9"/>
      <c r="K40" s="239"/>
      <c r="L40" s="9" t="s">
        <v>209</v>
      </c>
      <c r="M40" s="126" t="s">
        <v>210</v>
      </c>
      <c r="N40" s="9" t="s">
        <v>211</v>
      </c>
      <c r="S40" s="48" t="s">
        <v>537</v>
      </c>
      <c r="T40" s="48" t="s">
        <v>109</v>
      </c>
      <c r="U40" s="55">
        <v>700</v>
      </c>
      <c r="V40" s="48" t="s">
        <v>76</v>
      </c>
    </row>
    <row r="41" spans="1:22" x14ac:dyDescent="0.35">
      <c r="A41" s="9" t="s">
        <v>243</v>
      </c>
      <c r="B41" s="9" t="s">
        <v>109</v>
      </c>
      <c r="C41" s="10">
        <v>350</v>
      </c>
      <c r="D41" s="10">
        <v>350</v>
      </c>
      <c r="E41" s="9" t="s">
        <v>24</v>
      </c>
      <c r="F41" s="9" t="s">
        <v>147</v>
      </c>
      <c r="G41" s="9"/>
      <c r="H41" s="115"/>
      <c r="I41" s="115" t="s">
        <v>487</v>
      </c>
      <c r="J41" s="195">
        <v>45880</v>
      </c>
      <c r="K41" s="239">
        <v>350</v>
      </c>
      <c r="L41" s="9" t="s">
        <v>245</v>
      </c>
      <c r="M41" s="9"/>
      <c r="N41" s="87" t="s">
        <v>246</v>
      </c>
      <c r="S41" s="48" t="s">
        <v>485</v>
      </c>
      <c r="T41" s="48" t="s">
        <v>486</v>
      </c>
      <c r="U41" s="55">
        <v>1000</v>
      </c>
      <c r="V41" s="48" t="s">
        <v>92</v>
      </c>
    </row>
    <row r="42" spans="1:22" x14ac:dyDescent="0.35">
      <c r="A42" s="9" t="s">
        <v>356</v>
      </c>
      <c r="B42" s="9" t="s">
        <v>109</v>
      </c>
      <c r="C42" s="10">
        <v>350</v>
      </c>
      <c r="D42" s="10">
        <v>350</v>
      </c>
      <c r="E42" s="9" t="s">
        <v>92</v>
      </c>
      <c r="F42" s="9" t="s">
        <v>353</v>
      </c>
      <c r="G42" s="9"/>
      <c r="H42" s="115"/>
      <c r="I42" s="115" t="s">
        <v>487</v>
      </c>
      <c r="J42" s="195">
        <v>45887</v>
      </c>
      <c r="K42" s="239">
        <v>350</v>
      </c>
      <c r="L42" s="9" t="s">
        <v>357</v>
      </c>
      <c r="M42" s="9"/>
      <c r="N42" s="87" t="s">
        <v>358</v>
      </c>
      <c r="S42" s="48" t="s">
        <v>544</v>
      </c>
      <c r="T42" s="48" t="s">
        <v>496</v>
      </c>
      <c r="U42" s="55">
        <v>0</v>
      </c>
      <c r="V42" s="48" t="s">
        <v>96</v>
      </c>
    </row>
    <row r="43" spans="1:22" ht="29" x14ac:dyDescent="0.35">
      <c r="A43" s="9" t="s">
        <v>545</v>
      </c>
      <c r="B43" s="9" t="s">
        <v>109</v>
      </c>
      <c r="C43" s="10">
        <v>350</v>
      </c>
      <c r="D43" s="10">
        <v>850</v>
      </c>
      <c r="E43" s="9" t="s">
        <v>68</v>
      </c>
      <c r="F43" s="9" t="s">
        <v>215</v>
      </c>
      <c r="G43" s="9" t="s">
        <v>546</v>
      </c>
      <c r="H43" s="115"/>
      <c r="I43" s="115" t="s">
        <v>487</v>
      </c>
      <c r="J43" s="195">
        <v>45883</v>
      </c>
      <c r="K43" s="239">
        <v>850</v>
      </c>
      <c r="L43" s="9" t="s">
        <v>547</v>
      </c>
      <c r="M43" s="9"/>
      <c r="N43" s="87" t="s">
        <v>548</v>
      </c>
      <c r="S43" s="48" t="s">
        <v>549</v>
      </c>
      <c r="T43" s="48" t="s">
        <v>109</v>
      </c>
      <c r="U43" s="55">
        <v>350</v>
      </c>
      <c r="V43" s="48" t="s">
        <v>96</v>
      </c>
    </row>
    <row r="44" spans="1:22" x14ac:dyDescent="0.35">
      <c r="A44" s="9" t="s">
        <v>549</v>
      </c>
      <c r="B44" s="9" t="s">
        <v>109</v>
      </c>
      <c r="C44" s="10">
        <v>350</v>
      </c>
      <c r="D44" s="10">
        <v>350</v>
      </c>
      <c r="E44" s="9" t="s">
        <v>95</v>
      </c>
      <c r="F44" s="9" t="s">
        <v>439</v>
      </c>
      <c r="G44" s="9"/>
      <c r="H44" s="115"/>
      <c r="I44" s="115" t="s">
        <v>487</v>
      </c>
      <c r="J44" s="195">
        <v>45912</v>
      </c>
      <c r="K44" s="239">
        <v>350</v>
      </c>
      <c r="L44" s="9" t="s">
        <v>550</v>
      </c>
      <c r="M44" s="9"/>
      <c r="N44" s="87" t="s">
        <v>551</v>
      </c>
      <c r="S44" s="48" t="s">
        <v>235</v>
      </c>
      <c r="T44" s="48" t="s">
        <v>39</v>
      </c>
      <c r="U44" s="55">
        <v>500</v>
      </c>
      <c r="V44" s="48" t="s">
        <v>24</v>
      </c>
    </row>
    <row r="45" spans="1:22" ht="29" x14ac:dyDescent="0.35">
      <c r="A45" s="9" t="s">
        <v>552</v>
      </c>
      <c r="B45" s="9" t="s">
        <v>109</v>
      </c>
      <c r="C45" s="10">
        <v>350</v>
      </c>
      <c r="D45" s="10">
        <v>350</v>
      </c>
      <c r="E45" s="9" t="s">
        <v>93</v>
      </c>
      <c r="F45" s="9" t="s">
        <v>553</v>
      </c>
      <c r="G45" s="9"/>
      <c r="H45" s="115"/>
      <c r="I45" s="115" t="s">
        <v>487</v>
      </c>
      <c r="J45" s="195">
        <v>45936</v>
      </c>
      <c r="K45" s="239">
        <v>350</v>
      </c>
      <c r="L45" s="9" t="s">
        <v>554</v>
      </c>
      <c r="M45" s="9"/>
      <c r="N45" s="87" t="s">
        <v>555</v>
      </c>
      <c r="S45" s="48" t="s">
        <v>507</v>
      </c>
      <c r="T45" s="48" t="s">
        <v>39</v>
      </c>
      <c r="U45" s="55">
        <v>600</v>
      </c>
      <c r="V45" s="48" t="s">
        <v>56</v>
      </c>
    </row>
    <row r="46" spans="1:22" ht="43.5" x14ac:dyDescent="0.35">
      <c r="A46" s="112" t="s">
        <v>556</v>
      </c>
      <c r="B46" s="9" t="s">
        <v>109</v>
      </c>
      <c r="C46" s="10">
        <v>350</v>
      </c>
      <c r="D46" s="10">
        <v>0</v>
      </c>
      <c r="E46" s="9" t="s">
        <v>90</v>
      </c>
      <c r="F46" s="9" t="s">
        <v>557</v>
      </c>
      <c r="G46" s="9" t="s">
        <v>558</v>
      </c>
      <c r="H46" s="115"/>
      <c r="I46" s="115" t="s">
        <v>487</v>
      </c>
      <c r="J46" s="195">
        <v>45869</v>
      </c>
      <c r="K46" s="264"/>
      <c r="L46" s="9" t="s">
        <v>559</v>
      </c>
      <c r="M46" s="9"/>
      <c r="N46" s="87" t="s">
        <v>560</v>
      </c>
      <c r="S46" s="48" t="s">
        <v>69</v>
      </c>
      <c r="T46" s="48" t="s">
        <v>491</v>
      </c>
      <c r="U46" s="55">
        <v>1000</v>
      </c>
      <c r="V46" s="48" t="s">
        <v>24</v>
      </c>
    </row>
    <row r="47" spans="1:22" x14ac:dyDescent="0.35">
      <c r="A47" s="9" t="s">
        <v>561</v>
      </c>
      <c r="B47" s="9" t="s">
        <v>109</v>
      </c>
      <c r="C47" s="10">
        <v>350</v>
      </c>
      <c r="D47" s="10">
        <v>350</v>
      </c>
      <c r="E47" s="9" t="s">
        <v>93</v>
      </c>
      <c r="F47" s="9" t="s">
        <v>477</v>
      </c>
      <c r="G47" s="9"/>
      <c r="H47" s="115"/>
      <c r="I47" s="195">
        <v>45874</v>
      </c>
      <c r="J47" s="195">
        <v>45908</v>
      </c>
      <c r="K47" s="239">
        <v>350</v>
      </c>
      <c r="L47" s="9" t="s">
        <v>562</v>
      </c>
      <c r="M47" s="9"/>
      <c r="N47" s="87" t="s">
        <v>563</v>
      </c>
      <c r="S47" s="48" t="s">
        <v>398</v>
      </c>
      <c r="T47" s="48" t="s">
        <v>39</v>
      </c>
      <c r="U47" s="55">
        <v>600</v>
      </c>
      <c r="V47" s="48"/>
    </row>
    <row r="48" spans="1:22" x14ac:dyDescent="0.35">
      <c r="A48" s="9" t="s">
        <v>212</v>
      </c>
      <c r="B48" s="9" t="s">
        <v>109</v>
      </c>
      <c r="C48" s="10">
        <v>350</v>
      </c>
      <c r="D48" s="10">
        <v>0</v>
      </c>
      <c r="E48" s="9" t="s">
        <v>76</v>
      </c>
      <c r="F48" s="9" t="s">
        <v>564</v>
      </c>
      <c r="G48" s="9"/>
      <c r="H48" s="115"/>
      <c r="I48" s="115">
        <v>0</v>
      </c>
      <c r="J48" s="195"/>
      <c r="K48" s="239">
        <v>0</v>
      </c>
      <c r="L48" s="9" t="s">
        <v>216</v>
      </c>
      <c r="M48" s="9"/>
      <c r="N48" s="87" t="s">
        <v>217</v>
      </c>
      <c r="S48" s="48" t="s">
        <v>565</v>
      </c>
      <c r="T48" s="48" t="s">
        <v>109</v>
      </c>
      <c r="U48" s="55">
        <v>850</v>
      </c>
      <c r="V48" s="48" t="s">
        <v>76</v>
      </c>
    </row>
    <row r="49" spans="1:22" x14ac:dyDescent="0.35">
      <c r="A49" s="9" t="s">
        <v>566</v>
      </c>
      <c r="B49" s="9" t="s">
        <v>109</v>
      </c>
      <c r="C49" s="10">
        <v>350</v>
      </c>
      <c r="D49" s="10">
        <v>350</v>
      </c>
      <c r="E49" s="9" t="s">
        <v>76</v>
      </c>
      <c r="F49" s="9" t="s">
        <v>567</v>
      </c>
      <c r="G49" s="9" t="s">
        <v>568</v>
      </c>
      <c r="H49" s="115"/>
      <c r="I49" s="115" t="s">
        <v>569</v>
      </c>
      <c r="J49" s="195">
        <v>45902</v>
      </c>
      <c r="K49" s="239">
        <v>350</v>
      </c>
      <c r="L49" s="9" t="s">
        <v>570</v>
      </c>
      <c r="M49" s="9"/>
      <c r="N49" s="87" t="s">
        <v>328</v>
      </c>
      <c r="S49" s="48" t="s">
        <v>401</v>
      </c>
      <c r="T49" s="48" t="s">
        <v>39</v>
      </c>
      <c r="U49" s="55">
        <v>500</v>
      </c>
      <c r="V49" s="48" t="s">
        <v>24</v>
      </c>
    </row>
    <row r="50" spans="1:22" x14ac:dyDescent="0.35">
      <c r="A50" s="9" t="s">
        <v>571</v>
      </c>
      <c r="B50" s="9" t="s">
        <v>109</v>
      </c>
      <c r="C50" s="10">
        <v>350</v>
      </c>
      <c r="D50" s="10">
        <v>350</v>
      </c>
      <c r="E50" s="9"/>
      <c r="F50" s="9"/>
      <c r="G50" s="9"/>
      <c r="H50" s="115"/>
      <c r="I50" s="115"/>
      <c r="J50" s="9" t="s">
        <v>499</v>
      </c>
      <c r="K50" s="239">
        <v>350</v>
      </c>
      <c r="L50" s="9"/>
      <c r="M50" s="9"/>
      <c r="N50" s="9"/>
      <c r="S50" s="112" t="s">
        <v>572</v>
      </c>
      <c r="T50" s="112" t="s">
        <v>39</v>
      </c>
      <c r="U50" s="113">
        <v>600</v>
      </c>
      <c r="V50" s="112" t="s">
        <v>93</v>
      </c>
    </row>
    <row r="51" spans="1:22" x14ac:dyDescent="0.35">
      <c r="A51" s="9" t="s">
        <v>573</v>
      </c>
      <c r="B51" s="9" t="s">
        <v>109</v>
      </c>
      <c r="C51" s="10">
        <v>350</v>
      </c>
      <c r="D51" s="10">
        <v>350</v>
      </c>
      <c r="E51" s="9" t="s">
        <v>93</v>
      </c>
      <c r="F51" s="9" t="s">
        <v>574</v>
      </c>
      <c r="G51" s="9" t="s">
        <v>575</v>
      </c>
      <c r="H51" s="115"/>
      <c r="I51" s="115" t="s">
        <v>576</v>
      </c>
      <c r="J51" s="195">
        <v>46009</v>
      </c>
      <c r="K51" s="239">
        <v>350</v>
      </c>
      <c r="L51" s="9"/>
      <c r="M51" s="9"/>
      <c r="N51" s="87" t="s">
        <v>577</v>
      </c>
      <c r="S51" s="112" t="s">
        <v>578</v>
      </c>
      <c r="T51" s="112" t="s">
        <v>109</v>
      </c>
      <c r="U51" s="113">
        <v>350</v>
      </c>
      <c r="V51" s="112" t="s">
        <v>93</v>
      </c>
    </row>
    <row r="52" spans="1:22" x14ac:dyDescent="0.35">
      <c r="A52" s="9" t="s">
        <v>137</v>
      </c>
      <c r="B52" s="9" t="s">
        <v>109</v>
      </c>
      <c r="C52" s="10">
        <v>350</v>
      </c>
      <c r="D52" s="10">
        <v>350</v>
      </c>
      <c r="E52" s="9" t="s">
        <v>95</v>
      </c>
      <c r="F52" s="9" t="s">
        <v>579</v>
      </c>
      <c r="G52" s="9"/>
      <c r="H52" s="115"/>
      <c r="I52" s="115" t="s">
        <v>580</v>
      </c>
      <c r="J52" s="195">
        <v>45911</v>
      </c>
      <c r="K52" s="239">
        <v>350</v>
      </c>
      <c r="L52" s="9" t="s">
        <v>382</v>
      </c>
      <c r="M52" s="9"/>
      <c r="N52" s="87" t="s">
        <v>581</v>
      </c>
      <c r="S52" s="120" t="s">
        <v>40</v>
      </c>
      <c r="T52" s="120" t="s">
        <v>109</v>
      </c>
      <c r="U52" s="105">
        <v>1050</v>
      </c>
      <c r="V52" s="120" t="s">
        <v>37</v>
      </c>
    </row>
    <row r="53" spans="1:22" ht="29" x14ac:dyDescent="0.35">
      <c r="A53" s="9" t="s">
        <v>329</v>
      </c>
      <c r="B53" s="9" t="s">
        <v>109</v>
      </c>
      <c r="C53" s="10">
        <v>350</v>
      </c>
      <c r="D53" s="10">
        <v>350</v>
      </c>
      <c r="E53" s="9"/>
      <c r="F53" s="9" t="s">
        <v>579</v>
      </c>
      <c r="G53" s="9"/>
      <c r="H53" s="115"/>
      <c r="I53" s="115" t="s">
        <v>580</v>
      </c>
      <c r="J53" s="195">
        <v>45903</v>
      </c>
      <c r="K53" s="239">
        <v>350</v>
      </c>
      <c r="L53" s="9" t="s">
        <v>582</v>
      </c>
      <c r="M53" s="9"/>
      <c r="N53" s="87" t="s">
        <v>583</v>
      </c>
      <c r="S53" s="48" t="s">
        <v>584</v>
      </c>
      <c r="T53" s="48" t="s">
        <v>109</v>
      </c>
      <c r="U53" s="55">
        <v>0</v>
      </c>
      <c r="V53" s="48"/>
    </row>
    <row r="54" spans="1:22" x14ac:dyDescent="0.35">
      <c r="A54" s="9" t="s">
        <v>132</v>
      </c>
      <c r="B54" s="9" t="s">
        <v>109</v>
      </c>
      <c r="C54" s="10">
        <v>350</v>
      </c>
      <c r="D54" s="10">
        <v>350</v>
      </c>
      <c r="E54" s="9"/>
      <c r="F54" s="9" t="s">
        <v>585</v>
      </c>
      <c r="G54" s="9"/>
      <c r="H54" s="115"/>
      <c r="I54" s="115" t="s">
        <v>534</v>
      </c>
      <c r="J54" s="195">
        <v>45904</v>
      </c>
      <c r="K54" s="239">
        <v>350</v>
      </c>
      <c r="L54" s="9" t="s">
        <v>300</v>
      </c>
      <c r="M54" s="9"/>
      <c r="N54" s="9"/>
      <c r="S54" s="48" t="s">
        <v>566</v>
      </c>
      <c r="T54" s="48" t="s">
        <v>109</v>
      </c>
      <c r="U54" s="55">
        <v>350</v>
      </c>
      <c r="V54" s="48" t="s">
        <v>76</v>
      </c>
    </row>
    <row r="55" spans="1:22" x14ac:dyDescent="0.35">
      <c r="A55" s="9" t="s">
        <v>586</v>
      </c>
      <c r="B55" s="9" t="s">
        <v>109</v>
      </c>
      <c r="C55" s="10">
        <v>350</v>
      </c>
      <c r="D55" s="10">
        <v>350</v>
      </c>
      <c r="E55" s="9" t="s">
        <v>93</v>
      </c>
      <c r="F55" s="9" t="s">
        <v>587</v>
      </c>
      <c r="G55" s="9"/>
      <c r="H55" s="115"/>
      <c r="I55" s="115" t="s">
        <v>588</v>
      </c>
      <c r="J55" s="195">
        <v>46008</v>
      </c>
      <c r="K55" s="239">
        <v>350</v>
      </c>
      <c r="L55" s="9"/>
      <c r="M55" s="9"/>
      <c r="N55" s="87" t="s">
        <v>589</v>
      </c>
    </row>
    <row r="56" spans="1:22" ht="29" x14ac:dyDescent="0.35">
      <c r="A56" s="9" t="s">
        <v>590</v>
      </c>
      <c r="B56" s="9" t="s">
        <v>109</v>
      </c>
      <c r="C56" s="10">
        <v>350</v>
      </c>
      <c r="D56" s="10">
        <v>0</v>
      </c>
      <c r="E56" s="9" t="s">
        <v>95</v>
      </c>
      <c r="F56" s="9" t="s">
        <v>591</v>
      </c>
      <c r="G56" s="9"/>
      <c r="H56" s="115"/>
      <c r="I56" s="115">
        <v>0</v>
      </c>
      <c r="J56" s="9"/>
      <c r="K56" s="239">
        <v>0</v>
      </c>
      <c r="L56" s="9" t="s">
        <v>592</v>
      </c>
      <c r="M56" s="9"/>
      <c r="N56" s="87" t="s">
        <v>593</v>
      </c>
    </row>
    <row r="57" spans="1:22" x14ac:dyDescent="0.35">
      <c r="A57" s="9"/>
      <c r="B57" s="9"/>
      <c r="C57" s="10"/>
      <c r="D57" s="10"/>
      <c r="E57" s="9"/>
      <c r="F57" s="9"/>
      <c r="G57" s="9"/>
      <c r="H57" s="115"/>
      <c r="I57" s="115"/>
      <c r="J57" s="9"/>
      <c r="K57" s="239"/>
      <c r="L57" s="9"/>
      <c r="M57" s="9"/>
      <c r="N57" s="9"/>
    </row>
    <row r="58" spans="1:22" x14ac:dyDescent="0.35">
      <c r="A58" s="9"/>
      <c r="B58" s="9"/>
      <c r="C58" s="10"/>
      <c r="D58" s="10"/>
      <c r="E58" s="9"/>
      <c r="F58" s="9"/>
      <c r="G58" s="9"/>
      <c r="H58" s="115"/>
      <c r="I58" s="115"/>
      <c r="J58" s="9"/>
      <c r="K58" s="239"/>
      <c r="L58" s="9"/>
      <c r="M58" s="9"/>
      <c r="N58" s="9"/>
    </row>
    <row r="59" spans="1:22" x14ac:dyDescent="0.35">
      <c r="A59" s="9"/>
      <c r="B59" s="9"/>
      <c r="C59" s="10"/>
      <c r="D59" s="10"/>
      <c r="E59" s="9"/>
      <c r="F59" s="9"/>
      <c r="G59" s="9"/>
      <c r="H59" s="115"/>
      <c r="I59" s="115"/>
      <c r="J59" s="9"/>
      <c r="K59" s="239"/>
      <c r="L59" s="9"/>
      <c r="M59" s="9"/>
      <c r="N59" s="9"/>
    </row>
    <row r="60" spans="1:22" x14ac:dyDescent="0.35">
      <c r="A60" s="9"/>
      <c r="B60" s="9"/>
      <c r="C60" s="10"/>
      <c r="D60" s="10"/>
      <c r="E60" s="9"/>
      <c r="F60" s="9"/>
      <c r="G60" s="9"/>
      <c r="H60" s="115"/>
      <c r="I60" s="115"/>
      <c r="J60" s="9"/>
      <c r="K60" s="239"/>
      <c r="L60" s="9"/>
      <c r="M60" s="9"/>
      <c r="N60" s="9"/>
    </row>
    <row r="61" spans="1:22" x14ac:dyDescent="0.35">
      <c r="A61" s="9"/>
      <c r="B61" s="9"/>
      <c r="C61" s="10"/>
      <c r="D61" s="10"/>
      <c r="E61" s="9"/>
      <c r="F61" s="9"/>
      <c r="G61" s="9"/>
      <c r="H61" s="115"/>
      <c r="I61" s="115"/>
      <c r="J61" s="9"/>
      <c r="K61" s="239"/>
      <c r="L61" s="9"/>
      <c r="M61" s="9"/>
      <c r="N61" s="9"/>
    </row>
    <row r="62" spans="1:22" x14ac:dyDescent="0.35">
      <c r="K62" s="29">
        <f>SUM(K9:K61)</f>
        <v>27800</v>
      </c>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V54">
    <sortCondition ref="S9:S54"/>
  </sortState>
  <hyperlinks>
    <hyperlink ref="N38" r:id="rId2" display="mailto:rhealana@rhealana.com" xr:uid="{B4FCDDC9-493F-40BD-87A0-153BF8B6AB3E}"/>
    <hyperlink ref="N22" r:id="rId3" xr:uid="{BF1F5B62-C148-4887-9DBA-FC96D864E848}"/>
    <hyperlink ref="N41" r:id="rId4" xr:uid="{BABD64F5-13DD-4889-B8EF-B73ABD7E2A75}"/>
    <hyperlink ref="N17" r:id="rId5" display="mailto:emilywalterrealtor@gmail.com" xr:uid="{7A6BBE95-A9BC-4A87-91EB-59BBB5D73897}"/>
    <hyperlink ref="N42" r:id="rId6" xr:uid="{56814F70-BCAC-455A-8D34-14FD4515B08D}"/>
    <hyperlink ref="N20" r:id="rId7" display="mailto:ali@dyermark.com" xr:uid="{9D24AB32-D085-4DA9-9D9D-C4ED19F0A8CA}"/>
    <hyperlink ref="N25" r:id="rId8" xr:uid="{C31A3F82-7946-4E98-88DF-9610B49AE601}"/>
    <hyperlink ref="N13" r:id="rId9" display="mailto:ryan@rockcityoutfitters.com" xr:uid="{E9F08354-6C24-49E9-9A12-A9C0F6B9EFBE}"/>
    <hyperlink ref="N43" r:id="rId10" display="mailto:stfrancisvet@conwaycorp.net" xr:uid="{6A8B92E2-3772-47CF-ACB7-E679A3966CF6}"/>
    <hyperlink ref="N28" r:id="rId11" xr:uid="{B0ADDD21-67C7-495F-9A8A-0B178EDB11E5}"/>
    <hyperlink ref="N29" r:id="rId12" display="mailto:jay.bernard.l8if@statefarm.com" xr:uid="{44A283C1-577A-43BD-B15F-79C2F7F8CC2F}"/>
    <hyperlink ref="N31" r:id="rId13" xr:uid="{E8E7F73E-2461-4EC0-B00E-4323073AB08B}"/>
    <hyperlink ref="N44" r:id="rId14" xr:uid="{142C119C-2C62-43A5-B07D-34C98F462D1B}"/>
    <hyperlink ref="N33" r:id="rId15" xr:uid="{0BE7BE06-534D-4EA8-8CA1-E855543CE26A}"/>
    <hyperlink ref="N45" r:id="rId16" display="mailto:zack@windowdepotar.com" xr:uid="{5086EB15-A013-4A61-A9FF-FBDC1B4910EE}"/>
    <hyperlink ref="N16" r:id="rId17" display="mailto:crosscreekcaitlin@gmail.com" xr:uid="{FC0AF902-3161-444D-BFDD-9885ECD90517}"/>
    <hyperlink ref="N46" r:id="rId18" display="mailto:heather.finch@staleyelectric.com" xr:uid="{668FC6F0-1C3F-4520-81DB-EAD46AFDEF4E}"/>
    <hyperlink ref="N27" r:id="rId19" xr:uid="{C219C5FE-055A-48B0-A697-D0D0119BE164}"/>
    <hyperlink ref="N30" r:id="rId20" xr:uid="{7EAECB12-A2E6-4009-B540-DF9733C76104}"/>
    <hyperlink ref="N47" r:id="rId21" xr:uid="{D85FC1DF-5E3D-4FBA-AD58-9003F923E0A3}"/>
    <hyperlink ref="N48" r:id="rId22" display="mailto:kasonk@advancedwash.com" xr:uid="{E3564775-76E2-4B7F-AE28-35BF06DDF824}"/>
    <hyperlink ref="N12" r:id="rId23" xr:uid="{A251F4BA-5207-4D5E-AA38-B008C753597C}"/>
    <hyperlink ref="N49" r:id="rId24" display="mailto:lauren@watsonhomesinc.com" xr:uid="{AD6544FC-97B9-428D-B03D-B5AB7D1C28F4}"/>
    <hyperlink ref="N51" r:id="rId25" display="mailto:claire@homewardhomes.com" xr:uid="{A822E61A-E82A-4BC8-9C5B-438E5D119EFC}"/>
    <hyperlink ref="N36" r:id="rId26" xr:uid="{8AC0A409-ADD3-48D2-AD6B-10428090B338}"/>
    <hyperlink ref="N52" r:id="rId27" display="mailto:tom.nelson@cadencebank.com" xr:uid="{DCF09442-F0C9-4ECF-A543-27B8C3611563}"/>
    <hyperlink ref="N53" r:id="rId28" xr:uid="{56A5D83A-4969-45A5-82F2-DB606B931403}"/>
    <hyperlink ref="N55" r:id="rId29" display="mailto:Lisa.graham@goblusky.com" xr:uid="{A4D2DA4F-F6E3-4F45-BC0A-A8E01263FE41}"/>
    <hyperlink ref="N56" r:id="rId30" display="mailto:rshepherd@uca.edu" xr:uid="{E5F8A800-8E7E-449E-BCFD-0015262B902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2919F-A7F3-407D-B33D-41582374F55B}">
  <dimension ref="A1:V317"/>
  <sheetViews>
    <sheetView workbookViewId="0">
      <pane xSplit="10" ySplit="18" topLeftCell="K19" activePane="bottomRight" state="frozen"/>
      <selection pane="topRight" activeCell="K1" sqref="K1"/>
      <selection pane="bottomLeft" activeCell="A19" sqref="A19"/>
      <selection pane="bottomRight" activeCell="K23" sqref="K23"/>
    </sheetView>
  </sheetViews>
  <sheetFormatPr defaultColWidth="33" defaultRowHeight="14.5" x14ac:dyDescent="0.35"/>
  <cols>
    <col min="1" max="1" width="29.7265625" style="5" bestFit="1" customWidth="1"/>
    <col min="2" max="2" width="14.81640625" style="5" bestFit="1" customWidth="1"/>
    <col min="3" max="3" width="13.453125" style="5" customWidth="1"/>
    <col min="4" max="4" width="15.81640625" style="5" bestFit="1" customWidth="1"/>
    <col min="5" max="5" width="8.7265625" style="5" bestFit="1" customWidth="1"/>
    <col min="6" max="6" width="11.1796875" style="5" bestFit="1" customWidth="1"/>
    <col min="7" max="7" width="22.7265625" style="5" bestFit="1" customWidth="1"/>
    <col min="8" max="8" width="16.26953125" style="5" bestFit="1" customWidth="1"/>
    <col min="9" max="9" width="15.1796875" style="5" customWidth="1"/>
    <col min="10" max="10" width="10.453125" style="5" bestFit="1" customWidth="1"/>
    <col min="11" max="11" width="14.453125" style="5" bestFit="1" customWidth="1"/>
    <col min="12" max="12" width="20.81640625" style="5" bestFit="1" customWidth="1"/>
    <col min="13" max="13" width="7.54296875" style="5" bestFit="1" customWidth="1"/>
    <col min="14" max="14" width="30.7265625" style="5" bestFit="1" customWidth="1"/>
    <col min="15" max="16" width="11" style="5" bestFit="1" customWidth="1"/>
    <col min="17" max="17" width="16.81640625" style="5" customWidth="1"/>
    <col min="18" max="19" width="29.7265625" style="5" bestFit="1" customWidth="1"/>
    <col min="20" max="20" width="14.453125" style="5" bestFit="1" customWidth="1"/>
    <col min="21" max="21" width="15.81640625" style="5" bestFit="1" customWidth="1"/>
    <col min="22" max="22" width="8.7265625" style="5" bestFit="1" customWidth="1"/>
    <col min="23" max="16384" width="33" style="5"/>
  </cols>
  <sheetData>
    <row r="1" spans="1:22" x14ac:dyDescent="0.35">
      <c r="A1" s="4" t="s">
        <v>594</v>
      </c>
      <c r="B1" s="4">
        <v>2025</v>
      </c>
      <c r="S1" s="13" t="s">
        <v>594</v>
      </c>
      <c r="T1" s="14">
        <v>2024</v>
      </c>
      <c r="U1" s="15"/>
      <c r="V1" s="15"/>
    </row>
    <row r="2" spans="1:22" x14ac:dyDescent="0.35">
      <c r="A2" s="6" t="s">
        <v>1</v>
      </c>
      <c r="B2" s="7">
        <f>SUM(D9:D45)</f>
        <v>24000</v>
      </c>
      <c r="K2" s="11" t="s">
        <v>2</v>
      </c>
      <c r="S2" s="16" t="s">
        <v>1</v>
      </c>
      <c r="T2" s="7">
        <f>SUM(U9:U28)</f>
        <v>32250</v>
      </c>
      <c r="U2" s="15"/>
      <c r="V2" s="15"/>
    </row>
    <row r="3" spans="1:22" x14ac:dyDescent="0.35">
      <c r="A3" s="6" t="s">
        <v>3</v>
      </c>
      <c r="B3" s="7">
        <v>30000</v>
      </c>
      <c r="K3" s="7">
        <f>MIN(K30-B2)</f>
        <v>-2500</v>
      </c>
      <c r="S3" s="16" t="s">
        <v>3</v>
      </c>
      <c r="T3" s="7">
        <v>30000</v>
      </c>
      <c r="U3" s="15"/>
      <c r="V3" s="15"/>
    </row>
    <row r="4" spans="1:22" x14ac:dyDescent="0.35">
      <c r="A4" s="6" t="s">
        <v>4</v>
      </c>
      <c r="B4" s="7">
        <f>MIN(B2-B3)</f>
        <v>-6000</v>
      </c>
      <c r="K4" s="42">
        <f>K30/B2</f>
        <v>0.89583333333333337</v>
      </c>
      <c r="S4" s="16" t="s">
        <v>4</v>
      </c>
      <c r="T4" s="7">
        <f>MIN(T2-T3)</f>
        <v>2250</v>
      </c>
      <c r="U4" s="15"/>
      <c r="V4" s="15"/>
    </row>
    <row r="5" spans="1:22" x14ac:dyDescent="0.35">
      <c r="A5" s="6" t="s">
        <v>5</v>
      </c>
      <c r="B5" s="7">
        <v>35000</v>
      </c>
      <c r="S5" s="16" t="s">
        <v>5</v>
      </c>
      <c r="T5" s="7">
        <v>40000</v>
      </c>
      <c r="U5" s="15"/>
      <c r="V5" s="15"/>
    </row>
    <row r="6" spans="1:22" x14ac:dyDescent="0.35">
      <c r="A6" s="6" t="s">
        <v>4</v>
      </c>
      <c r="B6" s="7">
        <f>MIN(B2-B5)</f>
        <v>-11000</v>
      </c>
      <c r="S6" s="16" t="s">
        <v>4</v>
      </c>
      <c r="T6" s="7">
        <f>MIN(T2-T5)</f>
        <v>-7750</v>
      </c>
      <c r="U6" s="15"/>
      <c r="V6" s="15"/>
    </row>
    <row r="7" spans="1:22" x14ac:dyDescent="0.35">
      <c r="S7" s="15"/>
      <c r="T7" s="15"/>
      <c r="U7" s="15"/>
      <c r="V7" s="15"/>
    </row>
    <row r="8" spans="1:22" x14ac:dyDescent="0.35">
      <c r="A8" s="12" t="s">
        <v>6</v>
      </c>
      <c r="B8" s="12" t="s">
        <v>7</v>
      </c>
      <c r="C8" s="12" t="s">
        <v>8</v>
      </c>
      <c r="D8" s="12" t="s">
        <v>9</v>
      </c>
      <c r="E8" s="12" t="s">
        <v>10</v>
      </c>
      <c r="F8" s="12" t="s">
        <v>11</v>
      </c>
      <c r="G8" s="12" t="s">
        <v>12</v>
      </c>
      <c r="H8" s="11" t="s">
        <v>13</v>
      </c>
      <c r="I8" s="122" t="s">
        <v>14</v>
      </c>
      <c r="J8" s="12" t="s">
        <v>15</v>
      </c>
      <c r="K8" s="12" t="s">
        <v>16</v>
      </c>
      <c r="L8" s="12" t="s">
        <v>17</v>
      </c>
      <c r="M8" s="12" t="s">
        <v>18</v>
      </c>
      <c r="N8" s="12" t="s">
        <v>19</v>
      </c>
      <c r="P8" s="44" t="s">
        <v>10</v>
      </c>
      <c r="Q8" s="44" t="s">
        <v>20</v>
      </c>
      <c r="S8" s="17" t="s">
        <v>6</v>
      </c>
      <c r="T8" s="17" t="s">
        <v>21</v>
      </c>
      <c r="U8" s="17" t="s">
        <v>9</v>
      </c>
      <c r="V8" s="17" t="s">
        <v>10</v>
      </c>
    </row>
    <row r="9" spans="1:22" x14ac:dyDescent="0.35">
      <c r="A9" s="9" t="s">
        <v>48</v>
      </c>
      <c r="B9" s="9" t="s">
        <v>23</v>
      </c>
      <c r="C9" s="10">
        <v>10000</v>
      </c>
      <c r="D9" s="10">
        <v>7500</v>
      </c>
      <c r="E9" s="9" t="s">
        <v>24</v>
      </c>
      <c r="F9" s="9" t="s">
        <v>64</v>
      </c>
      <c r="G9" s="9"/>
      <c r="H9" s="9"/>
      <c r="I9" s="9" t="s">
        <v>595</v>
      </c>
      <c r="J9" s="195">
        <v>45924</v>
      </c>
      <c r="K9" s="239">
        <v>7500</v>
      </c>
      <c r="L9" s="9" t="s">
        <v>66</v>
      </c>
      <c r="M9" s="9"/>
      <c r="N9" s="87" t="s">
        <v>67</v>
      </c>
      <c r="P9" s="39" t="s">
        <v>24</v>
      </c>
      <c r="Q9" s="10">
        <v>15000</v>
      </c>
      <c r="S9" s="84" t="s">
        <v>596</v>
      </c>
      <c r="T9" s="84" t="s">
        <v>32</v>
      </c>
      <c r="U9" s="84">
        <v>5000</v>
      </c>
      <c r="V9" s="84" t="s">
        <v>90</v>
      </c>
    </row>
    <row r="10" spans="1:22" x14ac:dyDescent="0.35">
      <c r="A10" s="9" t="s">
        <v>596</v>
      </c>
      <c r="B10" s="9" t="s">
        <v>32</v>
      </c>
      <c r="C10" s="10">
        <v>5000</v>
      </c>
      <c r="D10" s="10">
        <v>4000</v>
      </c>
      <c r="E10" s="9" t="s">
        <v>90</v>
      </c>
      <c r="F10" s="9" t="s">
        <v>597</v>
      </c>
      <c r="G10" s="9"/>
      <c r="H10" s="99"/>
      <c r="I10" s="9" t="s">
        <v>598</v>
      </c>
      <c r="J10" s="195">
        <v>45936</v>
      </c>
      <c r="K10" s="239">
        <v>4000</v>
      </c>
      <c r="L10" s="9" t="s">
        <v>599</v>
      </c>
      <c r="M10" s="9"/>
      <c r="N10" s="87" t="s">
        <v>600</v>
      </c>
      <c r="P10" s="39" t="s">
        <v>37</v>
      </c>
      <c r="Q10" s="10"/>
      <c r="S10" s="84" t="s">
        <v>48</v>
      </c>
      <c r="T10" s="84" t="s">
        <v>23</v>
      </c>
      <c r="U10" s="84">
        <v>7500</v>
      </c>
      <c r="V10" s="84" t="s">
        <v>24</v>
      </c>
    </row>
    <row r="11" spans="1:22" x14ac:dyDescent="0.35">
      <c r="A11" s="9" t="s">
        <v>601</v>
      </c>
      <c r="B11" s="9" t="s">
        <v>32</v>
      </c>
      <c r="C11" s="10">
        <v>5000</v>
      </c>
      <c r="D11" s="10">
        <v>5000</v>
      </c>
      <c r="E11" s="9" t="s">
        <v>95</v>
      </c>
      <c r="F11" s="9" t="s">
        <v>28</v>
      </c>
      <c r="G11" s="9"/>
      <c r="H11" s="9"/>
      <c r="I11" s="9" t="s">
        <v>595</v>
      </c>
      <c r="J11" s="195">
        <v>45917</v>
      </c>
      <c r="K11" s="239">
        <v>5000</v>
      </c>
      <c r="L11" s="9" t="s">
        <v>602</v>
      </c>
      <c r="M11" s="9"/>
      <c r="N11" s="81" t="s">
        <v>603</v>
      </c>
      <c r="P11" s="39" t="s">
        <v>47</v>
      </c>
      <c r="Q11" s="10"/>
      <c r="S11" s="84" t="s">
        <v>604</v>
      </c>
      <c r="T11" s="84" t="s">
        <v>605</v>
      </c>
      <c r="U11" s="84">
        <v>0</v>
      </c>
      <c r="V11" s="84" t="s">
        <v>96</v>
      </c>
    </row>
    <row r="12" spans="1:22" x14ac:dyDescent="0.35">
      <c r="A12" s="9"/>
      <c r="B12" s="9" t="s">
        <v>32</v>
      </c>
      <c r="C12" s="10">
        <v>5000</v>
      </c>
      <c r="D12" s="10"/>
      <c r="E12" s="9"/>
      <c r="F12" s="9"/>
      <c r="G12" s="9"/>
      <c r="H12" s="9"/>
      <c r="I12" s="9"/>
      <c r="J12" s="9"/>
      <c r="K12" s="239"/>
      <c r="L12" s="9"/>
      <c r="M12" s="9"/>
      <c r="N12" s="9"/>
      <c r="P12" s="39" t="s">
        <v>50</v>
      </c>
      <c r="Q12" s="10"/>
      <c r="S12" s="84" t="s">
        <v>51</v>
      </c>
      <c r="T12" s="84" t="s">
        <v>606</v>
      </c>
      <c r="U12" s="84">
        <v>2500</v>
      </c>
      <c r="V12" s="84" t="s">
        <v>24</v>
      </c>
    </row>
    <row r="13" spans="1:22" x14ac:dyDescent="0.35">
      <c r="A13" s="9"/>
      <c r="B13" s="9" t="s">
        <v>32</v>
      </c>
      <c r="C13" s="10">
        <v>5000</v>
      </c>
      <c r="D13" s="10"/>
      <c r="E13" s="9"/>
      <c r="F13" s="9"/>
      <c r="G13" s="9"/>
      <c r="H13" s="9"/>
      <c r="I13" s="9"/>
      <c r="J13" s="9"/>
      <c r="K13" s="239"/>
      <c r="L13" s="9"/>
      <c r="M13" s="9"/>
      <c r="N13" s="9"/>
      <c r="P13" s="39" t="s">
        <v>56</v>
      </c>
      <c r="Q13" s="10"/>
      <c r="S13" s="84" t="s">
        <v>243</v>
      </c>
      <c r="T13" s="84" t="s">
        <v>606</v>
      </c>
      <c r="U13" s="84">
        <v>2500</v>
      </c>
      <c r="V13" s="84" t="s">
        <v>24</v>
      </c>
    </row>
    <row r="14" spans="1:22" x14ac:dyDescent="0.35">
      <c r="A14" s="9"/>
      <c r="B14" s="9" t="s">
        <v>32</v>
      </c>
      <c r="C14" s="10">
        <v>5000</v>
      </c>
      <c r="D14" s="10"/>
      <c r="E14" s="9"/>
      <c r="F14" s="9"/>
      <c r="G14" s="9"/>
      <c r="H14" s="9"/>
      <c r="I14" s="9"/>
      <c r="J14" s="9"/>
      <c r="K14" s="239"/>
      <c r="L14" s="9"/>
      <c r="M14" s="9"/>
      <c r="N14" s="9"/>
      <c r="P14" s="39" t="s">
        <v>62</v>
      </c>
      <c r="Q14" s="10"/>
      <c r="S14" s="121" t="s">
        <v>515</v>
      </c>
      <c r="T14" s="121" t="s">
        <v>606</v>
      </c>
      <c r="U14" s="121">
        <v>2500</v>
      </c>
      <c r="V14" s="121" t="s">
        <v>24</v>
      </c>
    </row>
    <row r="15" spans="1:22" x14ac:dyDescent="0.35">
      <c r="A15" s="9"/>
      <c r="B15" s="9" t="s">
        <v>607</v>
      </c>
      <c r="C15" s="10">
        <v>3000</v>
      </c>
      <c r="D15" s="10"/>
      <c r="E15" s="9"/>
      <c r="F15" s="9"/>
      <c r="G15" s="9"/>
      <c r="H15" s="9"/>
      <c r="I15" s="9"/>
      <c r="J15" s="9"/>
      <c r="K15" s="239"/>
      <c r="L15" s="9"/>
      <c r="M15" s="9"/>
      <c r="N15" s="9"/>
      <c r="P15" s="39" t="s">
        <v>68</v>
      </c>
      <c r="Q15" s="10"/>
      <c r="S15" s="18" t="s">
        <v>608</v>
      </c>
      <c r="T15" s="18" t="s">
        <v>606</v>
      </c>
      <c r="U15" s="18">
        <v>1000</v>
      </c>
      <c r="V15" s="18" t="s">
        <v>68</v>
      </c>
    </row>
    <row r="16" spans="1:22" x14ac:dyDescent="0.35">
      <c r="A16" s="9"/>
      <c r="B16" s="9" t="s">
        <v>607</v>
      </c>
      <c r="C16" s="10">
        <v>3000</v>
      </c>
      <c r="D16" s="10"/>
      <c r="E16" s="9"/>
      <c r="F16" s="9"/>
      <c r="G16" s="9"/>
      <c r="H16" s="9"/>
      <c r="I16" s="9"/>
      <c r="J16" s="9"/>
      <c r="K16" s="239"/>
      <c r="L16" s="9"/>
      <c r="M16" s="9"/>
      <c r="N16" s="9"/>
      <c r="P16" s="39" t="s">
        <v>76</v>
      </c>
      <c r="Q16" s="10"/>
      <c r="S16" s="84" t="s">
        <v>601</v>
      </c>
      <c r="T16" s="84" t="s">
        <v>32</v>
      </c>
      <c r="U16" s="84">
        <v>5000</v>
      </c>
      <c r="V16" s="84" t="s">
        <v>95</v>
      </c>
    </row>
    <row r="17" spans="1:22" ht="29" x14ac:dyDescent="0.35">
      <c r="A17" s="9"/>
      <c r="B17" s="9" t="s">
        <v>609</v>
      </c>
      <c r="C17" s="10">
        <v>3000</v>
      </c>
      <c r="D17" s="10"/>
      <c r="E17" s="9"/>
      <c r="F17" s="9"/>
      <c r="G17" s="9"/>
      <c r="H17" s="9"/>
      <c r="I17" s="9"/>
      <c r="J17" s="9"/>
      <c r="K17" s="239"/>
      <c r="L17" s="9"/>
      <c r="M17" s="9"/>
      <c r="N17" s="9"/>
      <c r="P17" s="39" t="s">
        <v>81</v>
      </c>
      <c r="Q17" s="10"/>
      <c r="S17" s="121" t="s">
        <v>610</v>
      </c>
      <c r="T17" s="121" t="s">
        <v>611</v>
      </c>
      <c r="U17" s="121">
        <v>3750</v>
      </c>
      <c r="V17" s="121" t="s">
        <v>95</v>
      </c>
    </row>
    <row r="18" spans="1:22" x14ac:dyDescent="0.35">
      <c r="A18" s="9"/>
      <c r="B18" s="9" t="s">
        <v>609</v>
      </c>
      <c r="C18" s="10">
        <v>3000</v>
      </c>
      <c r="D18" s="10"/>
      <c r="E18" s="9"/>
      <c r="F18" s="9"/>
      <c r="G18" s="9"/>
      <c r="H18" s="9"/>
      <c r="I18" s="9"/>
      <c r="J18" s="9"/>
      <c r="K18" s="239"/>
      <c r="L18" s="9"/>
      <c r="M18" s="9"/>
      <c r="N18" s="9"/>
      <c r="P18" s="39" t="s">
        <v>86</v>
      </c>
      <c r="Q18" s="10"/>
      <c r="S18" s="84" t="s">
        <v>232</v>
      </c>
      <c r="T18" s="84" t="s">
        <v>606</v>
      </c>
      <c r="U18" s="84">
        <v>2500</v>
      </c>
      <c r="V18" s="84" t="s">
        <v>24</v>
      </c>
    </row>
    <row r="19" spans="1:22" x14ac:dyDescent="0.35">
      <c r="A19" s="9"/>
      <c r="B19" s="9" t="s">
        <v>612</v>
      </c>
      <c r="C19" s="10">
        <v>3000</v>
      </c>
      <c r="D19" s="10"/>
      <c r="E19" s="9"/>
      <c r="F19" s="9"/>
      <c r="G19" s="9"/>
      <c r="H19" s="9"/>
      <c r="I19" s="9"/>
      <c r="J19" s="9"/>
      <c r="K19" s="239"/>
      <c r="L19" s="9"/>
      <c r="M19" s="9"/>
      <c r="N19" s="9"/>
      <c r="P19" s="39" t="s">
        <v>90</v>
      </c>
      <c r="Q19" s="10">
        <v>4000</v>
      </c>
      <c r="S19" s="18" t="s">
        <v>544</v>
      </c>
      <c r="T19" s="18" t="s">
        <v>613</v>
      </c>
      <c r="U19" s="18">
        <v>0</v>
      </c>
      <c r="V19" s="18" t="s">
        <v>95</v>
      </c>
    </row>
    <row r="20" spans="1:22" x14ac:dyDescent="0.35">
      <c r="A20" s="9"/>
      <c r="B20" s="9" t="s">
        <v>612</v>
      </c>
      <c r="C20" s="10">
        <v>3000</v>
      </c>
      <c r="D20" s="10"/>
      <c r="E20" s="9"/>
      <c r="F20" s="9"/>
      <c r="G20" s="9"/>
      <c r="H20" s="9"/>
      <c r="I20" s="9"/>
      <c r="J20" s="9"/>
      <c r="K20" s="239"/>
      <c r="L20" s="9"/>
      <c r="M20" s="9"/>
      <c r="N20" s="9"/>
      <c r="P20" s="39" t="s">
        <v>91</v>
      </c>
      <c r="Q20" s="10"/>
      <c r="S20" s="18" t="s">
        <v>614</v>
      </c>
      <c r="T20" s="18" t="s">
        <v>615</v>
      </c>
      <c r="U20" s="18">
        <v>0</v>
      </c>
      <c r="V20" s="18"/>
    </row>
    <row r="21" spans="1:22" x14ac:dyDescent="0.35">
      <c r="A21" s="9" t="s">
        <v>232</v>
      </c>
      <c r="B21" s="9" t="s">
        <v>616</v>
      </c>
      <c r="C21" s="10">
        <v>2500</v>
      </c>
      <c r="D21" s="10">
        <v>2500</v>
      </c>
      <c r="E21" s="9" t="s">
        <v>24</v>
      </c>
      <c r="F21" s="9" t="s">
        <v>42</v>
      </c>
      <c r="G21" s="9"/>
      <c r="H21" s="9"/>
      <c r="I21" s="9" t="s">
        <v>595</v>
      </c>
      <c r="J21" s="195">
        <v>45930</v>
      </c>
      <c r="K21" s="239">
        <v>2500</v>
      </c>
      <c r="L21" s="9" t="s">
        <v>233</v>
      </c>
      <c r="M21" s="9"/>
      <c r="N21" s="9" t="s">
        <v>234</v>
      </c>
      <c r="P21" s="39" t="s">
        <v>92</v>
      </c>
      <c r="Q21" s="10"/>
      <c r="S21" s="15"/>
      <c r="T21" s="15"/>
      <c r="U21" s="15"/>
      <c r="V21" s="15"/>
    </row>
    <row r="22" spans="1:22" x14ac:dyDescent="0.35">
      <c r="A22" s="9" t="s">
        <v>51</v>
      </c>
      <c r="B22" s="9" t="s">
        <v>616</v>
      </c>
      <c r="C22" s="10">
        <v>2500</v>
      </c>
      <c r="D22" s="10">
        <v>2500</v>
      </c>
      <c r="E22" s="9" t="s">
        <v>24</v>
      </c>
      <c r="F22" s="9" t="s">
        <v>78</v>
      </c>
      <c r="G22" s="9"/>
      <c r="H22" s="94" t="s">
        <v>27</v>
      </c>
      <c r="I22" s="9"/>
      <c r="J22" s="195">
        <v>45980</v>
      </c>
      <c r="K22" s="239">
        <v>2500</v>
      </c>
      <c r="L22" s="9" t="s">
        <v>79</v>
      </c>
      <c r="M22" s="9"/>
      <c r="N22" s="9" t="s">
        <v>80</v>
      </c>
      <c r="P22" s="39" t="s">
        <v>93</v>
      </c>
      <c r="Q22" s="10"/>
      <c r="S22" s="15"/>
      <c r="T22" s="15"/>
      <c r="U22" s="15"/>
      <c r="V22" s="15"/>
    </row>
    <row r="23" spans="1:22" ht="29" x14ac:dyDescent="0.35">
      <c r="A23" s="19" t="s">
        <v>243</v>
      </c>
      <c r="B23" s="5" t="s">
        <v>616</v>
      </c>
      <c r="C23" s="21">
        <v>2500</v>
      </c>
      <c r="D23" s="20">
        <v>2500</v>
      </c>
      <c r="E23" s="19" t="s">
        <v>24</v>
      </c>
      <c r="F23" s="19" t="s">
        <v>147</v>
      </c>
      <c r="G23" s="19"/>
      <c r="H23" s="19"/>
      <c r="I23" s="9" t="s">
        <v>595</v>
      </c>
      <c r="J23" s="19"/>
      <c r="K23" s="262"/>
      <c r="L23" s="19" t="s">
        <v>245</v>
      </c>
      <c r="M23" s="19"/>
      <c r="N23" s="258" t="s">
        <v>246</v>
      </c>
      <c r="P23" s="39" t="s">
        <v>94</v>
      </c>
      <c r="Q23" s="10"/>
      <c r="S23" s="15"/>
      <c r="T23" s="15"/>
      <c r="U23" s="15"/>
      <c r="V23" s="15"/>
    </row>
    <row r="24" spans="1:22" ht="29" x14ac:dyDescent="0.35">
      <c r="A24" s="9" t="s">
        <v>617</v>
      </c>
      <c r="B24" s="9" t="s">
        <v>616</v>
      </c>
      <c r="C24" s="10">
        <v>2500</v>
      </c>
      <c r="D24" s="10">
        <v>0</v>
      </c>
      <c r="E24" s="9" t="s">
        <v>95</v>
      </c>
      <c r="F24" s="9" t="s">
        <v>167</v>
      </c>
      <c r="G24" s="9" t="s">
        <v>618</v>
      </c>
      <c r="H24" s="9"/>
      <c r="I24" s="9">
        <v>0</v>
      </c>
      <c r="J24" s="9"/>
      <c r="K24" s="239"/>
      <c r="L24" s="9" t="s">
        <v>173</v>
      </c>
      <c r="M24" s="9"/>
      <c r="N24" s="87" t="s">
        <v>174</v>
      </c>
      <c r="P24" s="39" t="s">
        <v>95</v>
      </c>
      <c r="Q24" s="10">
        <v>5000</v>
      </c>
      <c r="S24" s="15"/>
      <c r="T24" s="15"/>
      <c r="U24" s="15"/>
      <c r="V24" s="15"/>
    </row>
    <row r="25" spans="1:22" x14ac:dyDescent="0.35">
      <c r="A25" s="9"/>
      <c r="B25" s="9" t="s">
        <v>619</v>
      </c>
      <c r="C25" s="10">
        <v>2500</v>
      </c>
      <c r="D25" s="10"/>
      <c r="E25" s="9"/>
      <c r="F25" s="9"/>
      <c r="G25" s="9"/>
      <c r="H25" s="9"/>
      <c r="I25" s="9"/>
      <c r="J25" s="9"/>
      <c r="K25" s="239"/>
      <c r="L25" s="9"/>
      <c r="M25" s="9"/>
      <c r="N25" s="9"/>
      <c r="P25" s="39" t="s">
        <v>96</v>
      </c>
      <c r="Q25" s="10"/>
      <c r="S25" s="15"/>
      <c r="T25" s="15"/>
      <c r="U25" s="15"/>
      <c r="V25" s="15"/>
    </row>
    <row r="26" spans="1:22" x14ac:dyDescent="0.35">
      <c r="A26" s="9"/>
      <c r="B26" s="9" t="s">
        <v>619</v>
      </c>
      <c r="C26" s="10">
        <v>2500</v>
      </c>
      <c r="D26" s="10"/>
      <c r="E26" s="9"/>
      <c r="F26" s="9"/>
      <c r="G26" s="9"/>
      <c r="H26" s="9"/>
      <c r="I26" s="9"/>
      <c r="J26" s="9"/>
      <c r="K26" s="239"/>
      <c r="L26" s="9"/>
      <c r="M26" s="9"/>
      <c r="N26" s="9"/>
      <c r="P26" s="39" t="s">
        <v>97</v>
      </c>
      <c r="Q26" s="10"/>
      <c r="S26" s="15"/>
      <c r="T26" s="15"/>
      <c r="U26" s="15"/>
      <c r="V26" s="15"/>
    </row>
    <row r="27" spans="1:22" x14ac:dyDescent="0.35">
      <c r="C27" s="21"/>
      <c r="D27" s="21"/>
      <c r="P27" s="39" t="s">
        <v>98</v>
      </c>
      <c r="Q27" s="10"/>
    </row>
    <row r="28" spans="1:22" x14ac:dyDescent="0.35">
      <c r="C28" s="21"/>
      <c r="D28" s="21"/>
      <c r="P28" s="45" t="s">
        <v>99</v>
      </c>
      <c r="Q28" s="46">
        <v>24000</v>
      </c>
    </row>
    <row r="29" spans="1:22" x14ac:dyDescent="0.35">
      <c r="C29" s="21"/>
      <c r="D29" s="21"/>
    </row>
    <row r="30" spans="1:22" x14ac:dyDescent="0.35">
      <c r="C30" s="21"/>
      <c r="D30" s="21"/>
      <c r="K30" s="29">
        <f>SUM(K9:K29)</f>
        <v>21500</v>
      </c>
    </row>
    <row r="31" spans="1:22" x14ac:dyDescent="0.35">
      <c r="C31" s="21"/>
      <c r="D31" s="21"/>
    </row>
    <row r="32" spans="1:22" x14ac:dyDescent="0.35">
      <c r="C32" s="21"/>
      <c r="D32" s="21"/>
    </row>
    <row r="33" spans="3:4" x14ac:dyDescent="0.35">
      <c r="C33" s="21"/>
      <c r="D33" s="21"/>
    </row>
    <row r="34" spans="3:4" x14ac:dyDescent="0.35">
      <c r="C34" s="21"/>
      <c r="D34" s="21"/>
    </row>
    <row r="35" spans="3:4" x14ac:dyDescent="0.35">
      <c r="C35" s="21"/>
      <c r="D35" s="21"/>
    </row>
    <row r="36" spans="3:4" x14ac:dyDescent="0.35">
      <c r="C36" s="21"/>
      <c r="D36" s="21"/>
    </row>
    <row r="37" spans="3:4" x14ac:dyDescent="0.35">
      <c r="C37" s="21"/>
      <c r="D37" s="21"/>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V26">
    <sortCondition ref="S9:S26"/>
  </sortState>
  <hyperlinks>
    <hyperlink ref="N10" r:id="rId2" display="mailto:jay@caldwellcares.com" xr:uid="{DE06E600-7040-4705-835B-A9AC0534B57F}"/>
    <hyperlink ref="N9" r:id="rId3" xr:uid="{819251A5-EFC8-4979-8770-6F18BC827528}"/>
    <hyperlink ref="N24" r:id="rId4" display="mailto:adam@cousinsfurniture.com" xr:uid="{7F046109-0F4E-4E3A-A785-FACD626C310F}"/>
    <hyperlink ref="N11" r:id="rId5" display="mailto:pmoon@meridiania.com" xr:uid="{51F4D55C-16D2-4781-BEA0-B9845A48D66A}"/>
    <hyperlink ref="N23" r:id="rId6" xr:uid="{2CCDDC1E-E15E-49F4-80EB-BC9DA62744F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6E397-0EB7-423C-ABF8-87722B4BA09E}">
  <dimension ref="A1:V317"/>
  <sheetViews>
    <sheetView workbookViewId="0">
      <pane ySplit="8" topLeftCell="A30" activePane="bottomLeft" state="frozen"/>
      <selection pane="bottomLeft" activeCell="A36" sqref="A36"/>
    </sheetView>
  </sheetViews>
  <sheetFormatPr defaultColWidth="48.26953125" defaultRowHeight="14.5" x14ac:dyDescent="0.35"/>
  <cols>
    <col min="1" max="1" width="33.26953125" style="5" bestFit="1" customWidth="1"/>
    <col min="2" max="2" width="14.453125" style="5" bestFit="1" customWidth="1"/>
    <col min="3" max="3" width="9.1796875" style="5" bestFit="1" customWidth="1"/>
    <col min="4" max="4" width="15.81640625" style="5" bestFit="1" customWidth="1"/>
    <col min="5" max="5" width="8.7265625" style="5" bestFit="1" customWidth="1"/>
    <col min="6" max="6" width="11.1796875" style="5" bestFit="1" customWidth="1"/>
    <col min="7" max="7" width="45.453125" style="5" bestFit="1" customWidth="1"/>
    <col min="8" max="8" width="16.26953125" style="5" bestFit="1" customWidth="1"/>
    <col min="9" max="9" width="10.1796875" style="5" bestFit="1" customWidth="1"/>
    <col min="10" max="10" width="8.453125" style="5" customWidth="1"/>
    <col min="11" max="11" width="14.453125" style="5" bestFit="1" customWidth="1"/>
    <col min="12" max="12" width="26.54296875" style="5" bestFit="1" customWidth="1"/>
    <col min="13" max="13" width="21.81640625" style="5" bestFit="1" customWidth="1"/>
    <col min="14" max="14" width="41.26953125" style="5" bestFit="1" customWidth="1"/>
    <col min="15" max="15" width="48.26953125" style="5"/>
    <col min="16" max="16" width="11" style="5" bestFit="1" customWidth="1"/>
    <col min="17" max="17" width="10.1796875" style="5" bestFit="1" customWidth="1"/>
    <col min="18" max="18" width="48.26953125" style="5"/>
    <col min="19" max="19" width="35.7265625" style="5" bestFit="1" customWidth="1"/>
    <col min="20" max="20" width="14.453125" style="5" bestFit="1" customWidth="1"/>
    <col min="21" max="21" width="15.81640625" style="5" bestFit="1" customWidth="1"/>
    <col min="22" max="22" width="8.7265625" style="5" bestFit="1" customWidth="1"/>
    <col min="23" max="16384" width="48.26953125" style="5"/>
  </cols>
  <sheetData>
    <row r="1" spans="1:22" x14ac:dyDescent="0.35">
      <c r="A1" s="4" t="s">
        <v>620</v>
      </c>
      <c r="B1" s="4">
        <v>2025</v>
      </c>
      <c r="S1" s="13" t="s">
        <v>620</v>
      </c>
      <c r="T1" s="4">
        <v>2024</v>
      </c>
      <c r="U1" s="15"/>
      <c r="V1" s="15"/>
    </row>
    <row r="2" spans="1:22" x14ac:dyDescent="0.35">
      <c r="A2" s="6" t="s">
        <v>1</v>
      </c>
      <c r="B2" s="7">
        <f>SUM(D9:D69)</f>
        <v>27650</v>
      </c>
      <c r="G2" s="47" t="s">
        <v>475</v>
      </c>
      <c r="K2" s="11" t="s">
        <v>2</v>
      </c>
      <c r="S2" s="16" t="s">
        <v>1</v>
      </c>
      <c r="T2" s="7">
        <f>SUM(U9:U67)</f>
        <v>30250</v>
      </c>
      <c r="U2" s="15"/>
      <c r="V2" s="15"/>
    </row>
    <row r="3" spans="1:22" x14ac:dyDescent="0.35">
      <c r="A3" s="6" t="s">
        <v>3</v>
      </c>
      <c r="B3" s="7">
        <v>20000</v>
      </c>
      <c r="K3" s="7">
        <f>MIN(K69-B2)</f>
        <v>0</v>
      </c>
      <c r="S3" s="16" t="s">
        <v>3</v>
      </c>
      <c r="T3" s="7">
        <v>17500</v>
      </c>
      <c r="U3" s="15"/>
      <c r="V3" s="15"/>
    </row>
    <row r="4" spans="1:22" x14ac:dyDescent="0.35">
      <c r="A4" s="6" t="s">
        <v>4</v>
      </c>
      <c r="B4" s="7">
        <f>MIN(B2-B3)</f>
        <v>7650</v>
      </c>
      <c r="K4" s="42">
        <f>K69/B2</f>
        <v>1</v>
      </c>
      <c r="S4" s="16" t="s">
        <v>4</v>
      </c>
      <c r="T4" s="7">
        <f>MIN(T2-T3)</f>
        <v>12750</v>
      </c>
      <c r="U4" s="15"/>
      <c r="V4" s="15"/>
    </row>
    <row r="5" spans="1:22" x14ac:dyDescent="0.35">
      <c r="A5" s="6" t="s">
        <v>5</v>
      </c>
      <c r="B5" s="7">
        <v>34000</v>
      </c>
      <c r="S5" s="16" t="s">
        <v>5</v>
      </c>
      <c r="T5" s="7">
        <v>30000</v>
      </c>
      <c r="U5" s="15"/>
      <c r="V5" s="15"/>
    </row>
    <row r="6" spans="1:22" x14ac:dyDescent="0.35">
      <c r="A6" s="6" t="s">
        <v>4</v>
      </c>
      <c r="B6" s="7">
        <f>MIN(B2-B5)</f>
        <v>-6350</v>
      </c>
      <c r="S6" s="16" t="s">
        <v>4</v>
      </c>
      <c r="T6" s="7">
        <f>MIN(T2-T5)</f>
        <v>250</v>
      </c>
      <c r="U6" s="15"/>
      <c r="V6" s="15"/>
    </row>
    <row r="7" spans="1:22" x14ac:dyDescent="0.35">
      <c r="S7" s="15"/>
      <c r="T7" s="15"/>
      <c r="U7" s="15"/>
      <c r="V7" s="15"/>
    </row>
    <row r="8" spans="1:22" ht="29"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621</v>
      </c>
      <c r="Q8" s="44" t="s">
        <v>20</v>
      </c>
      <c r="S8" s="17" t="s">
        <v>6</v>
      </c>
      <c r="T8" s="17" t="s">
        <v>21</v>
      </c>
      <c r="U8" s="17" t="s">
        <v>9</v>
      </c>
      <c r="V8" s="17" t="s">
        <v>10</v>
      </c>
    </row>
    <row r="9" spans="1:22" x14ac:dyDescent="0.35">
      <c r="A9" s="9"/>
      <c r="B9" s="9" t="s">
        <v>23</v>
      </c>
      <c r="C9" s="10">
        <v>5000</v>
      </c>
      <c r="D9" s="10"/>
      <c r="E9" s="9"/>
      <c r="F9" s="9"/>
      <c r="G9" s="9"/>
      <c r="H9" s="9"/>
      <c r="I9" s="9"/>
      <c r="J9" s="9"/>
      <c r="K9" s="10"/>
      <c r="L9" s="9"/>
      <c r="M9" s="9"/>
      <c r="N9" s="9"/>
      <c r="P9" s="39" t="s">
        <v>24</v>
      </c>
      <c r="Q9" s="10">
        <v>5500</v>
      </c>
      <c r="S9" s="84" t="s">
        <v>31</v>
      </c>
      <c r="T9" s="84" t="s">
        <v>622</v>
      </c>
      <c r="U9" s="55">
        <v>1000</v>
      </c>
      <c r="V9" s="84" t="s">
        <v>37</v>
      </c>
    </row>
    <row r="10" spans="1:22" x14ac:dyDescent="0.35">
      <c r="A10" s="9" t="s">
        <v>623</v>
      </c>
      <c r="B10" s="9" t="s">
        <v>32</v>
      </c>
      <c r="C10" s="10">
        <v>2500</v>
      </c>
      <c r="D10" s="10">
        <v>2500</v>
      </c>
      <c r="E10" s="9" t="s">
        <v>92</v>
      </c>
      <c r="F10" s="9" t="s">
        <v>624</v>
      </c>
      <c r="G10" s="9"/>
      <c r="H10" s="9"/>
      <c r="I10" s="9"/>
      <c r="J10" s="9" t="s">
        <v>625</v>
      </c>
      <c r="K10" s="10">
        <v>2500</v>
      </c>
      <c r="L10" s="9" t="s">
        <v>626</v>
      </c>
      <c r="M10" s="9"/>
      <c r="N10" s="87" t="s">
        <v>627</v>
      </c>
      <c r="O10" s="21"/>
      <c r="P10" s="39" t="s">
        <v>37</v>
      </c>
      <c r="Q10" s="10">
        <v>2700</v>
      </c>
      <c r="S10" s="18" t="s">
        <v>628</v>
      </c>
      <c r="T10" s="18" t="s">
        <v>622</v>
      </c>
      <c r="U10" s="10">
        <v>600</v>
      </c>
      <c r="V10" s="18" t="s">
        <v>93</v>
      </c>
    </row>
    <row r="11" spans="1:22" x14ac:dyDescent="0.35">
      <c r="A11" s="9"/>
      <c r="B11" s="9" t="s">
        <v>32</v>
      </c>
      <c r="C11" s="10">
        <v>2500</v>
      </c>
      <c r="D11" s="10"/>
      <c r="E11" s="9"/>
      <c r="F11" s="9"/>
      <c r="G11" s="9"/>
      <c r="H11" s="9"/>
      <c r="I11" s="9"/>
      <c r="J11" s="9"/>
      <c r="K11" s="10"/>
      <c r="L11" s="9"/>
      <c r="M11" s="9"/>
      <c r="N11" s="9"/>
      <c r="O11" s="21"/>
      <c r="P11" s="39" t="s">
        <v>47</v>
      </c>
      <c r="Q11" s="10"/>
      <c r="S11" s="84" t="s">
        <v>108</v>
      </c>
      <c r="T11" s="84" t="s">
        <v>629</v>
      </c>
      <c r="U11" s="55">
        <v>0</v>
      </c>
      <c r="V11" s="84" t="s">
        <v>95</v>
      </c>
    </row>
    <row r="12" spans="1:22" x14ac:dyDescent="0.35">
      <c r="A12" s="9" t="s">
        <v>485</v>
      </c>
      <c r="B12" s="9" t="s">
        <v>486</v>
      </c>
      <c r="C12" s="10">
        <v>1500</v>
      </c>
      <c r="D12" s="10">
        <v>1000</v>
      </c>
      <c r="E12" s="9" t="s">
        <v>92</v>
      </c>
      <c r="F12" s="9" t="s">
        <v>215</v>
      </c>
      <c r="G12" s="9"/>
      <c r="H12" s="9"/>
      <c r="I12" s="9"/>
      <c r="J12" s="9" t="s">
        <v>630</v>
      </c>
      <c r="K12" s="10">
        <v>1000</v>
      </c>
      <c r="L12" s="9" t="s">
        <v>488</v>
      </c>
      <c r="M12" s="9"/>
      <c r="N12" s="87" t="s">
        <v>489</v>
      </c>
      <c r="O12" s="21"/>
      <c r="P12" s="39" t="s">
        <v>50</v>
      </c>
      <c r="Q12" s="10">
        <v>1800</v>
      </c>
      <c r="S12" s="121" t="s">
        <v>479</v>
      </c>
      <c r="T12" s="121" t="s">
        <v>622</v>
      </c>
      <c r="U12" s="113">
        <v>600</v>
      </c>
      <c r="V12" s="121" t="s">
        <v>96</v>
      </c>
    </row>
    <row r="13" spans="1:22" x14ac:dyDescent="0.35">
      <c r="A13" s="9" t="s">
        <v>40</v>
      </c>
      <c r="B13" s="9" t="s">
        <v>631</v>
      </c>
      <c r="C13" s="10">
        <v>1000</v>
      </c>
      <c r="D13" s="10">
        <v>1350</v>
      </c>
      <c r="E13" s="9" t="s">
        <v>37</v>
      </c>
      <c r="F13" s="9" t="s">
        <v>42</v>
      </c>
      <c r="G13" s="9" t="s">
        <v>632</v>
      </c>
      <c r="H13" s="94" t="s">
        <v>27</v>
      </c>
      <c r="I13" s="9"/>
      <c r="J13" s="9" t="s">
        <v>44</v>
      </c>
      <c r="K13" s="10">
        <v>1350</v>
      </c>
      <c r="L13" s="9" t="s">
        <v>45</v>
      </c>
      <c r="M13" s="9"/>
      <c r="N13" s="9" t="s">
        <v>46</v>
      </c>
      <c r="O13" s="21"/>
      <c r="P13" s="39" t="s">
        <v>56</v>
      </c>
      <c r="Q13" s="10">
        <v>600</v>
      </c>
      <c r="S13" s="18" t="s">
        <v>124</v>
      </c>
      <c r="T13" s="18" t="s">
        <v>32</v>
      </c>
      <c r="U13" s="10">
        <v>2500</v>
      </c>
      <c r="V13" s="18" t="s">
        <v>92</v>
      </c>
    </row>
    <row r="14" spans="1:22" ht="29" x14ac:dyDescent="0.35">
      <c r="A14" s="9" t="s">
        <v>194</v>
      </c>
      <c r="B14" s="9" t="s">
        <v>631</v>
      </c>
      <c r="C14" s="10">
        <v>1000</v>
      </c>
      <c r="D14" s="10">
        <v>1200</v>
      </c>
      <c r="E14" s="9" t="s">
        <v>50</v>
      </c>
      <c r="F14" s="9" t="s">
        <v>195</v>
      </c>
      <c r="G14" s="9" t="s">
        <v>633</v>
      </c>
      <c r="H14" s="94" t="s">
        <v>27</v>
      </c>
      <c r="I14" s="9"/>
      <c r="J14" s="9" t="s">
        <v>439</v>
      </c>
      <c r="K14" s="10">
        <v>1200</v>
      </c>
      <c r="L14" s="9" t="s">
        <v>196</v>
      </c>
      <c r="M14" s="9"/>
      <c r="N14" s="9" t="s">
        <v>197</v>
      </c>
      <c r="O14" s="21"/>
      <c r="P14" s="39" t="s">
        <v>62</v>
      </c>
      <c r="Q14" s="10"/>
      <c r="S14" s="18" t="s">
        <v>634</v>
      </c>
      <c r="T14" s="18" t="s">
        <v>629</v>
      </c>
      <c r="U14" s="10">
        <v>350</v>
      </c>
      <c r="V14" s="18" t="s">
        <v>93</v>
      </c>
    </row>
    <row r="15" spans="1:22" x14ac:dyDescent="0.35">
      <c r="A15" s="9"/>
      <c r="B15" s="9" t="s">
        <v>631</v>
      </c>
      <c r="C15" s="10">
        <v>1000</v>
      </c>
      <c r="D15" s="10"/>
      <c r="E15" s="9"/>
      <c r="F15" s="9"/>
      <c r="G15" s="9"/>
      <c r="H15" s="9"/>
      <c r="I15" s="9"/>
      <c r="J15" s="9"/>
      <c r="K15" s="10"/>
      <c r="L15" s="9"/>
      <c r="M15" s="9"/>
      <c r="N15" s="9"/>
      <c r="O15" s="21"/>
      <c r="P15" s="39" t="s">
        <v>68</v>
      </c>
      <c r="Q15" s="10">
        <v>2250</v>
      </c>
      <c r="S15" s="121" t="s">
        <v>293</v>
      </c>
      <c r="T15" s="121" t="s">
        <v>629</v>
      </c>
      <c r="U15" s="113">
        <v>300</v>
      </c>
      <c r="V15" s="121"/>
    </row>
    <row r="16" spans="1:22" x14ac:dyDescent="0.35">
      <c r="A16" s="9" t="s">
        <v>457</v>
      </c>
      <c r="B16" s="9" t="s">
        <v>223</v>
      </c>
      <c r="C16" s="10">
        <v>1000</v>
      </c>
      <c r="D16" s="10">
        <v>1000</v>
      </c>
      <c r="E16" s="9" t="s">
        <v>37</v>
      </c>
      <c r="F16" s="9" t="s">
        <v>25</v>
      </c>
      <c r="G16" s="9"/>
      <c r="H16" s="94" t="s">
        <v>27</v>
      </c>
      <c r="I16" s="9"/>
      <c r="J16" s="9" t="s">
        <v>635</v>
      </c>
      <c r="K16" s="10">
        <v>1000</v>
      </c>
      <c r="L16" s="9" t="s">
        <v>459</v>
      </c>
      <c r="M16" s="9"/>
      <c r="N16" s="9" t="s">
        <v>460</v>
      </c>
      <c r="O16" s="21"/>
      <c r="P16" s="39" t="s">
        <v>76</v>
      </c>
      <c r="Q16" s="10">
        <v>1050</v>
      </c>
      <c r="S16" s="84" t="s">
        <v>132</v>
      </c>
      <c r="T16" s="84" t="s">
        <v>629</v>
      </c>
      <c r="U16" s="55">
        <v>450</v>
      </c>
      <c r="V16" s="84"/>
    </row>
    <row r="17" spans="1:22" x14ac:dyDescent="0.35">
      <c r="A17" s="9" t="s">
        <v>636</v>
      </c>
      <c r="B17" s="9" t="s">
        <v>223</v>
      </c>
      <c r="C17" s="10">
        <v>1000</v>
      </c>
      <c r="D17" s="10">
        <v>1000</v>
      </c>
      <c r="E17" s="9" t="s">
        <v>92</v>
      </c>
      <c r="F17" s="9" t="s">
        <v>637</v>
      </c>
      <c r="G17" s="9"/>
      <c r="H17" s="9"/>
      <c r="I17" s="9"/>
      <c r="J17" s="9" t="s">
        <v>638</v>
      </c>
      <c r="K17" s="10">
        <v>1000</v>
      </c>
      <c r="L17" s="9" t="s">
        <v>379</v>
      </c>
      <c r="M17" s="9"/>
      <c r="N17" s="86" t="s">
        <v>639</v>
      </c>
      <c r="O17" s="21"/>
      <c r="P17" s="39" t="s">
        <v>81</v>
      </c>
      <c r="Q17" s="10"/>
      <c r="S17" s="84" t="s">
        <v>490</v>
      </c>
      <c r="T17" s="84" t="s">
        <v>622</v>
      </c>
      <c r="U17" s="55">
        <v>600</v>
      </c>
      <c r="V17" s="84" t="s">
        <v>92</v>
      </c>
    </row>
    <row r="18" spans="1:22" x14ac:dyDescent="0.35">
      <c r="A18" s="9" t="s">
        <v>640</v>
      </c>
      <c r="B18" s="9" t="s">
        <v>188</v>
      </c>
      <c r="C18" s="10">
        <v>1000</v>
      </c>
      <c r="D18" s="10">
        <v>1000</v>
      </c>
      <c r="E18" s="9" t="s">
        <v>24</v>
      </c>
      <c r="F18" s="9" t="s">
        <v>641</v>
      </c>
      <c r="G18" s="9"/>
      <c r="H18" s="9"/>
      <c r="I18" s="9"/>
      <c r="J18" s="9" t="s">
        <v>642</v>
      </c>
      <c r="K18" s="10">
        <v>1000</v>
      </c>
      <c r="L18" s="9"/>
      <c r="M18" s="9"/>
      <c r="N18" s="9"/>
      <c r="O18" s="21"/>
      <c r="P18" s="39" t="s">
        <v>86</v>
      </c>
      <c r="Q18" s="10"/>
      <c r="S18" s="84" t="s">
        <v>157</v>
      </c>
      <c r="T18" s="84" t="s">
        <v>622</v>
      </c>
      <c r="U18" s="55">
        <v>600</v>
      </c>
      <c r="V18" s="84" t="s">
        <v>93</v>
      </c>
    </row>
    <row r="19" spans="1:22" x14ac:dyDescent="0.35">
      <c r="A19" s="9" t="s">
        <v>57</v>
      </c>
      <c r="B19" s="9" t="s">
        <v>622</v>
      </c>
      <c r="C19" s="10">
        <v>600</v>
      </c>
      <c r="D19" s="10">
        <v>500</v>
      </c>
      <c r="E19" s="9" t="s">
        <v>24</v>
      </c>
      <c r="F19" s="9" t="s">
        <v>58</v>
      </c>
      <c r="G19" s="9"/>
      <c r="H19" s="94" t="s">
        <v>27</v>
      </c>
      <c r="I19" s="9"/>
      <c r="J19" s="195">
        <v>45903</v>
      </c>
      <c r="K19" s="10">
        <v>500</v>
      </c>
      <c r="L19" s="9" t="s">
        <v>60</v>
      </c>
      <c r="M19" s="9"/>
      <c r="N19" s="9" t="s">
        <v>61</v>
      </c>
      <c r="O19" s="21"/>
      <c r="P19" s="39" t="s">
        <v>90</v>
      </c>
      <c r="Q19" s="10">
        <v>0</v>
      </c>
      <c r="S19" s="84" t="s">
        <v>170</v>
      </c>
      <c r="T19" s="84" t="s">
        <v>629</v>
      </c>
      <c r="U19" s="55">
        <v>0</v>
      </c>
      <c r="V19" s="84" t="s">
        <v>37</v>
      </c>
    </row>
    <row r="20" spans="1:22" ht="43.5" x14ac:dyDescent="0.35">
      <c r="A20" s="9" t="s">
        <v>276</v>
      </c>
      <c r="B20" s="9" t="s">
        <v>622</v>
      </c>
      <c r="C20" s="10">
        <v>600</v>
      </c>
      <c r="D20" s="10">
        <v>600</v>
      </c>
      <c r="E20" s="9" t="s">
        <v>68</v>
      </c>
      <c r="F20" s="9" t="s">
        <v>492</v>
      </c>
      <c r="G20" s="9"/>
      <c r="H20" s="9"/>
      <c r="I20" s="9"/>
      <c r="J20" s="9" t="s">
        <v>458</v>
      </c>
      <c r="K20" s="10">
        <v>600</v>
      </c>
      <c r="L20" s="9" t="s">
        <v>278</v>
      </c>
      <c r="M20" s="9"/>
      <c r="N20" s="9" t="s">
        <v>294</v>
      </c>
      <c r="O20" s="21"/>
      <c r="P20" s="39" t="s">
        <v>91</v>
      </c>
      <c r="Q20" s="10"/>
      <c r="S20" s="18" t="s">
        <v>181</v>
      </c>
      <c r="T20" s="18" t="s">
        <v>629</v>
      </c>
      <c r="U20" s="10">
        <v>0</v>
      </c>
      <c r="V20" s="18"/>
    </row>
    <row r="21" spans="1:22" x14ac:dyDescent="0.35">
      <c r="A21" s="9" t="s">
        <v>317</v>
      </c>
      <c r="B21" s="9" t="s">
        <v>622</v>
      </c>
      <c r="C21" s="10">
        <v>600</v>
      </c>
      <c r="D21" s="10">
        <v>600</v>
      </c>
      <c r="E21" s="9" t="s">
        <v>68</v>
      </c>
      <c r="F21" s="9" t="s">
        <v>643</v>
      </c>
      <c r="G21" s="9"/>
      <c r="H21" s="9"/>
      <c r="I21" s="9"/>
      <c r="J21" s="9" t="s">
        <v>644</v>
      </c>
      <c r="K21" s="10">
        <v>600</v>
      </c>
      <c r="L21" s="9" t="s">
        <v>645</v>
      </c>
      <c r="M21" s="9"/>
      <c r="N21" s="87" t="s">
        <v>646</v>
      </c>
      <c r="O21" s="21"/>
      <c r="P21" s="39" t="s">
        <v>92</v>
      </c>
      <c r="Q21" s="10">
        <v>7350</v>
      </c>
      <c r="S21" s="121" t="s">
        <v>187</v>
      </c>
      <c r="T21" s="121" t="s">
        <v>629</v>
      </c>
      <c r="U21" s="113">
        <v>300</v>
      </c>
      <c r="V21" s="121"/>
    </row>
    <row r="22" spans="1:22" x14ac:dyDescent="0.35">
      <c r="A22" s="9" t="s">
        <v>48</v>
      </c>
      <c r="B22" s="9" t="s">
        <v>622</v>
      </c>
      <c r="C22" s="10">
        <v>600</v>
      </c>
      <c r="D22" s="10">
        <v>500</v>
      </c>
      <c r="E22" s="9" t="s">
        <v>24</v>
      </c>
      <c r="F22" s="9" t="s">
        <v>64</v>
      </c>
      <c r="G22" s="9"/>
      <c r="H22" s="9"/>
      <c r="I22" s="9"/>
      <c r="J22" s="9" t="s">
        <v>125</v>
      </c>
      <c r="K22" s="10">
        <v>500</v>
      </c>
      <c r="L22" s="9" t="s">
        <v>66</v>
      </c>
      <c r="M22" s="9"/>
      <c r="N22" s="87" t="s">
        <v>67</v>
      </c>
      <c r="O22" s="21"/>
      <c r="P22" s="39" t="s">
        <v>93</v>
      </c>
      <c r="Q22" s="10">
        <v>3950</v>
      </c>
      <c r="S22" s="84" t="s">
        <v>640</v>
      </c>
      <c r="T22" s="84" t="s">
        <v>188</v>
      </c>
      <c r="U22" s="55">
        <v>1000</v>
      </c>
      <c r="V22" s="84" t="s">
        <v>37</v>
      </c>
    </row>
    <row r="23" spans="1:22" x14ac:dyDescent="0.35">
      <c r="A23" s="9" t="s">
        <v>232</v>
      </c>
      <c r="B23" s="9" t="s">
        <v>622</v>
      </c>
      <c r="C23" s="10">
        <v>600</v>
      </c>
      <c r="D23" s="10">
        <v>500</v>
      </c>
      <c r="E23" s="9" t="s">
        <v>24</v>
      </c>
      <c r="F23" s="9" t="s">
        <v>42</v>
      </c>
      <c r="G23" s="9"/>
      <c r="H23" s="9"/>
      <c r="I23" s="9"/>
      <c r="J23" s="9" t="s">
        <v>158</v>
      </c>
      <c r="K23" s="10">
        <v>500</v>
      </c>
      <c r="L23" s="9" t="s">
        <v>233</v>
      </c>
      <c r="M23" s="9"/>
      <c r="N23" s="9" t="s">
        <v>234</v>
      </c>
      <c r="O23" s="21"/>
      <c r="P23" s="39" t="s">
        <v>94</v>
      </c>
      <c r="Q23" s="10"/>
      <c r="S23" s="18" t="s">
        <v>647</v>
      </c>
      <c r="T23" s="18" t="s">
        <v>629</v>
      </c>
      <c r="U23" s="10">
        <v>0</v>
      </c>
      <c r="V23" s="18"/>
    </row>
    <row r="24" spans="1:22" x14ac:dyDescent="0.35">
      <c r="A24" s="9" t="s">
        <v>235</v>
      </c>
      <c r="B24" s="9" t="s">
        <v>622</v>
      </c>
      <c r="C24" s="10">
        <v>600</v>
      </c>
      <c r="D24" s="10">
        <v>500</v>
      </c>
      <c r="E24" s="9" t="s">
        <v>24</v>
      </c>
      <c r="F24" s="9" t="s">
        <v>236</v>
      </c>
      <c r="G24" s="9"/>
      <c r="H24" s="9"/>
      <c r="I24" s="9"/>
      <c r="J24" s="9" t="s">
        <v>648</v>
      </c>
      <c r="K24" s="10">
        <v>500</v>
      </c>
      <c r="L24" s="9" t="s">
        <v>237</v>
      </c>
      <c r="M24" s="9"/>
      <c r="N24" s="9" t="s">
        <v>238</v>
      </c>
      <c r="O24" s="21"/>
      <c r="P24" s="39" t="s">
        <v>95</v>
      </c>
      <c r="Q24" s="10">
        <v>0</v>
      </c>
      <c r="S24" s="84" t="s">
        <v>48</v>
      </c>
      <c r="T24" s="84" t="s">
        <v>622</v>
      </c>
      <c r="U24" s="55">
        <v>500</v>
      </c>
      <c r="V24" s="84" t="s">
        <v>24</v>
      </c>
    </row>
    <row r="25" spans="1:22" ht="29" x14ac:dyDescent="0.35">
      <c r="A25" s="9" t="s">
        <v>31</v>
      </c>
      <c r="B25" s="9" t="s">
        <v>622</v>
      </c>
      <c r="C25" s="10">
        <v>600</v>
      </c>
      <c r="D25" s="10">
        <v>1000</v>
      </c>
      <c r="E25" s="9" t="s">
        <v>24</v>
      </c>
      <c r="F25" s="9" t="s">
        <v>33</v>
      </c>
      <c r="G25" s="9"/>
      <c r="H25" s="9"/>
      <c r="I25" s="9"/>
      <c r="J25" s="9" t="s">
        <v>649</v>
      </c>
      <c r="K25" s="10">
        <v>1000</v>
      </c>
      <c r="L25" s="9" t="s">
        <v>35</v>
      </c>
      <c r="M25" s="9"/>
      <c r="N25" s="87" t="s">
        <v>36</v>
      </c>
      <c r="O25" s="21"/>
      <c r="P25" s="39" t="s">
        <v>96</v>
      </c>
      <c r="Q25" s="10">
        <v>2000</v>
      </c>
      <c r="S25" s="84" t="s">
        <v>204</v>
      </c>
      <c r="T25" s="84" t="s">
        <v>629</v>
      </c>
      <c r="U25" s="55">
        <v>0</v>
      </c>
      <c r="V25" s="84" t="s">
        <v>37</v>
      </c>
    </row>
    <row r="26" spans="1:22" ht="29" x14ac:dyDescent="0.35">
      <c r="A26" s="9" t="s">
        <v>364</v>
      </c>
      <c r="B26" s="9" t="s">
        <v>622</v>
      </c>
      <c r="C26" s="10">
        <v>600</v>
      </c>
      <c r="D26" s="10">
        <v>600</v>
      </c>
      <c r="E26" s="9" t="s">
        <v>93</v>
      </c>
      <c r="F26" s="9" t="s">
        <v>353</v>
      </c>
      <c r="G26" s="9"/>
      <c r="H26" s="9"/>
      <c r="I26" s="9"/>
      <c r="J26" s="9" t="s">
        <v>650</v>
      </c>
      <c r="K26" s="10">
        <v>600</v>
      </c>
      <c r="L26" s="27" t="s">
        <v>365</v>
      </c>
      <c r="M26" s="27"/>
      <c r="N26" s="155" t="s">
        <v>366</v>
      </c>
      <c r="O26" s="21"/>
      <c r="P26" s="39" t="s">
        <v>97</v>
      </c>
      <c r="Q26" s="10"/>
      <c r="S26" s="18" t="s">
        <v>242</v>
      </c>
      <c r="T26" s="18" t="s">
        <v>629</v>
      </c>
      <c r="U26" s="10">
        <v>300</v>
      </c>
      <c r="V26" s="18" t="s">
        <v>86</v>
      </c>
    </row>
    <row r="27" spans="1:22" x14ac:dyDescent="0.35">
      <c r="A27" s="9" t="s">
        <v>501</v>
      </c>
      <c r="B27" s="9" t="s">
        <v>622</v>
      </c>
      <c r="C27" s="10">
        <v>600</v>
      </c>
      <c r="D27" s="10">
        <v>600</v>
      </c>
      <c r="E27" s="9" t="s">
        <v>92</v>
      </c>
      <c r="F27" s="9" t="s">
        <v>502</v>
      </c>
      <c r="G27" s="9"/>
      <c r="H27" s="94" t="s">
        <v>27</v>
      </c>
      <c r="I27" s="9"/>
      <c r="J27" s="9" t="s">
        <v>625</v>
      </c>
      <c r="K27" s="10">
        <v>175</v>
      </c>
      <c r="L27" s="9" t="s">
        <v>504</v>
      </c>
      <c r="M27" s="9"/>
      <c r="N27" s="87" t="s">
        <v>505</v>
      </c>
      <c r="O27" s="21"/>
      <c r="P27" s="39" t="s">
        <v>98</v>
      </c>
      <c r="Q27" s="10">
        <v>450</v>
      </c>
      <c r="S27" s="121" t="s">
        <v>247</v>
      </c>
      <c r="T27" s="121" t="s">
        <v>622</v>
      </c>
      <c r="U27" s="113">
        <v>600</v>
      </c>
      <c r="V27" s="121" t="s">
        <v>93</v>
      </c>
    </row>
    <row r="28" spans="1:22" x14ac:dyDescent="0.35">
      <c r="A28" s="43"/>
      <c r="B28" s="43"/>
      <c r="C28" s="43"/>
      <c r="D28" s="43"/>
      <c r="E28" s="43"/>
      <c r="F28" s="43"/>
      <c r="G28" s="43"/>
      <c r="H28" s="43"/>
      <c r="I28" s="43"/>
      <c r="J28" s="5" t="s">
        <v>290</v>
      </c>
      <c r="K28" s="21">
        <v>425</v>
      </c>
      <c r="L28" s="43"/>
      <c r="M28" s="43"/>
      <c r="N28" s="43"/>
      <c r="O28" s="21"/>
      <c r="P28" s="45" t="s">
        <v>99</v>
      </c>
      <c r="Q28" s="46">
        <v>27650</v>
      </c>
      <c r="S28" s="121" t="s">
        <v>260</v>
      </c>
      <c r="T28" s="121" t="s">
        <v>622</v>
      </c>
      <c r="U28" s="113">
        <v>600</v>
      </c>
      <c r="V28" s="121" t="s">
        <v>56</v>
      </c>
    </row>
    <row r="29" spans="1:22" ht="29" x14ac:dyDescent="0.35">
      <c r="A29" s="9" t="s">
        <v>395</v>
      </c>
      <c r="B29" s="9" t="s">
        <v>622</v>
      </c>
      <c r="C29" s="10">
        <v>600</v>
      </c>
      <c r="D29" s="10">
        <v>600</v>
      </c>
      <c r="E29" s="9" t="s">
        <v>96</v>
      </c>
      <c r="F29" s="9" t="s">
        <v>161</v>
      </c>
      <c r="G29" s="9"/>
      <c r="H29" s="9"/>
      <c r="I29" s="9"/>
      <c r="J29" s="9" t="s">
        <v>651</v>
      </c>
      <c r="K29" s="10">
        <v>600</v>
      </c>
      <c r="L29" s="9" t="s">
        <v>396</v>
      </c>
      <c r="M29" s="9"/>
      <c r="N29" s="87" t="s">
        <v>397</v>
      </c>
      <c r="O29" s="21"/>
      <c r="S29" s="18" t="s">
        <v>410</v>
      </c>
      <c r="T29" s="18" t="s">
        <v>629</v>
      </c>
      <c r="U29" s="10">
        <v>0</v>
      </c>
      <c r="V29" s="18"/>
    </row>
    <row r="30" spans="1:22" ht="29" x14ac:dyDescent="0.35">
      <c r="A30" s="9" t="s">
        <v>507</v>
      </c>
      <c r="B30" s="9" t="s">
        <v>622</v>
      </c>
      <c r="C30" s="10">
        <v>600</v>
      </c>
      <c r="D30" s="10">
        <v>600</v>
      </c>
      <c r="E30" s="9" t="s">
        <v>50</v>
      </c>
      <c r="F30" s="9" t="s">
        <v>381</v>
      </c>
      <c r="G30" s="9"/>
      <c r="H30" s="94" t="s">
        <v>27</v>
      </c>
      <c r="I30" s="9"/>
      <c r="J30" s="9" t="s">
        <v>652</v>
      </c>
      <c r="K30" s="10">
        <v>600</v>
      </c>
      <c r="L30" s="9" t="s">
        <v>508</v>
      </c>
      <c r="M30" s="9"/>
      <c r="N30" s="9" t="s">
        <v>509</v>
      </c>
      <c r="O30" s="21"/>
      <c r="S30" s="84" t="s">
        <v>501</v>
      </c>
      <c r="T30" s="84" t="s">
        <v>622</v>
      </c>
      <c r="U30" s="55">
        <v>600</v>
      </c>
      <c r="V30" s="84" t="s">
        <v>93</v>
      </c>
    </row>
    <row r="31" spans="1:22" ht="29" x14ac:dyDescent="0.35">
      <c r="A31" s="9" t="s">
        <v>130</v>
      </c>
      <c r="B31" s="9" t="s">
        <v>622</v>
      </c>
      <c r="C31" s="10">
        <v>600</v>
      </c>
      <c r="D31" s="10">
        <v>600</v>
      </c>
      <c r="E31" s="9" t="s">
        <v>56</v>
      </c>
      <c r="F31" s="9" t="s">
        <v>167</v>
      </c>
      <c r="G31" s="145" t="s">
        <v>653</v>
      </c>
      <c r="H31" s="9"/>
      <c r="I31" s="9"/>
      <c r="J31" s="9" t="s">
        <v>438</v>
      </c>
      <c r="K31" s="10">
        <v>600</v>
      </c>
      <c r="L31" s="9" t="s">
        <v>512</v>
      </c>
      <c r="M31" s="9"/>
      <c r="N31" s="9" t="s">
        <v>513</v>
      </c>
      <c r="O31" s="21"/>
      <c r="S31" s="121" t="s">
        <v>654</v>
      </c>
      <c r="T31" s="121" t="s">
        <v>629</v>
      </c>
      <c r="U31" s="113">
        <v>350</v>
      </c>
      <c r="V31" s="121" t="s">
        <v>92</v>
      </c>
    </row>
    <row r="32" spans="1:22" x14ac:dyDescent="0.35">
      <c r="A32" s="9" t="s">
        <v>157</v>
      </c>
      <c r="B32" s="9" t="s">
        <v>622</v>
      </c>
      <c r="C32" s="10">
        <v>600</v>
      </c>
      <c r="D32" s="10">
        <v>600</v>
      </c>
      <c r="E32" s="9" t="s">
        <v>92</v>
      </c>
      <c r="F32" s="9" t="s">
        <v>384</v>
      </c>
      <c r="G32" s="9"/>
      <c r="H32" s="9"/>
      <c r="I32" s="9"/>
      <c r="J32" s="9" t="s">
        <v>73</v>
      </c>
      <c r="K32" s="10">
        <v>600</v>
      </c>
      <c r="L32" s="9" t="s">
        <v>455</v>
      </c>
      <c r="M32" s="9"/>
      <c r="N32" s="87" t="s">
        <v>456</v>
      </c>
      <c r="O32" s="21"/>
      <c r="S32" s="84" t="s">
        <v>243</v>
      </c>
      <c r="T32" s="84" t="s">
        <v>629</v>
      </c>
      <c r="U32" s="55">
        <v>350</v>
      </c>
      <c r="V32" s="84" t="s">
        <v>37</v>
      </c>
    </row>
    <row r="33" spans="1:22" x14ac:dyDescent="0.35">
      <c r="A33" s="9" t="s">
        <v>22</v>
      </c>
      <c r="B33" s="9" t="s">
        <v>622</v>
      </c>
      <c r="C33" s="10">
        <v>600</v>
      </c>
      <c r="D33" s="10">
        <v>500</v>
      </c>
      <c r="E33" s="9" t="s">
        <v>24</v>
      </c>
      <c r="F33" s="9" t="s">
        <v>25</v>
      </c>
      <c r="G33" s="9"/>
      <c r="H33" s="94" t="s">
        <v>27</v>
      </c>
      <c r="I33" s="9"/>
      <c r="J33" s="9" t="s">
        <v>28</v>
      </c>
      <c r="K33" s="10">
        <v>500</v>
      </c>
      <c r="L33" s="9" t="s">
        <v>29</v>
      </c>
      <c r="M33" s="9"/>
      <c r="N33" s="87" t="s">
        <v>30</v>
      </c>
      <c r="O33" s="21"/>
      <c r="S33" s="84" t="s">
        <v>378</v>
      </c>
      <c r="T33" s="84" t="s">
        <v>655</v>
      </c>
      <c r="U33" s="55">
        <v>1000</v>
      </c>
      <c r="V33" s="84" t="s">
        <v>93</v>
      </c>
    </row>
    <row r="34" spans="1:22" ht="29" x14ac:dyDescent="0.35">
      <c r="A34" s="9" t="s">
        <v>490</v>
      </c>
      <c r="B34" s="9" t="s">
        <v>622</v>
      </c>
      <c r="C34" s="10">
        <v>600</v>
      </c>
      <c r="D34" s="10">
        <v>600</v>
      </c>
      <c r="E34" s="9" t="s">
        <v>92</v>
      </c>
      <c r="F34" s="9" t="s">
        <v>28</v>
      </c>
      <c r="G34" s="9"/>
      <c r="H34" s="163" t="s">
        <v>27</v>
      </c>
      <c r="I34" s="9"/>
      <c r="J34" s="9" t="s">
        <v>158</v>
      </c>
      <c r="K34" s="10">
        <v>600</v>
      </c>
      <c r="L34" s="9" t="s">
        <v>516</v>
      </c>
      <c r="M34" s="9"/>
      <c r="N34" s="9" t="s">
        <v>517</v>
      </c>
      <c r="O34" s="21"/>
      <c r="S34" s="84" t="s">
        <v>276</v>
      </c>
      <c r="T34" s="84" t="s">
        <v>622</v>
      </c>
      <c r="U34" s="55">
        <v>600</v>
      </c>
      <c r="V34" s="84" t="s">
        <v>76</v>
      </c>
    </row>
    <row r="35" spans="1:22" x14ac:dyDescent="0.35">
      <c r="A35" s="9" t="s">
        <v>526</v>
      </c>
      <c r="B35" s="9" t="s">
        <v>622</v>
      </c>
      <c r="C35" s="10">
        <v>600</v>
      </c>
      <c r="D35" s="10">
        <v>600</v>
      </c>
      <c r="E35" s="9" t="s">
        <v>93</v>
      </c>
      <c r="F35" s="9" t="s">
        <v>527</v>
      </c>
      <c r="G35" s="9"/>
      <c r="H35" s="9"/>
      <c r="I35" s="9"/>
      <c r="J35" s="9" t="s">
        <v>641</v>
      </c>
      <c r="K35" s="10">
        <v>600</v>
      </c>
      <c r="L35" s="9" t="s">
        <v>528</v>
      </c>
      <c r="M35" s="9"/>
      <c r="N35" s="87" t="s">
        <v>529</v>
      </c>
      <c r="O35" s="21"/>
      <c r="S35" s="84" t="s">
        <v>285</v>
      </c>
      <c r="T35" s="84" t="s">
        <v>629</v>
      </c>
      <c r="U35" s="55">
        <v>0</v>
      </c>
      <c r="V35" s="84" t="s">
        <v>95</v>
      </c>
    </row>
    <row r="36" spans="1:22" ht="29" x14ac:dyDescent="0.35">
      <c r="A36" s="9" t="s">
        <v>552</v>
      </c>
      <c r="B36" s="9" t="s">
        <v>622</v>
      </c>
      <c r="C36" s="10">
        <v>600</v>
      </c>
      <c r="D36" s="10">
        <v>600</v>
      </c>
      <c r="E36" s="9" t="s">
        <v>93</v>
      </c>
      <c r="F36" s="9" t="s">
        <v>553</v>
      </c>
      <c r="G36" s="9"/>
      <c r="H36" s="9"/>
      <c r="I36" s="9"/>
      <c r="J36" s="9" t="s">
        <v>656</v>
      </c>
      <c r="K36" s="10">
        <v>600</v>
      </c>
      <c r="L36" s="9" t="s">
        <v>554</v>
      </c>
      <c r="M36" s="9"/>
      <c r="N36" s="87" t="s">
        <v>555</v>
      </c>
      <c r="O36" s="21"/>
      <c r="S36" s="121" t="s">
        <v>288</v>
      </c>
      <c r="T36" s="121" t="s">
        <v>622</v>
      </c>
      <c r="U36" s="113">
        <v>500</v>
      </c>
      <c r="V36" s="121" t="s">
        <v>24</v>
      </c>
    </row>
    <row r="37" spans="1:22" ht="29" x14ac:dyDescent="0.35">
      <c r="A37" s="9" t="s">
        <v>657</v>
      </c>
      <c r="B37" s="9" t="s">
        <v>622</v>
      </c>
      <c r="C37" s="10">
        <v>600</v>
      </c>
      <c r="D37" s="10">
        <v>1200</v>
      </c>
      <c r="E37" s="9" t="s">
        <v>93</v>
      </c>
      <c r="F37" s="9" t="s">
        <v>658</v>
      </c>
      <c r="G37" s="9" t="s">
        <v>659</v>
      </c>
      <c r="H37" s="9"/>
      <c r="I37" s="9"/>
      <c r="J37" s="9" t="s">
        <v>642</v>
      </c>
      <c r="K37" s="10">
        <v>1200</v>
      </c>
      <c r="L37" s="9" t="s">
        <v>660</v>
      </c>
      <c r="M37" s="9"/>
      <c r="N37" s="87" t="s">
        <v>661</v>
      </c>
      <c r="O37" s="21"/>
      <c r="S37" s="84" t="s">
        <v>515</v>
      </c>
      <c r="T37" s="84" t="s">
        <v>629</v>
      </c>
      <c r="U37" s="55">
        <v>300</v>
      </c>
      <c r="V37" s="84" t="s">
        <v>47</v>
      </c>
    </row>
    <row r="38" spans="1:22" x14ac:dyDescent="0.35">
      <c r="A38" s="9" t="s">
        <v>662</v>
      </c>
      <c r="B38" s="9" t="s">
        <v>622</v>
      </c>
      <c r="C38" s="10">
        <v>600</v>
      </c>
      <c r="D38" s="10">
        <v>600</v>
      </c>
      <c r="E38" s="9" t="s">
        <v>93</v>
      </c>
      <c r="F38" s="9" t="s">
        <v>663</v>
      </c>
      <c r="G38" s="9"/>
      <c r="H38" s="9"/>
      <c r="I38" s="9"/>
      <c r="J38" s="9" t="s">
        <v>664</v>
      </c>
      <c r="K38" s="10">
        <v>600</v>
      </c>
      <c r="L38" s="9" t="s">
        <v>665</v>
      </c>
      <c r="M38" s="9"/>
      <c r="N38" s="92" t="s">
        <v>666</v>
      </c>
      <c r="O38" s="21"/>
      <c r="S38" s="104" t="s">
        <v>57</v>
      </c>
      <c r="T38" s="104" t="s">
        <v>622</v>
      </c>
      <c r="U38" s="105">
        <v>500</v>
      </c>
      <c r="V38" s="104" t="s">
        <v>24</v>
      </c>
    </row>
    <row r="39" spans="1:22" x14ac:dyDescent="0.35">
      <c r="A39" s="9" t="s">
        <v>667</v>
      </c>
      <c r="B39" s="9" t="s">
        <v>629</v>
      </c>
      <c r="C39" s="10">
        <v>350</v>
      </c>
      <c r="D39" s="10">
        <v>350</v>
      </c>
      <c r="E39" s="9" t="s">
        <v>76</v>
      </c>
      <c r="F39" s="9" t="s">
        <v>418</v>
      </c>
      <c r="G39" s="9"/>
      <c r="H39" s="9"/>
      <c r="I39" s="9"/>
      <c r="J39" s="9" t="s">
        <v>635</v>
      </c>
      <c r="K39" s="10">
        <v>350</v>
      </c>
      <c r="L39" s="9" t="s">
        <v>668</v>
      </c>
      <c r="M39" s="9"/>
      <c r="N39" s="87" t="s">
        <v>669</v>
      </c>
      <c r="O39" s="21"/>
      <c r="S39" s="84" t="s">
        <v>670</v>
      </c>
      <c r="T39" s="84" t="s">
        <v>622</v>
      </c>
      <c r="U39" s="55">
        <v>600</v>
      </c>
      <c r="V39" s="84" t="s">
        <v>76</v>
      </c>
    </row>
    <row r="40" spans="1:22" ht="29" x14ac:dyDescent="0.35">
      <c r="A40" s="9" t="s">
        <v>170</v>
      </c>
      <c r="B40" s="9" t="s">
        <v>629</v>
      </c>
      <c r="C40" s="10">
        <v>350</v>
      </c>
      <c r="D40" s="10">
        <v>0</v>
      </c>
      <c r="E40" s="9" t="s">
        <v>24</v>
      </c>
      <c r="F40" s="9" t="s">
        <v>227</v>
      </c>
      <c r="G40" s="9" t="s">
        <v>228</v>
      </c>
      <c r="H40" s="9"/>
      <c r="I40" s="9">
        <v>0</v>
      </c>
      <c r="J40" s="9"/>
      <c r="K40" s="10"/>
      <c r="L40" s="9" t="s">
        <v>230</v>
      </c>
      <c r="M40" s="9"/>
      <c r="N40" s="9" t="s">
        <v>231</v>
      </c>
      <c r="O40" s="21"/>
      <c r="S40" s="84" t="s">
        <v>671</v>
      </c>
      <c r="T40" s="84" t="s">
        <v>629</v>
      </c>
      <c r="U40" s="55">
        <v>0</v>
      </c>
      <c r="V40" s="84"/>
    </row>
    <row r="41" spans="1:22" ht="43.5" x14ac:dyDescent="0.35">
      <c r="A41" s="9" t="s">
        <v>537</v>
      </c>
      <c r="B41" s="9" t="s">
        <v>629</v>
      </c>
      <c r="C41" s="10">
        <v>350</v>
      </c>
      <c r="D41" s="10">
        <v>0</v>
      </c>
      <c r="E41" s="9" t="s">
        <v>96</v>
      </c>
      <c r="F41" s="91">
        <v>45597</v>
      </c>
      <c r="G41" s="9" t="s">
        <v>672</v>
      </c>
      <c r="H41" s="9"/>
      <c r="I41" s="9">
        <v>0</v>
      </c>
      <c r="J41" s="9"/>
      <c r="K41" s="10"/>
      <c r="L41" s="9" t="s">
        <v>539</v>
      </c>
      <c r="M41" s="9"/>
      <c r="N41" s="87" t="s">
        <v>540</v>
      </c>
      <c r="O41" s="21"/>
      <c r="S41" s="84" t="s">
        <v>194</v>
      </c>
      <c r="T41" s="84" t="s">
        <v>622</v>
      </c>
      <c r="U41" s="55">
        <v>1200</v>
      </c>
      <c r="V41" s="84" t="s">
        <v>56</v>
      </c>
    </row>
    <row r="42" spans="1:22" ht="43.5" x14ac:dyDescent="0.35">
      <c r="A42" s="9" t="s">
        <v>285</v>
      </c>
      <c r="B42" s="9" t="s">
        <v>629</v>
      </c>
      <c r="C42" s="10">
        <v>350</v>
      </c>
      <c r="D42" s="10">
        <v>0</v>
      </c>
      <c r="E42" s="9" t="s">
        <v>95</v>
      </c>
      <c r="F42" s="9" t="s">
        <v>303</v>
      </c>
      <c r="G42" s="9"/>
      <c r="H42" s="115"/>
      <c r="I42" s="9">
        <v>0</v>
      </c>
      <c r="J42" s="9"/>
      <c r="K42" s="10"/>
      <c r="L42" s="9" t="s">
        <v>305</v>
      </c>
      <c r="M42" s="9"/>
      <c r="N42" s="9" t="s">
        <v>306</v>
      </c>
      <c r="O42" s="21"/>
      <c r="S42" s="121" t="s">
        <v>673</v>
      </c>
      <c r="T42" s="121" t="s">
        <v>674</v>
      </c>
      <c r="U42" s="113">
        <v>1000</v>
      </c>
      <c r="V42" s="121" t="s">
        <v>93</v>
      </c>
    </row>
    <row r="43" spans="1:22" ht="29" x14ac:dyDescent="0.35">
      <c r="A43" s="9" t="s">
        <v>108</v>
      </c>
      <c r="B43" s="9" t="s">
        <v>629</v>
      </c>
      <c r="C43" s="10">
        <v>350</v>
      </c>
      <c r="D43" s="10">
        <v>1050</v>
      </c>
      <c r="E43" s="9" t="s">
        <v>96</v>
      </c>
      <c r="F43" s="9" t="s">
        <v>318</v>
      </c>
      <c r="G43" s="9" t="s">
        <v>675</v>
      </c>
      <c r="H43" s="94" t="s">
        <v>27</v>
      </c>
      <c r="I43" s="9"/>
      <c r="J43" s="9" t="s">
        <v>65</v>
      </c>
      <c r="K43" s="10">
        <v>1050</v>
      </c>
      <c r="L43" s="9" t="s">
        <v>320</v>
      </c>
      <c r="M43" s="9"/>
      <c r="N43" s="9" t="s">
        <v>321</v>
      </c>
      <c r="O43" s="21"/>
      <c r="S43" s="84" t="s">
        <v>530</v>
      </c>
      <c r="T43" s="84" t="s">
        <v>629</v>
      </c>
      <c r="U43" s="55">
        <v>350</v>
      </c>
      <c r="V43" s="84" t="s">
        <v>76</v>
      </c>
    </row>
    <row r="44" spans="1:22" ht="58" x14ac:dyDescent="0.35">
      <c r="A44" s="9" t="s">
        <v>204</v>
      </c>
      <c r="B44" s="9" t="s">
        <v>629</v>
      </c>
      <c r="C44" s="10">
        <v>350</v>
      </c>
      <c r="D44" s="10">
        <v>0</v>
      </c>
      <c r="E44" s="9" t="s">
        <v>24</v>
      </c>
      <c r="F44" s="9" t="s">
        <v>206</v>
      </c>
      <c r="G44" s="9" t="s">
        <v>543</v>
      </c>
      <c r="H44" s="9"/>
      <c r="I44" s="9">
        <v>0</v>
      </c>
      <c r="J44" s="9"/>
      <c r="K44" s="10"/>
      <c r="L44" s="9" t="s">
        <v>209</v>
      </c>
      <c r="M44" s="126" t="s">
        <v>210</v>
      </c>
      <c r="N44" s="9" t="s">
        <v>211</v>
      </c>
      <c r="O44" s="21"/>
      <c r="S44" s="121" t="s">
        <v>676</v>
      </c>
      <c r="T44" s="121" t="s">
        <v>629</v>
      </c>
      <c r="U44" s="113">
        <v>350</v>
      </c>
      <c r="V44" s="121" t="s">
        <v>93</v>
      </c>
    </row>
    <row r="45" spans="1:22" x14ac:dyDescent="0.35">
      <c r="A45" s="9" t="s">
        <v>198</v>
      </c>
      <c r="B45" s="9" t="s">
        <v>629</v>
      </c>
      <c r="C45" s="10">
        <v>350</v>
      </c>
      <c r="D45" s="10">
        <v>0</v>
      </c>
      <c r="E45" s="9" t="s">
        <v>96</v>
      </c>
      <c r="F45" s="9" t="s">
        <v>142</v>
      </c>
      <c r="G45" s="9"/>
      <c r="H45" s="9"/>
      <c r="I45" s="9">
        <v>0</v>
      </c>
      <c r="J45" s="9"/>
      <c r="K45" s="10"/>
      <c r="L45" s="9" t="s">
        <v>240</v>
      </c>
      <c r="M45" s="9"/>
      <c r="N45" s="87" t="s">
        <v>241</v>
      </c>
      <c r="O45" s="21"/>
      <c r="S45" s="84" t="s">
        <v>677</v>
      </c>
      <c r="T45" s="84" t="s">
        <v>629</v>
      </c>
      <c r="U45" s="55">
        <v>300</v>
      </c>
      <c r="V45" s="84"/>
    </row>
    <row r="46" spans="1:22" x14ac:dyDescent="0.35">
      <c r="A46" s="9" t="s">
        <v>243</v>
      </c>
      <c r="B46" s="9" t="s">
        <v>629</v>
      </c>
      <c r="C46" s="10">
        <v>350</v>
      </c>
      <c r="D46" s="10">
        <v>350</v>
      </c>
      <c r="E46" s="9" t="s">
        <v>24</v>
      </c>
      <c r="F46" s="9" t="s">
        <v>147</v>
      </c>
      <c r="G46" s="9"/>
      <c r="H46" s="9"/>
      <c r="I46" s="9"/>
      <c r="J46" s="9" t="s">
        <v>651</v>
      </c>
      <c r="K46" s="10">
        <v>350</v>
      </c>
      <c r="L46" s="9" t="s">
        <v>245</v>
      </c>
      <c r="M46" s="9"/>
      <c r="N46" s="9" t="s">
        <v>246</v>
      </c>
      <c r="O46" s="21"/>
      <c r="S46" s="84" t="s">
        <v>662</v>
      </c>
      <c r="T46" s="84" t="s">
        <v>629</v>
      </c>
      <c r="U46" s="55">
        <v>450</v>
      </c>
      <c r="V46" s="84" t="s">
        <v>93</v>
      </c>
    </row>
    <row r="47" spans="1:22" x14ac:dyDescent="0.35">
      <c r="A47" s="9" t="s">
        <v>352</v>
      </c>
      <c r="B47" s="9" t="s">
        <v>629</v>
      </c>
      <c r="C47" s="10">
        <v>350</v>
      </c>
      <c r="D47" s="10">
        <v>350</v>
      </c>
      <c r="E47" s="9" t="s">
        <v>92</v>
      </c>
      <c r="F47" s="9" t="s">
        <v>353</v>
      </c>
      <c r="G47" s="9"/>
      <c r="H47" s="9"/>
      <c r="I47" s="9"/>
      <c r="J47" s="9" t="s">
        <v>678</v>
      </c>
      <c r="K47" s="10">
        <v>350</v>
      </c>
      <c r="L47" s="9" t="s">
        <v>354</v>
      </c>
      <c r="M47" s="9"/>
      <c r="N47" s="87" t="s">
        <v>355</v>
      </c>
      <c r="O47" s="21"/>
      <c r="S47" s="84" t="s">
        <v>679</v>
      </c>
      <c r="T47" s="84" t="s">
        <v>622</v>
      </c>
      <c r="U47" s="55">
        <v>600</v>
      </c>
      <c r="V47" s="84" t="s">
        <v>93</v>
      </c>
    </row>
    <row r="48" spans="1:22" x14ac:dyDescent="0.35">
      <c r="A48" s="9" t="s">
        <v>356</v>
      </c>
      <c r="B48" s="9" t="s">
        <v>629</v>
      </c>
      <c r="C48" s="10">
        <v>350</v>
      </c>
      <c r="D48" s="10">
        <v>350</v>
      </c>
      <c r="E48" s="9" t="s">
        <v>92</v>
      </c>
      <c r="F48" s="9" t="s">
        <v>353</v>
      </c>
      <c r="G48" s="9"/>
      <c r="H48" s="9"/>
      <c r="I48" s="9"/>
      <c r="J48" s="9" t="s">
        <v>641</v>
      </c>
      <c r="K48" s="10">
        <v>350</v>
      </c>
      <c r="L48" s="9" t="s">
        <v>357</v>
      </c>
      <c r="M48" s="9"/>
      <c r="N48" s="87" t="s">
        <v>358</v>
      </c>
      <c r="O48" s="21"/>
      <c r="S48" s="84" t="s">
        <v>356</v>
      </c>
      <c r="T48" s="84" t="s">
        <v>622</v>
      </c>
      <c r="U48" s="55">
        <v>500</v>
      </c>
      <c r="V48" s="84" t="s">
        <v>92</v>
      </c>
    </row>
    <row r="49" spans="1:22" x14ac:dyDescent="0.35">
      <c r="A49" s="9" t="s">
        <v>545</v>
      </c>
      <c r="B49" s="9" t="s">
        <v>629</v>
      </c>
      <c r="C49" s="10">
        <v>350</v>
      </c>
      <c r="D49" s="10">
        <v>700</v>
      </c>
      <c r="E49" s="9" t="s">
        <v>68</v>
      </c>
      <c r="F49" s="9" t="s">
        <v>215</v>
      </c>
      <c r="G49" s="9"/>
      <c r="H49" s="9"/>
      <c r="I49" s="9"/>
      <c r="J49" s="9" t="s">
        <v>158</v>
      </c>
      <c r="K49" s="10">
        <v>700</v>
      </c>
      <c r="L49" s="9" t="s">
        <v>547</v>
      </c>
      <c r="M49" s="9"/>
      <c r="N49" s="87" t="s">
        <v>548</v>
      </c>
      <c r="O49" s="21"/>
      <c r="S49" s="121" t="s">
        <v>680</v>
      </c>
      <c r="T49" s="121" t="s">
        <v>629</v>
      </c>
      <c r="U49" s="113">
        <v>350</v>
      </c>
      <c r="V49" s="121" t="s">
        <v>93</v>
      </c>
    </row>
    <row r="50" spans="1:22" x14ac:dyDescent="0.35">
      <c r="A50" s="9" t="s">
        <v>515</v>
      </c>
      <c r="B50" s="9" t="s">
        <v>629</v>
      </c>
      <c r="C50" s="10">
        <v>350</v>
      </c>
      <c r="D50" s="10">
        <v>300</v>
      </c>
      <c r="E50" s="9" t="s">
        <v>24</v>
      </c>
      <c r="F50" s="9" t="s">
        <v>28</v>
      </c>
      <c r="G50" s="9"/>
      <c r="H50" s="9"/>
      <c r="I50" s="9"/>
      <c r="J50" s="9" t="s">
        <v>651</v>
      </c>
      <c r="K50" s="10">
        <v>300</v>
      </c>
      <c r="L50" s="9" t="s">
        <v>518</v>
      </c>
      <c r="M50" s="9"/>
      <c r="N50" s="9" t="s">
        <v>519</v>
      </c>
      <c r="O50" s="21"/>
      <c r="S50" s="121" t="s">
        <v>377</v>
      </c>
      <c r="T50" s="121" t="s">
        <v>629</v>
      </c>
      <c r="U50" s="113">
        <v>450</v>
      </c>
      <c r="V50" s="121" t="s">
        <v>93</v>
      </c>
    </row>
    <row r="51" spans="1:22" x14ac:dyDescent="0.35">
      <c r="A51" s="9" t="s">
        <v>679</v>
      </c>
      <c r="B51" s="9" t="s">
        <v>629</v>
      </c>
      <c r="C51" s="10">
        <v>350</v>
      </c>
      <c r="D51" s="10">
        <v>350</v>
      </c>
      <c r="E51" s="9" t="s">
        <v>92</v>
      </c>
      <c r="F51" s="9" t="s">
        <v>121</v>
      </c>
      <c r="G51" s="9"/>
      <c r="H51" s="9"/>
      <c r="I51" s="9"/>
      <c r="J51" s="9" t="s">
        <v>681</v>
      </c>
      <c r="K51" s="10">
        <v>350</v>
      </c>
      <c r="L51" s="9" t="s">
        <v>682</v>
      </c>
      <c r="M51" s="9"/>
      <c r="N51" s="87" t="s">
        <v>683</v>
      </c>
      <c r="O51" s="21"/>
      <c r="S51" s="84" t="s">
        <v>352</v>
      </c>
      <c r="T51" s="84" t="s">
        <v>629</v>
      </c>
      <c r="U51" s="55">
        <v>350</v>
      </c>
      <c r="V51" s="84" t="s">
        <v>93</v>
      </c>
    </row>
    <row r="52" spans="1:22" x14ac:dyDescent="0.35">
      <c r="A52" s="9" t="s">
        <v>684</v>
      </c>
      <c r="B52" s="9" t="s">
        <v>629</v>
      </c>
      <c r="C52" s="10">
        <v>350</v>
      </c>
      <c r="D52" s="10">
        <v>350</v>
      </c>
      <c r="E52" s="9" t="s">
        <v>76</v>
      </c>
      <c r="F52" s="9" t="s">
        <v>685</v>
      </c>
      <c r="G52" s="9"/>
      <c r="H52" s="9"/>
      <c r="I52" s="9"/>
      <c r="J52" s="9" t="s">
        <v>625</v>
      </c>
      <c r="K52" s="10">
        <v>350</v>
      </c>
      <c r="L52" s="9" t="s">
        <v>686</v>
      </c>
      <c r="M52" s="9"/>
      <c r="N52" s="87" t="s">
        <v>687</v>
      </c>
      <c r="O52" s="21"/>
      <c r="S52" s="84" t="s">
        <v>485</v>
      </c>
      <c r="T52" s="84" t="s">
        <v>486</v>
      </c>
      <c r="U52" s="55">
        <v>1000</v>
      </c>
      <c r="V52" s="84" t="s">
        <v>92</v>
      </c>
    </row>
    <row r="53" spans="1:22" ht="29" x14ac:dyDescent="0.35">
      <c r="A53" s="9" t="s">
        <v>688</v>
      </c>
      <c r="B53" s="9" t="s">
        <v>629</v>
      </c>
      <c r="C53" s="10">
        <v>350</v>
      </c>
      <c r="D53" s="10">
        <v>350</v>
      </c>
      <c r="E53" s="9" t="s">
        <v>68</v>
      </c>
      <c r="F53" s="9" t="s">
        <v>685</v>
      </c>
      <c r="G53" s="9"/>
      <c r="H53" s="9"/>
      <c r="I53" s="9"/>
      <c r="J53" s="9" t="s">
        <v>635</v>
      </c>
      <c r="K53" s="10">
        <v>350</v>
      </c>
      <c r="L53" s="9" t="s">
        <v>689</v>
      </c>
      <c r="M53" s="9"/>
      <c r="N53" s="87" t="s">
        <v>690</v>
      </c>
      <c r="O53" s="21"/>
      <c r="S53" s="84" t="s">
        <v>232</v>
      </c>
      <c r="T53" s="84" t="s">
        <v>622</v>
      </c>
      <c r="U53" s="55">
        <v>500</v>
      </c>
      <c r="V53" s="84" t="s">
        <v>24</v>
      </c>
    </row>
    <row r="54" spans="1:22" x14ac:dyDescent="0.35">
      <c r="A54" s="9"/>
      <c r="B54" s="9" t="s">
        <v>629</v>
      </c>
      <c r="C54" s="10">
        <v>350</v>
      </c>
      <c r="D54" s="10"/>
      <c r="E54" s="9"/>
      <c r="F54" s="9"/>
      <c r="G54" s="9"/>
      <c r="H54" s="9"/>
      <c r="I54" s="9"/>
      <c r="J54" s="9"/>
      <c r="K54" s="10"/>
      <c r="L54" s="9"/>
      <c r="M54" s="9"/>
      <c r="N54" s="87"/>
      <c r="O54" s="21"/>
      <c r="S54" s="84" t="s">
        <v>235</v>
      </c>
      <c r="T54" s="84" t="s">
        <v>622</v>
      </c>
      <c r="U54" s="55">
        <v>500</v>
      </c>
      <c r="V54" s="84" t="s">
        <v>24</v>
      </c>
    </row>
    <row r="55" spans="1:22" ht="16" x14ac:dyDescent="0.4">
      <c r="A55" s="9" t="s">
        <v>671</v>
      </c>
      <c r="B55" s="9" t="s">
        <v>629</v>
      </c>
      <c r="C55" s="10">
        <v>350</v>
      </c>
      <c r="D55" s="10">
        <v>0</v>
      </c>
      <c r="E55" s="9" t="s">
        <v>68</v>
      </c>
      <c r="F55" s="9" t="s">
        <v>691</v>
      </c>
      <c r="G55" s="9" t="s">
        <v>575</v>
      </c>
      <c r="H55" s="9"/>
      <c r="I55" s="9">
        <v>0</v>
      </c>
      <c r="J55" s="9"/>
      <c r="K55" s="10"/>
      <c r="L55" s="9" t="s">
        <v>692</v>
      </c>
      <c r="M55" s="9"/>
      <c r="N55" s="200" t="s">
        <v>693</v>
      </c>
      <c r="O55" s="21"/>
      <c r="S55" s="84" t="s">
        <v>507</v>
      </c>
      <c r="T55" s="84" t="s">
        <v>622</v>
      </c>
      <c r="U55" s="55">
        <v>600</v>
      </c>
      <c r="V55" s="84" t="s">
        <v>56</v>
      </c>
    </row>
    <row r="56" spans="1:22" x14ac:dyDescent="0.35">
      <c r="A56" s="9" t="s">
        <v>694</v>
      </c>
      <c r="B56" s="9" t="s">
        <v>629</v>
      </c>
      <c r="C56" s="10">
        <v>350</v>
      </c>
      <c r="D56" s="10">
        <v>350</v>
      </c>
      <c r="E56" s="9" t="s">
        <v>76</v>
      </c>
      <c r="F56" s="9" t="s">
        <v>691</v>
      </c>
      <c r="G56" s="9" t="s">
        <v>695</v>
      </c>
      <c r="H56" s="9"/>
      <c r="I56" s="9"/>
      <c r="J56" s="9" t="s">
        <v>638</v>
      </c>
      <c r="K56" s="10">
        <v>350</v>
      </c>
      <c r="L56" s="9" t="s">
        <v>696</v>
      </c>
      <c r="M56" s="9"/>
      <c r="N56" s="92" t="s">
        <v>697</v>
      </c>
      <c r="O56" s="21"/>
      <c r="S56" s="84" t="s">
        <v>565</v>
      </c>
      <c r="T56" s="84" t="s">
        <v>629</v>
      </c>
      <c r="U56" s="55">
        <v>700</v>
      </c>
      <c r="V56" s="84" t="s">
        <v>76</v>
      </c>
    </row>
    <row r="57" spans="1:22" x14ac:dyDescent="0.35">
      <c r="A57" s="9" t="s">
        <v>531</v>
      </c>
      <c r="B57" s="9" t="s">
        <v>629</v>
      </c>
      <c r="C57" s="10">
        <v>350</v>
      </c>
      <c r="D57" s="10">
        <v>350</v>
      </c>
      <c r="E57" s="9" t="s">
        <v>96</v>
      </c>
      <c r="F57" s="9" t="s">
        <v>663</v>
      </c>
      <c r="G57" s="9"/>
      <c r="H57" s="9"/>
      <c r="I57" s="9"/>
      <c r="J57" s="9" t="s">
        <v>635</v>
      </c>
      <c r="K57" s="10">
        <v>350</v>
      </c>
      <c r="L57" s="9" t="s">
        <v>535</v>
      </c>
      <c r="M57" s="9"/>
      <c r="N57" s="92" t="s">
        <v>698</v>
      </c>
      <c r="O57" s="21"/>
      <c r="S57" s="84" t="s">
        <v>401</v>
      </c>
      <c r="T57" s="84" t="s">
        <v>622</v>
      </c>
      <c r="U57" s="55">
        <v>500</v>
      </c>
      <c r="V57" s="84" t="s">
        <v>24</v>
      </c>
    </row>
    <row r="58" spans="1:22" x14ac:dyDescent="0.35">
      <c r="A58" s="9" t="s">
        <v>699</v>
      </c>
      <c r="B58" s="9" t="s">
        <v>629</v>
      </c>
      <c r="C58" s="10">
        <v>350</v>
      </c>
      <c r="D58" s="10">
        <v>0</v>
      </c>
      <c r="E58" s="9" t="s">
        <v>90</v>
      </c>
      <c r="F58" s="9" t="s">
        <v>700</v>
      </c>
      <c r="G58" s="9" t="s">
        <v>701</v>
      </c>
      <c r="H58" s="9"/>
      <c r="I58" s="9">
        <v>0</v>
      </c>
      <c r="J58" s="9"/>
      <c r="K58" s="10"/>
      <c r="L58" s="9"/>
      <c r="M58" s="9"/>
      <c r="N58" s="9"/>
      <c r="O58" s="21"/>
      <c r="S58" s="18" t="s">
        <v>702</v>
      </c>
      <c r="T58" s="18" t="s">
        <v>629</v>
      </c>
      <c r="U58" s="10">
        <v>300</v>
      </c>
      <c r="V58" s="18"/>
    </row>
    <row r="59" spans="1:22" x14ac:dyDescent="0.35">
      <c r="A59" s="9" t="s">
        <v>406</v>
      </c>
      <c r="B59" s="9" t="s">
        <v>629</v>
      </c>
      <c r="C59" s="10">
        <v>350</v>
      </c>
      <c r="D59" s="10">
        <v>350</v>
      </c>
      <c r="E59" s="9"/>
      <c r="F59" s="9" t="s">
        <v>700</v>
      </c>
      <c r="G59" s="9"/>
      <c r="H59" s="9"/>
      <c r="I59" s="9"/>
      <c r="J59" s="9" t="s">
        <v>703</v>
      </c>
      <c r="K59" s="10">
        <v>350</v>
      </c>
      <c r="L59" s="9"/>
      <c r="M59" s="9"/>
      <c r="N59" s="9"/>
      <c r="O59" s="21"/>
      <c r="S59" s="84" t="s">
        <v>704</v>
      </c>
      <c r="T59" s="84" t="s">
        <v>32</v>
      </c>
      <c r="U59" s="55">
        <v>2500</v>
      </c>
      <c r="V59" s="84" t="s">
        <v>93</v>
      </c>
    </row>
    <row r="60" spans="1:22" x14ac:dyDescent="0.35">
      <c r="A60" s="9" t="s">
        <v>705</v>
      </c>
      <c r="B60" s="9" t="s">
        <v>629</v>
      </c>
      <c r="C60" s="10">
        <v>350</v>
      </c>
      <c r="D60" s="10">
        <v>350</v>
      </c>
      <c r="E60" s="9" t="s">
        <v>93</v>
      </c>
      <c r="F60" s="9" t="s">
        <v>635</v>
      </c>
      <c r="G60" s="9"/>
      <c r="H60" s="9"/>
      <c r="I60" s="9"/>
      <c r="J60" s="9" t="s">
        <v>664</v>
      </c>
      <c r="K60" s="10">
        <v>350</v>
      </c>
      <c r="L60" s="9" t="s">
        <v>706</v>
      </c>
      <c r="M60" s="9"/>
      <c r="N60" s="92" t="s">
        <v>707</v>
      </c>
      <c r="O60" s="21"/>
      <c r="S60" s="121" t="s">
        <v>70</v>
      </c>
      <c r="T60" s="121" t="s">
        <v>629</v>
      </c>
      <c r="U60" s="113">
        <v>300</v>
      </c>
      <c r="V60" s="121"/>
    </row>
    <row r="61" spans="1:22" x14ac:dyDescent="0.35">
      <c r="A61" s="9" t="s">
        <v>708</v>
      </c>
      <c r="B61" s="9" t="s">
        <v>629</v>
      </c>
      <c r="C61" s="10">
        <v>350</v>
      </c>
      <c r="D61" s="10">
        <v>0</v>
      </c>
      <c r="E61" s="9" t="s">
        <v>76</v>
      </c>
      <c r="F61" s="9" t="s">
        <v>635</v>
      </c>
      <c r="G61" s="9" t="s">
        <v>709</v>
      </c>
      <c r="H61" s="9"/>
      <c r="I61" s="9"/>
      <c r="J61" s="9"/>
      <c r="K61" s="10"/>
      <c r="L61" s="9" t="s">
        <v>710</v>
      </c>
      <c r="M61" s="9"/>
      <c r="N61" s="101" t="s">
        <v>711</v>
      </c>
      <c r="O61" s="21"/>
      <c r="S61" s="18" t="s">
        <v>712</v>
      </c>
      <c r="T61" s="18" t="s">
        <v>629</v>
      </c>
      <c r="U61" s="10">
        <v>700</v>
      </c>
      <c r="V61" s="18" t="s">
        <v>76</v>
      </c>
    </row>
    <row r="62" spans="1:22" x14ac:dyDescent="0.35">
      <c r="A62" s="9" t="s">
        <v>132</v>
      </c>
      <c r="B62" s="9" t="s">
        <v>629</v>
      </c>
      <c r="C62" s="10">
        <v>350</v>
      </c>
      <c r="D62" s="10">
        <v>350</v>
      </c>
      <c r="E62" s="9" t="s">
        <v>24</v>
      </c>
      <c r="F62" s="9" t="s">
        <v>635</v>
      </c>
      <c r="G62" s="9" t="s">
        <v>713</v>
      </c>
      <c r="H62" s="9"/>
      <c r="I62" s="9"/>
      <c r="J62" s="9" t="s">
        <v>493</v>
      </c>
      <c r="K62" s="10">
        <v>350</v>
      </c>
      <c r="L62" s="9" t="s">
        <v>714</v>
      </c>
      <c r="M62" s="9"/>
      <c r="N62" s="92" t="s">
        <v>715</v>
      </c>
      <c r="O62" s="21"/>
      <c r="S62" s="84" t="s">
        <v>40</v>
      </c>
      <c r="T62" s="84" t="s">
        <v>674</v>
      </c>
      <c r="U62" s="55">
        <v>1000</v>
      </c>
      <c r="V62" s="84" t="s">
        <v>24</v>
      </c>
    </row>
    <row r="63" spans="1:22" x14ac:dyDescent="0.35">
      <c r="A63" s="9" t="s">
        <v>269</v>
      </c>
      <c r="B63" s="9" t="s">
        <v>629</v>
      </c>
      <c r="C63" s="10">
        <v>350</v>
      </c>
      <c r="D63" s="10">
        <v>350</v>
      </c>
      <c r="E63" s="9" t="s">
        <v>37</v>
      </c>
      <c r="F63" s="9" t="s">
        <v>635</v>
      </c>
      <c r="G63" s="9" t="s">
        <v>716</v>
      </c>
      <c r="H63" s="9"/>
      <c r="I63" s="9"/>
      <c r="J63" s="9" t="s">
        <v>625</v>
      </c>
      <c r="K63" s="10">
        <v>350</v>
      </c>
      <c r="L63" s="9" t="s">
        <v>271</v>
      </c>
      <c r="M63" s="9"/>
      <c r="N63" s="92" t="s">
        <v>272</v>
      </c>
      <c r="O63" s="21"/>
      <c r="S63" s="121" t="s">
        <v>584</v>
      </c>
      <c r="T63" s="121" t="s">
        <v>629</v>
      </c>
      <c r="U63" s="113">
        <v>0</v>
      </c>
      <c r="V63" s="121"/>
    </row>
    <row r="64" spans="1:22" x14ac:dyDescent="0.35">
      <c r="A64" s="9" t="s">
        <v>293</v>
      </c>
      <c r="B64" s="9" t="s">
        <v>629</v>
      </c>
      <c r="C64" s="10">
        <v>350</v>
      </c>
      <c r="D64" s="10">
        <v>100</v>
      </c>
      <c r="E64" s="9"/>
      <c r="F64" s="9"/>
      <c r="G64" s="9"/>
      <c r="H64" s="9"/>
      <c r="I64" s="9"/>
      <c r="J64" s="9" t="s">
        <v>717</v>
      </c>
      <c r="K64" s="10">
        <v>100</v>
      </c>
      <c r="L64" s="9"/>
      <c r="M64" s="9"/>
      <c r="N64" s="9"/>
      <c r="O64" s="21"/>
      <c r="S64" s="121" t="s">
        <v>718</v>
      </c>
      <c r="T64" s="121" t="s">
        <v>629</v>
      </c>
      <c r="U64" s="113">
        <v>300</v>
      </c>
      <c r="V64" s="121"/>
    </row>
    <row r="65" spans="1:22" x14ac:dyDescent="0.35">
      <c r="A65" s="9" t="s">
        <v>181</v>
      </c>
      <c r="B65" s="9" t="s">
        <v>629</v>
      </c>
      <c r="C65" s="10">
        <v>350</v>
      </c>
      <c r="D65" s="10">
        <v>0</v>
      </c>
      <c r="E65" s="9"/>
      <c r="F65" s="9"/>
      <c r="G65" s="9"/>
      <c r="H65" s="9"/>
      <c r="I65" s="9"/>
      <c r="J65" s="9"/>
      <c r="K65" s="9"/>
      <c r="L65" s="9"/>
      <c r="M65" s="9"/>
      <c r="N65" s="9"/>
      <c r="O65" s="21"/>
      <c r="S65" s="84" t="s">
        <v>552</v>
      </c>
      <c r="T65" s="84" t="s">
        <v>629</v>
      </c>
      <c r="U65" s="55">
        <v>350</v>
      </c>
      <c r="V65" s="84" t="s">
        <v>93</v>
      </c>
    </row>
    <row r="66" spans="1:22" x14ac:dyDescent="0.35">
      <c r="A66" s="9" t="s">
        <v>719</v>
      </c>
      <c r="B66" s="9" t="s">
        <v>629</v>
      </c>
      <c r="C66" s="10">
        <v>350</v>
      </c>
      <c r="D66" s="10">
        <v>0</v>
      </c>
      <c r="E66" s="9"/>
      <c r="F66" s="9"/>
      <c r="G66" s="9"/>
      <c r="H66" s="9"/>
      <c r="I66" s="9"/>
      <c r="J66" s="9"/>
      <c r="K66" s="9"/>
      <c r="L66" s="9"/>
      <c r="M66" s="9"/>
      <c r="N66" s="9"/>
      <c r="O66" s="21"/>
    </row>
    <row r="67" spans="1:22" x14ac:dyDescent="0.35">
      <c r="A67" s="9" t="s">
        <v>720</v>
      </c>
      <c r="B67" s="9" t="s">
        <v>629</v>
      </c>
      <c r="C67" s="10">
        <v>350</v>
      </c>
      <c r="D67" s="10">
        <v>0</v>
      </c>
      <c r="E67" s="9"/>
      <c r="F67" s="9"/>
      <c r="G67" s="9"/>
      <c r="H67" s="9"/>
      <c r="I67" s="9"/>
      <c r="J67" s="9"/>
      <c r="K67" s="9"/>
      <c r="L67" s="9"/>
      <c r="M67" s="9"/>
      <c r="N67" s="9"/>
      <c r="O67" s="21"/>
    </row>
    <row r="68" spans="1:22" x14ac:dyDescent="0.35">
      <c r="A68" s="9" t="s">
        <v>721</v>
      </c>
      <c r="B68" s="9" t="s">
        <v>629</v>
      </c>
      <c r="C68" s="10">
        <v>350</v>
      </c>
      <c r="D68" s="10">
        <v>0</v>
      </c>
      <c r="E68" s="9"/>
      <c r="F68" s="9"/>
      <c r="G68" s="9"/>
      <c r="H68" s="9"/>
      <c r="I68" s="9"/>
      <c r="J68" s="9"/>
      <c r="K68" s="9"/>
      <c r="L68" s="9"/>
      <c r="M68" s="9"/>
      <c r="N68" s="9"/>
      <c r="O68" s="21"/>
    </row>
    <row r="69" spans="1:22" x14ac:dyDescent="0.35">
      <c r="D69" s="21"/>
      <c r="K69" s="29">
        <f>SUM(K9:K68)</f>
        <v>27650</v>
      </c>
      <c r="O69" s="21"/>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V65">
    <sortCondition ref="S9:S65"/>
  </sortState>
  <hyperlinks>
    <hyperlink ref="N41" r:id="rId2" display="mailto:rhealana@rhealana.com" xr:uid="{2B7B47B8-912B-480F-8680-F5FC9637304C}"/>
    <hyperlink ref="N21" r:id="rId3" display="mailto:allan.gammill@hilton.com" xr:uid="{834A815F-73B9-4AEB-B847-D9ADAD69C828}"/>
    <hyperlink ref="N22" r:id="rId4" xr:uid="{CF05FAB2-6176-4B02-84CC-70BABAAAAB25}"/>
    <hyperlink ref="N25" r:id="rId5" display="mailto:Crystal.Floyd@acxiom.com" xr:uid="{0A532882-D269-49B0-B3BF-FF1BAC723EFE}"/>
    <hyperlink ref="N45" r:id="rId6" xr:uid="{7CED47B9-A80A-44EA-AEFF-DDD3E30C249A}"/>
    <hyperlink ref="N47" r:id="rId7" display="mailto:emilywalterrealtor@gmail.com" xr:uid="{3BB9FBBD-CF04-4511-B4E6-2F3E35F4C489}"/>
    <hyperlink ref="N48" r:id="rId8" display="mailto:michellemallett@ottinsurance.com" xr:uid="{5B10A933-3169-4335-B4FA-E1983E3A3179}"/>
    <hyperlink ref="N27" r:id="rId9" display="mailto:ali@dyermark.com" xr:uid="{B6D4BD60-7064-4376-B285-0ACE775867AA}"/>
    <hyperlink ref="N29" r:id="rId10" display="mailto:cody@sowellarchitects.com" xr:uid="{46C8F49B-1F36-4BC4-866F-9BACE65A0BAE}"/>
    <hyperlink ref="N12" r:id="rId11" display="mailto:ryan@rockcityoutfitters.com" xr:uid="{808FF93C-FEE1-4ED6-B05C-CB5481F21F6E}"/>
    <hyperlink ref="N49" r:id="rId12" display="mailto:stfrancisvet@conwaycorp.net" xr:uid="{B3FC599F-C1A8-4763-B017-80769C485213}"/>
    <hyperlink ref="N32" r:id="rId13" display="mailto:ebarnes@chambers.bank" xr:uid="{EA4DCA89-BB5D-4BAD-956F-F7837CE43A84}"/>
    <hyperlink ref="N33" r:id="rId14" display="mailto:jay.bernard.l8if@statefarm.com" xr:uid="{6804DCA7-ABB4-4474-90B9-3368E7D8E71C}"/>
    <hyperlink ref="N26" r:id="rId15" display="mailto:idismuke@wacotitle.com" xr:uid="{47B2DD7D-DBBE-4096-B36C-0C296D77C821}"/>
    <hyperlink ref="N39" r:id="rId16" display="mailto:shelley.culwell@sbseniorliving.com" xr:uid="{2CBC3317-1DA0-4753-8CA6-FDFB8D45597B}"/>
    <hyperlink ref="N35" r:id="rId17" display="mailto:bcardin@prolandtitle.com" xr:uid="{4C6A8060-50BB-4F33-9206-5B660B78C17B}"/>
    <hyperlink ref="N10" r:id="rId18" display="mailto:DUSTIN.SMITH@SUPERIORPLUMBINGAR.COM" xr:uid="{B1D3AFBB-9591-44B7-BBBE-B19DADB4C880}"/>
    <hyperlink ref="N51" r:id="rId19" display="mailto:nick@nrgins.com" xr:uid="{5DF7CED8-141D-4D15-BCBB-9B96CDBAB34F}"/>
    <hyperlink ref="N17" r:id="rId20" display="mailto:nschroeder@fairandcompany.com" xr:uid="{B57A632B-7008-49F9-ABDE-983986C489DA}"/>
    <hyperlink ref="N52" r:id="rId21" display="mailto:dherring@firststarext.com" xr:uid="{40748D0E-A2D4-465C-AB29-B8D1034E42F9}"/>
    <hyperlink ref="N53" r:id="rId22" display="jbasey@marketplacegrill.com" xr:uid="{E8A15D05-9F4E-4167-B7AC-7DD397917B18}"/>
    <hyperlink ref="N37" r:id="rId23" display="mailto:cwinter.westport@conwaycorp.net" xr:uid="{8292957B-1538-4562-B2F9-F496385F45E9}"/>
    <hyperlink ref="N56" r:id="rId24" display="mailto:Comeatrieze.ester@gmail.com" xr:uid="{C93A06A1-3DD1-4D56-AB24-F8B1CD7F629A}"/>
    <hyperlink ref="N38" r:id="rId25" display="mailto:cbrand@nabco.com" xr:uid="{64E170F6-B32B-41FB-BE66-798C6065E411}"/>
    <hyperlink ref="N57" r:id="rId26" display="mailto:dgoforth@AFCU.org" xr:uid="{7A100542-6631-43C3-A38C-45083882B5CE}"/>
    <hyperlink ref="N60" r:id="rId27" display="mailto:mark.jones@verizonwireless.com" xr:uid="{8A5EEDA6-05C6-4240-8540-D6F2E7C893D9}"/>
    <hyperlink ref="N61" r:id="rId28" display="mailto:Nedra.allen-jones@littlecreekbehavioral.com" xr:uid="{686AFA6B-39C8-4750-B2A9-66DE8AC86545}"/>
    <hyperlink ref="N62" r:id="rId29" display="mailto:sarah.shaw@ozk.com" xr:uid="{03D5894C-0769-4BD3-8933-F3BF311B6F79}"/>
    <hyperlink ref="N63" r:id="rId30" display="mailto:michelle.mckown@ensono.com" xr:uid="{5F66C523-2DA5-4F58-B493-074D8E672EEE}"/>
    <hyperlink ref="N36" r:id="rId31" display="mailto:zack@windowdepotar.com" xr:uid="{D9A3AD3B-2D77-49AC-8F85-0CE4AA8CE0E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FCDB4-6E76-47E0-980F-C29A7455B195}">
  <dimension ref="A1:V317"/>
  <sheetViews>
    <sheetView workbookViewId="0">
      <pane ySplit="8" topLeftCell="A53" activePane="bottomLeft" state="frozen"/>
      <selection pane="bottomLeft" activeCell="K77" sqref="K77"/>
    </sheetView>
  </sheetViews>
  <sheetFormatPr defaultColWidth="37" defaultRowHeight="14.5" x14ac:dyDescent="0.35"/>
  <cols>
    <col min="1" max="1" width="35.453125" style="5" bestFit="1" customWidth="1"/>
    <col min="2" max="2" width="26" style="5" bestFit="1" customWidth="1"/>
    <col min="3" max="3" width="9.1796875" style="5" bestFit="1" customWidth="1"/>
    <col min="4" max="4" width="15.81640625" style="5" bestFit="1" customWidth="1"/>
    <col min="5" max="5" width="8.7265625" style="5" bestFit="1" customWidth="1"/>
    <col min="6" max="6" width="11.1796875" style="5" bestFit="1" customWidth="1"/>
    <col min="7" max="7" width="66.453125" style="5" bestFit="1" customWidth="1"/>
    <col min="8" max="8" width="16.26953125" style="5" bestFit="1" customWidth="1"/>
    <col min="9" max="9" width="11.26953125" style="5" customWidth="1"/>
    <col min="10" max="10" width="10.54296875" style="5" customWidth="1"/>
    <col min="11" max="11" width="19.26953125" style="5" customWidth="1"/>
    <col min="12" max="12" width="28.7265625" style="5" customWidth="1"/>
    <col min="13" max="13" width="21.81640625" style="5" bestFit="1" customWidth="1"/>
    <col min="14" max="14" width="40.453125" style="5" bestFit="1" customWidth="1"/>
    <col min="15" max="15" width="37" style="5"/>
    <col min="16" max="16" width="11" style="5" bestFit="1" customWidth="1"/>
    <col min="17" max="17" width="10.1796875" style="5" bestFit="1" customWidth="1"/>
    <col min="18" max="18" width="37" style="5"/>
    <col min="19" max="19" width="46.26953125" style="5" bestFit="1" customWidth="1"/>
    <col min="20" max="20" width="42.1796875" style="5" bestFit="1" customWidth="1"/>
    <col min="21" max="21" width="15.81640625" style="5" bestFit="1" customWidth="1"/>
    <col min="22" max="22" width="8.7265625" style="5" bestFit="1" customWidth="1"/>
    <col min="23" max="16384" width="37" style="5"/>
  </cols>
  <sheetData>
    <row r="1" spans="1:22" x14ac:dyDescent="0.35">
      <c r="A1" s="4" t="s">
        <v>722</v>
      </c>
      <c r="B1" s="4">
        <v>2025</v>
      </c>
      <c r="S1" s="13" t="s">
        <v>722</v>
      </c>
      <c r="T1" s="14">
        <v>2024</v>
      </c>
      <c r="U1" s="15"/>
      <c r="V1" s="15"/>
    </row>
    <row r="2" spans="1:22" x14ac:dyDescent="0.35">
      <c r="A2" s="6" t="s">
        <v>1</v>
      </c>
      <c r="B2" s="7">
        <f>SUM(D9:D146)</f>
        <v>99570</v>
      </c>
      <c r="K2" s="11" t="s">
        <v>2</v>
      </c>
      <c r="S2" s="16" t="s">
        <v>1</v>
      </c>
      <c r="T2" s="16">
        <f>SUM(U9:U184)</f>
        <v>117965</v>
      </c>
      <c r="U2" s="15"/>
      <c r="V2" s="15"/>
    </row>
    <row r="3" spans="1:22" x14ac:dyDescent="0.35">
      <c r="A3" s="6" t="s">
        <v>3</v>
      </c>
      <c r="B3" s="7">
        <v>85000</v>
      </c>
      <c r="K3" s="7">
        <f>MIN(K146-B2)</f>
        <v>-6395</v>
      </c>
      <c r="S3" s="16" t="s">
        <v>3</v>
      </c>
      <c r="T3" s="16">
        <v>75000</v>
      </c>
      <c r="U3" s="15"/>
      <c r="V3" s="15"/>
    </row>
    <row r="4" spans="1:22" x14ac:dyDescent="0.35">
      <c r="A4" s="6" t="s">
        <v>4</v>
      </c>
      <c r="B4" s="7">
        <f>MIN(B2-B3)</f>
        <v>14570</v>
      </c>
      <c r="K4" s="42">
        <f>K146/B2</f>
        <v>0.9357738274580697</v>
      </c>
      <c r="S4" s="16" t="s">
        <v>4</v>
      </c>
      <c r="T4" s="16">
        <f>MIN(T2-T3)</f>
        <v>42965</v>
      </c>
      <c r="U4" s="15"/>
      <c r="V4" s="15"/>
    </row>
    <row r="5" spans="1:22" x14ac:dyDescent="0.35">
      <c r="A5" s="6" t="s">
        <v>5</v>
      </c>
      <c r="B5" s="7">
        <v>120000</v>
      </c>
      <c r="S5" s="16" t="s">
        <v>5</v>
      </c>
      <c r="T5" s="16">
        <v>105000</v>
      </c>
      <c r="U5" s="15"/>
      <c r="V5" s="15"/>
    </row>
    <row r="6" spans="1:22" x14ac:dyDescent="0.35">
      <c r="A6" s="6" t="s">
        <v>4</v>
      </c>
      <c r="B6" s="7">
        <f>MIN(B2-B5)</f>
        <v>-20430</v>
      </c>
      <c r="S6" s="16" t="s">
        <v>4</v>
      </c>
      <c r="T6" s="16">
        <f>MIN(T2-T5)</f>
        <v>12965</v>
      </c>
      <c r="U6" s="15"/>
      <c r="V6" s="15"/>
    </row>
    <row r="7" spans="1:22" x14ac:dyDescent="0.35">
      <c r="S7" s="15"/>
      <c r="T7" s="15"/>
      <c r="U7" s="15"/>
      <c r="V7" s="15"/>
    </row>
    <row r="8" spans="1:22"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c r="S8" s="17" t="s">
        <v>6</v>
      </c>
      <c r="T8" s="17" t="s">
        <v>21</v>
      </c>
      <c r="U8" s="17" t="s">
        <v>9</v>
      </c>
      <c r="V8" s="17" t="s">
        <v>10</v>
      </c>
    </row>
    <row r="9" spans="1:22" x14ac:dyDescent="0.35">
      <c r="A9" s="9"/>
      <c r="B9" s="9" t="s">
        <v>23</v>
      </c>
      <c r="C9" s="10">
        <v>7500</v>
      </c>
      <c r="D9" s="10"/>
      <c r="E9" s="9"/>
      <c r="F9" s="9"/>
      <c r="G9" s="9"/>
      <c r="H9" s="9"/>
      <c r="I9" s="9"/>
      <c r="J9" s="9"/>
      <c r="K9" s="239"/>
      <c r="L9" s="9"/>
      <c r="M9" s="9"/>
      <c r="N9" s="9"/>
      <c r="P9" s="39" t="s">
        <v>24</v>
      </c>
      <c r="Q9" s="10">
        <v>33620</v>
      </c>
      <c r="S9" s="18" t="s">
        <v>723</v>
      </c>
      <c r="T9" s="18" t="s">
        <v>724</v>
      </c>
      <c r="U9" s="18">
        <v>500</v>
      </c>
      <c r="V9" s="18"/>
    </row>
    <row r="10" spans="1:22" x14ac:dyDescent="0.35">
      <c r="A10" s="9" t="s">
        <v>235</v>
      </c>
      <c r="B10" s="9" t="s">
        <v>32</v>
      </c>
      <c r="C10" s="10">
        <v>5000</v>
      </c>
      <c r="D10" s="10">
        <v>5000</v>
      </c>
      <c r="E10" s="9" t="s">
        <v>24</v>
      </c>
      <c r="F10" s="9" t="s">
        <v>236</v>
      </c>
      <c r="G10" s="9"/>
      <c r="H10" s="9"/>
      <c r="I10" s="9" t="s">
        <v>725</v>
      </c>
      <c r="J10" s="195">
        <v>45898</v>
      </c>
      <c r="K10" s="239">
        <v>5000</v>
      </c>
      <c r="L10" s="9" t="s">
        <v>237</v>
      </c>
      <c r="M10" s="9"/>
      <c r="N10" s="87" t="s">
        <v>238</v>
      </c>
      <c r="P10" s="39" t="s">
        <v>37</v>
      </c>
      <c r="Q10" s="10">
        <v>500</v>
      </c>
      <c r="S10" s="18" t="s">
        <v>723</v>
      </c>
      <c r="T10" s="18" t="s">
        <v>726</v>
      </c>
      <c r="U10" s="18">
        <v>0</v>
      </c>
      <c r="V10" s="18"/>
    </row>
    <row r="11" spans="1:22" ht="29" x14ac:dyDescent="0.35">
      <c r="A11" s="9" t="s">
        <v>171</v>
      </c>
      <c r="B11" s="9" t="s">
        <v>32</v>
      </c>
      <c r="C11" s="10">
        <v>5000</v>
      </c>
      <c r="D11" s="10">
        <v>5000</v>
      </c>
      <c r="E11" s="9" t="s">
        <v>95</v>
      </c>
      <c r="F11" s="9" t="s">
        <v>167</v>
      </c>
      <c r="G11" s="9"/>
      <c r="H11" s="9"/>
      <c r="I11" s="9" t="s">
        <v>725</v>
      </c>
      <c r="J11" s="195">
        <v>45939</v>
      </c>
      <c r="K11" s="239">
        <v>5000</v>
      </c>
      <c r="L11" s="9" t="s">
        <v>173</v>
      </c>
      <c r="M11" s="9"/>
      <c r="N11" s="87" t="s">
        <v>174</v>
      </c>
      <c r="P11" s="39" t="s">
        <v>47</v>
      </c>
      <c r="Q11" s="10"/>
      <c r="S11" s="84" t="s">
        <v>31</v>
      </c>
      <c r="T11" s="84" t="s">
        <v>109</v>
      </c>
      <c r="U11" s="84">
        <v>1000</v>
      </c>
      <c r="V11" s="84" t="s">
        <v>24</v>
      </c>
    </row>
    <row r="12" spans="1:22" x14ac:dyDescent="0.35">
      <c r="A12" s="9" t="s">
        <v>727</v>
      </c>
      <c r="B12" s="9" t="s">
        <v>131</v>
      </c>
      <c r="C12" s="10">
        <v>3500</v>
      </c>
      <c r="D12" s="10">
        <v>3000</v>
      </c>
      <c r="E12" s="9" t="s">
        <v>86</v>
      </c>
      <c r="F12" s="9" t="s">
        <v>206</v>
      </c>
      <c r="G12" s="9"/>
      <c r="H12" s="9"/>
      <c r="I12" s="9" t="s">
        <v>725</v>
      </c>
      <c r="J12" s="9"/>
      <c r="K12" s="239"/>
      <c r="L12" s="9" t="s">
        <v>728</v>
      </c>
      <c r="M12" s="9"/>
      <c r="N12" s="87" t="s">
        <v>729</v>
      </c>
      <c r="P12" s="39" t="s">
        <v>50</v>
      </c>
      <c r="Q12" s="10">
        <v>1000</v>
      </c>
      <c r="S12" s="18" t="s">
        <v>730</v>
      </c>
      <c r="T12" s="18" t="s">
        <v>724</v>
      </c>
      <c r="U12" s="18">
        <v>500</v>
      </c>
      <c r="V12" s="18" t="s">
        <v>76</v>
      </c>
    </row>
    <row r="13" spans="1:22" x14ac:dyDescent="0.35">
      <c r="A13" s="9" t="s">
        <v>198</v>
      </c>
      <c r="B13" s="9" t="s">
        <v>131</v>
      </c>
      <c r="C13" s="10">
        <v>3500</v>
      </c>
      <c r="D13" s="10">
        <v>0</v>
      </c>
      <c r="E13" s="9" t="s">
        <v>95</v>
      </c>
      <c r="F13" s="9" t="s">
        <v>142</v>
      </c>
      <c r="G13" s="9"/>
      <c r="H13" s="9"/>
      <c r="I13" s="9">
        <v>0</v>
      </c>
      <c r="J13" s="9"/>
      <c r="K13" s="239"/>
      <c r="L13" s="9" t="s">
        <v>240</v>
      </c>
      <c r="M13" s="9"/>
      <c r="N13" s="87" t="s">
        <v>241</v>
      </c>
      <c r="P13" s="39" t="s">
        <v>56</v>
      </c>
      <c r="Q13" s="10">
        <v>1250</v>
      </c>
      <c r="S13" s="18" t="s">
        <v>731</v>
      </c>
      <c r="T13" s="18" t="s">
        <v>732</v>
      </c>
      <c r="U13" s="18">
        <v>2460</v>
      </c>
      <c r="V13" s="18"/>
    </row>
    <row r="14" spans="1:22" ht="58" x14ac:dyDescent="0.35">
      <c r="A14" s="9" t="s">
        <v>242</v>
      </c>
      <c r="B14" s="9" t="s">
        <v>131</v>
      </c>
      <c r="C14" s="10">
        <v>3500</v>
      </c>
      <c r="D14" s="10">
        <v>3500</v>
      </c>
      <c r="E14" s="9" t="s">
        <v>90</v>
      </c>
      <c r="F14" s="9" t="s">
        <v>25</v>
      </c>
      <c r="G14" s="9" t="s">
        <v>733</v>
      </c>
      <c r="H14" s="9"/>
      <c r="I14" s="9" t="s">
        <v>725</v>
      </c>
      <c r="J14" s="195">
        <v>46003</v>
      </c>
      <c r="K14" s="239">
        <v>3500</v>
      </c>
      <c r="L14" s="9" t="s">
        <v>463</v>
      </c>
      <c r="M14" s="9"/>
      <c r="N14" s="87" t="s">
        <v>464</v>
      </c>
      <c r="P14" s="39" t="s">
        <v>62</v>
      </c>
      <c r="Q14" s="10"/>
      <c r="S14" s="18" t="s">
        <v>734</v>
      </c>
      <c r="T14" s="18" t="s">
        <v>735</v>
      </c>
      <c r="U14" s="18">
        <v>750</v>
      </c>
      <c r="V14" s="18" t="s">
        <v>76</v>
      </c>
    </row>
    <row r="15" spans="1:22" x14ac:dyDescent="0.35">
      <c r="A15" s="9" t="s">
        <v>368</v>
      </c>
      <c r="B15" s="9" t="s">
        <v>131</v>
      </c>
      <c r="C15" s="10">
        <v>3500</v>
      </c>
      <c r="D15" s="10">
        <v>2500</v>
      </c>
      <c r="E15" s="9" t="s">
        <v>93</v>
      </c>
      <c r="F15" s="9" t="s">
        <v>736</v>
      </c>
      <c r="G15" s="9" t="s">
        <v>737</v>
      </c>
      <c r="H15" s="9"/>
      <c r="I15" s="9" t="s">
        <v>738</v>
      </c>
      <c r="J15" s="195">
        <v>45953</v>
      </c>
      <c r="K15" s="239">
        <v>2500</v>
      </c>
      <c r="L15" s="9" t="s">
        <v>369</v>
      </c>
      <c r="M15" s="9"/>
      <c r="N15" s="92" t="s">
        <v>370</v>
      </c>
      <c r="P15" s="39" t="s">
        <v>68</v>
      </c>
      <c r="Q15" s="10">
        <v>3530</v>
      </c>
      <c r="S15" s="18" t="s">
        <v>739</v>
      </c>
      <c r="T15" s="18" t="s">
        <v>724</v>
      </c>
      <c r="U15" s="18">
        <v>530</v>
      </c>
      <c r="V15" s="18" t="s">
        <v>76</v>
      </c>
    </row>
    <row r="16" spans="1:22" ht="29" x14ac:dyDescent="0.35">
      <c r="A16" s="9" t="s">
        <v>260</v>
      </c>
      <c r="B16" s="9" t="s">
        <v>39</v>
      </c>
      <c r="C16" s="10">
        <v>2000</v>
      </c>
      <c r="D16" s="10">
        <v>1000</v>
      </c>
      <c r="E16" s="9" t="s">
        <v>50</v>
      </c>
      <c r="F16" s="9" t="s">
        <v>261</v>
      </c>
      <c r="G16" s="9"/>
      <c r="H16" s="94" t="s">
        <v>27</v>
      </c>
      <c r="I16" s="9"/>
      <c r="J16" s="195">
        <v>45985</v>
      </c>
      <c r="K16" s="239">
        <v>1000</v>
      </c>
      <c r="L16" s="9" t="s">
        <v>262</v>
      </c>
      <c r="M16" s="9"/>
      <c r="N16" s="9" t="s">
        <v>263</v>
      </c>
      <c r="P16" s="39" t="s">
        <v>76</v>
      </c>
      <c r="Q16" s="10">
        <v>8920</v>
      </c>
      <c r="S16" s="18" t="s">
        <v>740</v>
      </c>
      <c r="T16" s="18" t="s">
        <v>741</v>
      </c>
      <c r="U16" s="18">
        <v>0</v>
      </c>
      <c r="V16" s="18"/>
    </row>
    <row r="17" spans="1:22" ht="29" x14ac:dyDescent="0.35">
      <c r="A17" s="9" t="s">
        <v>742</v>
      </c>
      <c r="B17" s="9" t="s">
        <v>39</v>
      </c>
      <c r="C17" s="10">
        <v>2000</v>
      </c>
      <c r="D17" s="10">
        <v>2000</v>
      </c>
      <c r="E17" s="9" t="s">
        <v>24</v>
      </c>
      <c r="F17" s="9" t="s">
        <v>418</v>
      </c>
      <c r="G17" s="9"/>
      <c r="H17" s="94" t="s">
        <v>27</v>
      </c>
      <c r="I17" s="9"/>
      <c r="J17" s="9" t="s">
        <v>664</v>
      </c>
      <c r="K17" s="239">
        <v>2000</v>
      </c>
      <c r="L17" s="9" t="s">
        <v>743</v>
      </c>
      <c r="M17" s="9"/>
      <c r="N17" s="9" t="s">
        <v>744</v>
      </c>
      <c r="P17" s="39" t="s">
        <v>81</v>
      </c>
      <c r="Q17" s="10"/>
      <c r="S17" s="84" t="s">
        <v>479</v>
      </c>
      <c r="T17" s="84" t="s">
        <v>724</v>
      </c>
      <c r="U17" s="84">
        <v>500</v>
      </c>
      <c r="V17" s="84" t="s">
        <v>96</v>
      </c>
    </row>
    <row r="18" spans="1:22" x14ac:dyDescent="0.35">
      <c r="A18" s="9" t="s">
        <v>286</v>
      </c>
      <c r="B18" s="9" t="s">
        <v>39</v>
      </c>
      <c r="C18" s="10">
        <v>2000</v>
      </c>
      <c r="D18" s="10">
        <v>2500</v>
      </c>
      <c r="E18" s="9" t="s">
        <v>24</v>
      </c>
      <c r="F18" s="9" t="s">
        <v>745</v>
      </c>
      <c r="G18" s="9"/>
      <c r="H18" s="9"/>
      <c r="I18" s="9" t="s">
        <v>725</v>
      </c>
      <c r="J18" s="195">
        <v>45895</v>
      </c>
      <c r="K18" s="239">
        <v>2500</v>
      </c>
      <c r="L18" s="9" t="s">
        <v>746</v>
      </c>
      <c r="M18" s="9"/>
      <c r="N18" s="9"/>
      <c r="P18" s="39" t="s">
        <v>86</v>
      </c>
      <c r="Q18" s="10">
        <v>5600</v>
      </c>
      <c r="S18" s="84" t="s">
        <v>479</v>
      </c>
      <c r="T18" s="84" t="s">
        <v>726</v>
      </c>
      <c r="U18" s="84">
        <v>0</v>
      </c>
      <c r="V18" s="84" t="s">
        <v>95</v>
      </c>
    </row>
    <row r="19" spans="1:22" ht="43.5" x14ac:dyDescent="0.35">
      <c r="A19" s="9" t="s">
        <v>747</v>
      </c>
      <c r="B19" s="9" t="s">
        <v>39</v>
      </c>
      <c r="C19" s="10">
        <v>2000</v>
      </c>
      <c r="D19" s="10">
        <v>2000</v>
      </c>
      <c r="E19" s="9" t="s">
        <v>90</v>
      </c>
      <c r="F19" s="9" t="s">
        <v>557</v>
      </c>
      <c r="G19" s="9"/>
      <c r="H19" s="9"/>
      <c r="I19" s="9" t="s">
        <v>725</v>
      </c>
      <c r="J19" s="195">
        <v>45873</v>
      </c>
      <c r="K19" s="239">
        <v>2000</v>
      </c>
      <c r="L19" s="9" t="s">
        <v>559</v>
      </c>
      <c r="M19" s="9"/>
      <c r="N19" s="87" t="s">
        <v>560</v>
      </c>
      <c r="P19" s="39" t="s">
        <v>90</v>
      </c>
      <c r="Q19" s="10">
        <v>6500</v>
      </c>
      <c r="S19" s="121" t="s">
        <v>748</v>
      </c>
      <c r="T19" s="121" t="s">
        <v>726</v>
      </c>
      <c r="U19" s="121">
        <v>0</v>
      </c>
      <c r="V19" s="121" t="s">
        <v>95</v>
      </c>
    </row>
    <row r="20" spans="1:22" x14ac:dyDescent="0.35">
      <c r="A20" s="9" t="s">
        <v>749</v>
      </c>
      <c r="B20" s="9" t="s">
        <v>109</v>
      </c>
      <c r="C20" s="10">
        <v>1000</v>
      </c>
      <c r="D20" s="10">
        <v>1000</v>
      </c>
      <c r="E20" s="9" t="s">
        <v>90</v>
      </c>
      <c r="F20" s="9" t="s">
        <v>750</v>
      </c>
      <c r="G20" s="9"/>
      <c r="H20" s="9"/>
      <c r="I20" s="9" t="s">
        <v>751</v>
      </c>
      <c r="J20" s="195">
        <v>45989</v>
      </c>
      <c r="K20" s="239">
        <v>1000</v>
      </c>
      <c r="L20" s="9" t="s">
        <v>752</v>
      </c>
      <c r="M20" s="9"/>
      <c r="N20" s="81" t="s">
        <v>753</v>
      </c>
      <c r="P20" s="39" t="s">
        <v>91</v>
      </c>
      <c r="Q20" s="10"/>
      <c r="S20" s="84" t="s">
        <v>754</v>
      </c>
      <c r="T20" s="84" t="s">
        <v>735</v>
      </c>
      <c r="U20" s="84">
        <v>750</v>
      </c>
      <c r="V20" s="84" t="s">
        <v>68</v>
      </c>
    </row>
    <row r="21" spans="1:22" ht="29" x14ac:dyDescent="0.35">
      <c r="A21" s="9" t="s">
        <v>754</v>
      </c>
      <c r="B21" s="9" t="s">
        <v>109</v>
      </c>
      <c r="C21" s="10">
        <v>1000</v>
      </c>
      <c r="D21" s="10">
        <v>1000</v>
      </c>
      <c r="E21" s="9" t="s">
        <v>76</v>
      </c>
      <c r="F21" s="9" t="s">
        <v>656</v>
      </c>
      <c r="G21" s="9"/>
      <c r="H21" s="9"/>
      <c r="I21" s="9" t="s">
        <v>725</v>
      </c>
      <c r="J21" s="195">
        <v>45950</v>
      </c>
      <c r="K21" s="239">
        <v>1000</v>
      </c>
      <c r="L21" s="9" t="s">
        <v>755</v>
      </c>
      <c r="M21" s="9"/>
      <c r="N21" s="87" t="s">
        <v>756</v>
      </c>
      <c r="P21" s="39" t="s">
        <v>92</v>
      </c>
      <c r="Q21" s="10">
        <v>13105</v>
      </c>
      <c r="S21" s="18" t="s">
        <v>757</v>
      </c>
      <c r="T21" s="18" t="s">
        <v>724</v>
      </c>
      <c r="U21" s="18">
        <v>520</v>
      </c>
      <c r="V21" s="18" t="s">
        <v>76</v>
      </c>
    </row>
    <row r="22" spans="1:22" ht="29" x14ac:dyDescent="0.35">
      <c r="A22" s="9" t="s">
        <v>57</v>
      </c>
      <c r="B22" s="9" t="s">
        <v>109</v>
      </c>
      <c r="C22" s="10">
        <v>1000</v>
      </c>
      <c r="D22" s="10">
        <v>1400</v>
      </c>
      <c r="E22" s="9" t="s">
        <v>24</v>
      </c>
      <c r="F22" s="9" t="s">
        <v>58</v>
      </c>
      <c r="G22" s="9"/>
      <c r="H22" s="94" t="s">
        <v>27</v>
      </c>
      <c r="I22" s="9"/>
      <c r="J22" s="195" t="s">
        <v>758</v>
      </c>
      <c r="K22" s="239">
        <f>1251.25+148.75</f>
        <v>1400</v>
      </c>
      <c r="L22" s="9" t="s">
        <v>60</v>
      </c>
      <c r="M22" s="9"/>
      <c r="N22" s="9" t="s">
        <v>61</v>
      </c>
      <c r="P22" s="39" t="s">
        <v>93</v>
      </c>
      <c r="Q22" s="10">
        <v>7000</v>
      </c>
      <c r="S22" s="84" t="s">
        <v>759</v>
      </c>
      <c r="T22" s="84" t="s">
        <v>131</v>
      </c>
      <c r="U22" s="84">
        <v>3500</v>
      </c>
      <c r="V22" s="84" t="s">
        <v>86</v>
      </c>
    </row>
    <row r="23" spans="1:22" x14ac:dyDescent="0.35">
      <c r="A23" s="9" t="s">
        <v>48</v>
      </c>
      <c r="B23" s="9" t="s">
        <v>109</v>
      </c>
      <c r="C23" s="10">
        <v>1000</v>
      </c>
      <c r="D23" s="10">
        <v>1000</v>
      </c>
      <c r="E23" s="9" t="s">
        <v>24</v>
      </c>
      <c r="F23" s="9" t="s">
        <v>64</v>
      </c>
      <c r="G23" s="9"/>
      <c r="H23" s="9"/>
      <c r="I23" s="9" t="s">
        <v>725</v>
      </c>
      <c r="J23" s="195">
        <v>45924</v>
      </c>
      <c r="K23" s="239">
        <v>1000</v>
      </c>
      <c r="L23" s="9" t="s">
        <v>66</v>
      </c>
      <c r="M23" s="9"/>
      <c r="N23" s="9" t="s">
        <v>67</v>
      </c>
      <c r="P23" s="39" t="s">
        <v>94</v>
      </c>
      <c r="Q23" s="10"/>
      <c r="S23" s="84" t="s">
        <v>760</v>
      </c>
      <c r="T23" s="84" t="s">
        <v>724</v>
      </c>
      <c r="U23" s="84">
        <v>515</v>
      </c>
      <c r="V23" s="84"/>
    </row>
    <row r="24" spans="1:22" ht="29" x14ac:dyDescent="0.35">
      <c r="A24" s="9" t="s">
        <v>31</v>
      </c>
      <c r="B24" s="9" t="s">
        <v>109</v>
      </c>
      <c r="C24" s="10">
        <v>1000</v>
      </c>
      <c r="D24" s="10">
        <v>1000</v>
      </c>
      <c r="E24" s="9" t="s">
        <v>24</v>
      </c>
      <c r="F24" s="9" t="s">
        <v>33</v>
      </c>
      <c r="G24" s="9"/>
      <c r="H24" s="9"/>
      <c r="I24" s="9" t="s">
        <v>725</v>
      </c>
      <c r="J24" s="195">
        <v>45902</v>
      </c>
      <c r="K24" s="239">
        <v>1000</v>
      </c>
      <c r="L24" s="9" t="s">
        <v>35</v>
      </c>
      <c r="M24" s="9"/>
      <c r="N24" s="87" t="s">
        <v>36</v>
      </c>
      <c r="P24" s="39" t="s">
        <v>95</v>
      </c>
      <c r="Q24" s="10">
        <v>7175</v>
      </c>
      <c r="S24" s="84" t="s">
        <v>761</v>
      </c>
      <c r="T24" s="84" t="s">
        <v>735</v>
      </c>
      <c r="U24" s="84">
        <v>750</v>
      </c>
      <c r="V24" s="84" t="s">
        <v>76</v>
      </c>
    </row>
    <row r="25" spans="1:22" x14ac:dyDescent="0.35">
      <c r="A25" s="9" t="s">
        <v>51</v>
      </c>
      <c r="B25" s="9" t="s">
        <v>109</v>
      </c>
      <c r="C25" s="10">
        <v>1000</v>
      </c>
      <c r="D25" s="10">
        <v>1000</v>
      </c>
      <c r="E25" s="9" t="s">
        <v>24</v>
      </c>
      <c r="F25" s="9" t="s">
        <v>78</v>
      </c>
      <c r="G25" s="9" t="s">
        <v>762</v>
      </c>
      <c r="H25" s="94" t="s">
        <v>27</v>
      </c>
      <c r="I25" s="9"/>
      <c r="J25" s="195">
        <v>45980</v>
      </c>
      <c r="K25" s="239">
        <v>1000</v>
      </c>
      <c r="L25" s="9" t="s">
        <v>79</v>
      </c>
      <c r="M25" s="9"/>
      <c r="N25" s="9" t="s">
        <v>80</v>
      </c>
      <c r="P25" s="39" t="s">
        <v>96</v>
      </c>
      <c r="Q25" s="10">
        <v>500</v>
      </c>
      <c r="S25" s="18" t="s">
        <v>763</v>
      </c>
      <c r="T25" s="18" t="s">
        <v>724</v>
      </c>
      <c r="U25" s="18">
        <v>545</v>
      </c>
      <c r="V25" s="18"/>
    </row>
    <row r="26" spans="1:22" x14ac:dyDescent="0.35">
      <c r="A26" s="9" t="s">
        <v>69</v>
      </c>
      <c r="B26" s="9" t="s">
        <v>109</v>
      </c>
      <c r="C26" s="10">
        <v>1000</v>
      </c>
      <c r="D26" s="10">
        <v>1000</v>
      </c>
      <c r="E26" s="9" t="s">
        <v>24</v>
      </c>
      <c r="F26" s="9" t="s">
        <v>82</v>
      </c>
      <c r="G26" s="9"/>
      <c r="H26" s="9"/>
      <c r="I26" s="9" t="s">
        <v>725</v>
      </c>
      <c r="J26" s="195">
        <v>45967</v>
      </c>
      <c r="K26" s="239">
        <v>1000</v>
      </c>
      <c r="L26" s="9" t="s">
        <v>84</v>
      </c>
      <c r="M26" s="9"/>
      <c r="N26" s="9" t="s">
        <v>85</v>
      </c>
      <c r="P26" s="39" t="s">
        <v>97</v>
      </c>
      <c r="Q26" s="10"/>
      <c r="S26" s="84" t="s">
        <v>126</v>
      </c>
      <c r="T26" s="84" t="s">
        <v>724</v>
      </c>
      <c r="U26" s="84">
        <v>500</v>
      </c>
      <c r="V26" s="84" t="s">
        <v>24</v>
      </c>
    </row>
    <row r="27" spans="1:22" x14ac:dyDescent="0.35">
      <c r="A27" s="9" t="s">
        <v>764</v>
      </c>
      <c r="B27" s="9" t="s">
        <v>109</v>
      </c>
      <c r="C27" s="10">
        <v>1000</v>
      </c>
      <c r="D27" s="10">
        <v>1000</v>
      </c>
      <c r="E27" s="9" t="s">
        <v>92</v>
      </c>
      <c r="F27" s="9" t="s">
        <v>253</v>
      </c>
      <c r="G27" s="9"/>
      <c r="H27" s="9"/>
      <c r="I27" s="9" t="s">
        <v>725</v>
      </c>
      <c r="J27" s="195">
        <v>45895</v>
      </c>
      <c r="K27" s="239">
        <v>1000</v>
      </c>
      <c r="L27" s="9" t="s">
        <v>765</v>
      </c>
      <c r="M27" s="9"/>
      <c r="N27" s="87" t="s">
        <v>766</v>
      </c>
      <c r="P27" s="39" t="s">
        <v>98</v>
      </c>
      <c r="Q27" s="10">
        <v>10870</v>
      </c>
      <c r="S27" s="18" t="s">
        <v>767</v>
      </c>
      <c r="T27" s="18" t="s">
        <v>724</v>
      </c>
      <c r="U27" s="18">
        <v>570</v>
      </c>
      <c r="V27" s="18" t="s">
        <v>76</v>
      </c>
    </row>
    <row r="28" spans="1:22" x14ac:dyDescent="0.35">
      <c r="A28" s="9" t="s">
        <v>515</v>
      </c>
      <c r="B28" s="9" t="s">
        <v>109</v>
      </c>
      <c r="C28" s="10">
        <v>1000</v>
      </c>
      <c r="D28" s="10">
        <v>1090</v>
      </c>
      <c r="E28" s="9" t="s">
        <v>24</v>
      </c>
      <c r="F28" s="9" t="s">
        <v>28</v>
      </c>
      <c r="G28" s="9"/>
      <c r="H28" s="9"/>
      <c r="I28" s="9" t="s">
        <v>725</v>
      </c>
      <c r="J28" s="195">
        <v>45960</v>
      </c>
      <c r="K28" s="239">
        <v>1090</v>
      </c>
      <c r="L28" s="9" t="s">
        <v>518</v>
      </c>
      <c r="M28" s="9"/>
      <c r="N28" s="9" t="s">
        <v>519</v>
      </c>
      <c r="P28" s="39" t="s">
        <v>180</v>
      </c>
      <c r="Q28" s="10">
        <v>0</v>
      </c>
      <c r="S28" s="84" t="s">
        <v>634</v>
      </c>
      <c r="T28" s="84" t="s">
        <v>724</v>
      </c>
      <c r="U28" s="84">
        <v>530</v>
      </c>
      <c r="V28" s="84" t="s">
        <v>93</v>
      </c>
    </row>
    <row r="29" spans="1:22" x14ac:dyDescent="0.35">
      <c r="A29" s="9" t="s">
        <v>87</v>
      </c>
      <c r="B29" s="9" t="s">
        <v>109</v>
      </c>
      <c r="C29" s="10">
        <v>1000</v>
      </c>
      <c r="D29" s="10">
        <v>1000</v>
      </c>
      <c r="E29" s="9" t="s">
        <v>24</v>
      </c>
      <c r="F29" s="9" t="s">
        <v>768</v>
      </c>
      <c r="G29" s="9"/>
      <c r="H29" s="9"/>
      <c r="I29" s="9" t="s">
        <v>725</v>
      </c>
      <c r="J29" s="9"/>
      <c r="K29" s="239"/>
      <c r="L29" s="9" t="s">
        <v>769</v>
      </c>
      <c r="M29" s="9"/>
      <c r="N29" s="9" t="s">
        <v>770</v>
      </c>
      <c r="P29" s="45" t="s">
        <v>99</v>
      </c>
      <c r="Q29" s="46">
        <v>99570</v>
      </c>
      <c r="S29" s="121" t="s">
        <v>135</v>
      </c>
      <c r="T29" s="121" t="s">
        <v>23</v>
      </c>
      <c r="U29" s="121">
        <v>7500</v>
      </c>
      <c r="V29" s="121" t="s">
        <v>86</v>
      </c>
    </row>
    <row r="30" spans="1:22" x14ac:dyDescent="0.35">
      <c r="A30" s="9" t="s">
        <v>634</v>
      </c>
      <c r="B30" s="9" t="s">
        <v>109</v>
      </c>
      <c r="C30" s="10">
        <v>1000</v>
      </c>
      <c r="D30" s="10">
        <v>1000</v>
      </c>
      <c r="E30" s="9" t="s">
        <v>93</v>
      </c>
      <c r="F30" s="9" t="s">
        <v>771</v>
      </c>
      <c r="G30" s="9"/>
      <c r="H30" s="9"/>
      <c r="I30" s="9" t="s">
        <v>725</v>
      </c>
      <c r="J30" s="195">
        <v>45873</v>
      </c>
      <c r="K30" s="239">
        <v>1000</v>
      </c>
      <c r="L30" s="9" t="s">
        <v>772</v>
      </c>
      <c r="M30" s="9"/>
      <c r="N30" s="87" t="s">
        <v>773</v>
      </c>
      <c r="S30" s="18" t="s">
        <v>774</v>
      </c>
      <c r="T30" s="18" t="s">
        <v>735</v>
      </c>
      <c r="U30" s="18">
        <v>750</v>
      </c>
      <c r="V30" s="18" t="s">
        <v>96</v>
      </c>
    </row>
    <row r="31" spans="1:22" x14ac:dyDescent="0.35">
      <c r="A31" s="9" t="s">
        <v>775</v>
      </c>
      <c r="B31" s="9" t="s">
        <v>109</v>
      </c>
      <c r="C31" s="10">
        <v>1000</v>
      </c>
      <c r="D31" s="10">
        <v>1000</v>
      </c>
      <c r="E31" s="9" t="s">
        <v>93</v>
      </c>
      <c r="F31" s="9" t="s">
        <v>771</v>
      </c>
      <c r="G31" s="9"/>
      <c r="H31" s="9"/>
      <c r="I31" s="9" t="s">
        <v>725</v>
      </c>
      <c r="J31" s="195">
        <v>45869</v>
      </c>
      <c r="K31" s="239">
        <v>1000</v>
      </c>
      <c r="L31" s="9" t="s">
        <v>776</v>
      </c>
      <c r="M31" s="9"/>
      <c r="N31" s="87" t="s">
        <v>777</v>
      </c>
      <c r="S31" s="84" t="s">
        <v>490</v>
      </c>
      <c r="T31" s="84" t="s">
        <v>735</v>
      </c>
      <c r="U31" s="84">
        <v>850</v>
      </c>
      <c r="V31" s="84" t="s">
        <v>92</v>
      </c>
    </row>
    <row r="32" spans="1:22" x14ac:dyDescent="0.35">
      <c r="A32" s="9" t="s">
        <v>778</v>
      </c>
      <c r="B32" s="9" t="s">
        <v>109</v>
      </c>
      <c r="C32" s="10">
        <v>1000</v>
      </c>
      <c r="D32" s="10">
        <v>1000</v>
      </c>
      <c r="E32" s="9" t="s">
        <v>92</v>
      </c>
      <c r="F32" s="9" t="s">
        <v>771</v>
      </c>
      <c r="G32" s="9"/>
      <c r="H32" s="9"/>
      <c r="I32" s="9" t="s">
        <v>725</v>
      </c>
      <c r="J32" s="195">
        <v>45895</v>
      </c>
      <c r="K32" s="239">
        <v>1000</v>
      </c>
      <c r="L32" s="9" t="s">
        <v>779</v>
      </c>
      <c r="M32" s="9"/>
      <c r="N32" s="92" t="s">
        <v>780</v>
      </c>
      <c r="S32" s="84" t="s">
        <v>781</v>
      </c>
      <c r="T32" s="84" t="s">
        <v>726</v>
      </c>
      <c r="U32" s="84">
        <v>0</v>
      </c>
      <c r="V32" s="84"/>
    </row>
    <row r="33" spans="1:22" x14ac:dyDescent="0.35">
      <c r="A33" s="9" t="s">
        <v>761</v>
      </c>
      <c r="B33" s="9" t="s">
        <v>109</v>
      </c>
      <c r="C33" s="10">
        <v>1000</v>
      </c>
      <c r="D33" s="10">
        <v>1000</v>
      </c>
      <c r="E33" s="9" t="s">
        <v>76</v>
      </c>
      <c r="F33" s="9" t="s">
        <v>567</v>
      </c>
      <c r="G33" s="9"/>
      <c r="H33" s="9"/>
      <c r="I33" s="9" t="s">
        <v>569</v>
      </c>
      <c r="J33" s="195">
        <v>45951</v>
      </c>
      <c r="K33" s="239">
        <v>1000</v>
      </c>
      <c r="L33" s="9" t="s">
        <v>782</v>
      </c>
      <c r="M33" s="9"/>
      <c r="N33" s="87" t="s">
        <v>783</v>
      </c>
      <c r="S33" s="84" t="s">
        <v>784</v>
      </c>
      <c r="T33" s="84" t="s">
        <v>724</v>
      </c>
      <c r="U33" s="84">
        <v>500</v>
      </c>
      <c r="V33" s="84" t="s">
        <v>76</v>
      </c>
    </row>
    <row r="34" spans="1:22" x14ac:dyDescent="0.35">
      <c r="A34" s="9" t="s">
        <v>785</v>
      </c>
      <c r="B34" s="9" t="s">
        <v>109</v>
      </c>
      <c r="C34" s="10">
        <v>1000</v>
      </c>
      <c r="D34" s="10">
        <v>1000</v>
      </c>
      <c r="E34" s="9"/>
      <c r="F34" s="9" t="s">
        <v>786</v>
      </c>
      <c r="G34" s="9" t="s">
        <v>787</v>
      </c>
      <c r="H34" s="9"/>
      <c r="I34" s="9"/>
      <c r="J34" s="195">
        <v>45919</v>
      </c>
      <c r="K34" s="239">
        <v>1000</v>
      </c>
      <c r="L34" s="9" t="s">
        <v>443</v>
      </c>
      <c r="M34" s="9"/>
      <c r="N34" s="92" t="s">
        <v>444</v>
      </c>
      <c r="S34" s="84" t="s">
        <v>788</v>
      </c>
      <c r="T34" s="84" t="s">
        <v>726</v>
      </c>
      <c r="U34" s="84">
        <v>0</v>
      </c>
      <c r="V34" s="84"/>
    </row>
    <row r="35" spans="1:22" x14ac:dyDescent="0.35">
      <c r="A35" s="9" t="s">
        <v>789</v>
      </c>
      <c r="B35" s="9" t="s">
        <v>109</v>
      </c>
      <c r="C35" s="10">
        <v>1000</v>
      </c>
      <c r="D35" s="10">
        <v>0</v>
      </c>
      <c r="E35" s="9"/>
      <c r="F35" s="9"/>
      <c r="G35" s="9" t="s">
        <v>790</v>
      </c>
      <c r="H35" s="9"/>
      <c r="I35" s="9">
        <v>0</v>
      </c>
      <c r="J35" s="9"/>
      <c r="K35" s="9"/>
      <c r="L35" s="9"/>
      <c r="M35" s="9"/>
      <c r="N35" s="9"/>
      <c r="S35" s="18" t="s">
        <v>791</v>
      </c>
      <c r="T35" s="18" t="s">
        <v>726</v>
      </c>
      <c r="U35" s="18">
        <v>0</v>
      </c>
      <c r="V35" s="18"/>
    </row>
    <row r="36" spans="1:22" ht="29" x14ac:dyDescent="0.35">
      <c r="A36" s="9" t="s">
        <v>170</v>
      </c>
      <c r="B36" s="9" t="s">
        <v>792</v>
      </c>
      <c r="C36" s="10">
        <v>3500</v>
      </c>
      <c r="D36" s="10">
        <v>2000</v>
      </c>
      <c r="E36" s="9" t="s">
        <v>24</v>
      </c>
      <c r="F36" s="9" t="s">
        <v>227</v>
      </c>
      <c r="G36" s="9" t="s">
        <v>228</v>
      </c>
      <c r="H36" s="9"/>
      <c r="I36" s="9" t="s">
        <v>725</v>
      </c>
      <c r="J36" s="195">
        <v>45940</v>
      </c>
      <c r="K36" s="239">
        <v>2000</v>
      </c>
      <c r="L36" s="9" t="s">
        <v>230</v>
      </c>
      <c r="M36" s="9"/>
      <c r="N36" s="9" t="s">
        <v>231</v>
      </c>
      <c r="S36" s="18" t="s">
        <v>793</v>
      </c>
      <c r="T36" s="18" t="s">
        <v>732</v>
      </c>
      <c r="U36" s="18">
        <v>725</v>
      </c>
      <c r="V36" s="18"/>
    </row>
    <row r="37" spans="1:22" x14ac:dyDescent="0.35">
      <c r="A37" s="9" t="s">
        <v>521</v>
      </c>
      <c r="B37" s="9" t="s">
        <v>792</v>
      </c>
      <c r="C37" s="10">
        <v>3500</v>
      </c>
      <c r="D37" s="10">
        <v>3500</v>
      </c>
      <c r="E37" s="9" t="s">
        <v>24</v>
      </c>
      <c r="F37" s="9" t="s">
        <v>522</v>
      </c>
      <c r="G37" s="9"/>
      <c r="H37" s="9"/>
      <c r="I37" s="9" t="s">
        <v>725</v>
      </c>
      <c r="J37" s="195">
        <v>45922</v>
      </c>
      <c r="K37" s="239">
        <v>3500</v>
      </c>
      <c r="L37" s="9" t="s">
        <v>523</v>
      </c>
      <c r="M37" s="9"/>
      <c r="N37" s="9" t="s">
        <v>524</v>
      </c>
      <c r="S37" s="84" t="s">
        <v>368</v>
      </c>
      <c r="T37" s="84" t="s">
        <v>39</v>
      </c>
      <c r="U37" s="84">
        <v>2000</v>
      </c>
      <c r="V37" s="84" t="s">
        <v>92</v>
      </c>
    </row>
    <row r="38" spans="1:22" ht="29" x14ac:dyDescent="0.35">
      <c r="A38" s="9" t="s">
        <v>794</v>
      </c>
      <c r="B38" s="9" t="s">
        <v>795</v>
      </c>
      <c r="C38" s="10">
        <v>2500</v>
      </c>
      <c r="D38" s="10">
        <v>2500</v>
      </c>
      <c r="E38" s="9" t="s">
        <v>92</v>
      </c>
      <c r="F38" s="9" t="s">
        <v>208</v>
      </c>
      <c r="G38" s="9" t="s">
        <v>796</v>
      </c>
      <c r="H38" s="9"/>
      <c r="I38" s="9" t="s">
        <v>725</v>
      </c>
      <c r="J38" s="195">
        <v>45880</v>
      </c>
      <c r="K38" s="239">
        <v>2500</v>
      </c>
      <c r="L38" s="9" t="s">
        <v>797</v>
      </c>
      <c r="M38" s="9"/>
      <c r="N38" s="87" t="s">
        <v>798</v>
      </c>
      <c r="S38" s="84" t="s">
        <v>338</v>
      </c>
      <c r="T38" s="84" t="s">
        <v>724</v>
      </c>
      <c r="U38" s="84">
        <v>670</v>
      </c>
      <c r="V38" s="84" t="s">
        <v>95</v>
      </c>
    </row>
    <row r="39" spans="1:22" x14ac:dyDescent="0.35">
      <c r="A39" s="9" t="s">
        <v>232</v>
      </c>
      <c r="B39" s="9" t="s">
        <v>631</v>
      </c>
      <c r="C39" s="10">
        <v>2500</v>
      </c>
      <c r="D39" s="10">
        <v>2000</v>
      </c>
      <c r="E39" s="9" t="s">
        <v>24</v>
      </c>
      <c r="F39" s="9" t="s">
        <v>42</v>
      </c>
      <c r="G39" s="9"/>
      <c r="H39" s="9"/>
      <c r="I39" s="9" t="s">
        <v>725</v>
      </c>
      <c r="J39" s="195">
        <v>45883</v>
      </c>
      <c r="K39" s="239">
        <v>2000</v>
      </c>
      <c r="L39" s="9" t="s">
        <v>233</v>
      </c>
      <c r="M39" s="9"/>
      <c r="N39" s="9" t="s">
        <v>234</v>
      </c>
      <c r="S39" s="84" t="s">
        <v>799</v>
      </c>
      <c r="T39" s="84" t="s">
        <v>724</v>
      </c>
      <c r="U39" s="84">
        <v>500</v>
      </c>
      <c r="V39" s="84" t="s">
        <v>76</v>
      </c>
    </row>
    <row r="40" spans="1:22" x14ac:dyDescent="0.35">
      <c r="A40" s="9" t="s">
        <v>160</v>
      </c>
      <c r="B40" s="9" t="s">
        <v>631</v>
      </c>
      <c r="C40" s="10">
        <v>2500</v>
      </c>
      <c r="D40" s="10">
        <v>1350</v>
      </c>
      <c r="E40" s="9" t="s">
        <v>86</v>
      </c>
      <c r="F40" s="9" t="s">
        <v>161</v>
      </c>
      <c r="G40" s="9"/>
      <c r="H40" s="9"/>
      <c r="I40" s="9" t="s">
        <v>725</v>
      </c>
      <c r="J40" s="195">
        <v>45891</v>
      </c>
      <c r="K40" s="239">
        <v>1350</v>
      </c>
      <c r="L40" s="9" t="s">
        <v>163</v>
      </c>
      <c r="M40" s="9"/>
      <c r="N40" s="87" t="s">
        <v>164</v>
      </c>
      <c r="S40" s="121" t="s">
        <v>800</v>
      </c>
      <c r="T40" s="121" t="s">
        <v>724</v>
      </c>
      <c r="U40" s="121">
        <v>565</v>
      </c>
      <c r="V40" s="121" t="s">
        <v>93</v>
      </c>
    </row>
    <row r="41" spans="1:22" x14ac:dyDescent="0.35">
      <c r="A41" s="9" t="s">
        <v>801</v>
      </c>
      <c r="B41" s="9" t="s">
        <v>631</v>
      </c>
      <c r="C41" s="10">
        <v>2500</v>
      </c>
      <c r="D41" s="10">
        <v>2500</v>
      </c>
      <c r="E41" s="9" t="s">
        <v>24</v>
      </c>
      <c r="F41" s="9" t="s">
        <v>417</v>
      </c>
      <c r="G41" s="9" t="s">
        <v>802</v>
      </c>
      <c r="H41" s="9"/>
      <c r="I41" s="9" t="s">
        <v>725</v>
      </c>
      <c r="J41" s="195">
        <v>45939</v>
      </c>
      <c r="K41" s="239">
        <v>2500</v>
      </c>
      <c r="L41" s="9" t="s">
        <v>79</v>
      </c>
      <c r="M41" s="9"/>
      <c r="N41" s="9" t="s">
        <v>80</v>
      </c>
      <c r="S41" s="18" t="s">
        <v>803</v>
      </c>
      <c r="T41" s="18" t="s">
        <v>741</v>
      </c>
      <c r="U41" s="18">
        <v>0</v>
      </c>
      <c r="V41" s="18"/>
    </row>
    <row r="42" spans="1:22" ht="43.5" x14ac:dyDescent="0.35">
      <c r="A42" s="9" t="s">
        <v>804</v>
      </c>
      <c r="B42" s="9" t="s">
        <v>631</v>
      </c>
      <c r="C42" s="10">
        <v>2500</v>
      </c>
      <c r="D42" s="10">
        <v>2000</v>
      </c>
      <c r="E42" s="9" t="s">
        <v>76</v>
      </c>
      <c r="F42" s="9" t="s">
        <v>786</v>
      </c>
      <c r="G42" s="9"/>
      <c r="H42" s="9"/>
      <c r="I42" s="9" t="s">
        <v>805</v>
      </c>
      <c r="J42" s="195">
        <v>45922</v>
      </c>
      <c r="K42" s="239">
        <v>2000</v>
      </c>
      <c r="L42" s="9" t="s">
        <v>806</v>
      </c>
      <c r="M42" s="9"/>
      <c r="N42" s="9" t="s">
        <v>807</v>
      </c>
      <c r="S42" s="84" t="s">
        <v>157</v>
      </c>
      <c r="T42" s="84" t="s">
        <v>724</v>
      </c>
      <c r="U42" s="84">
        <v>580</v>
      </c>
      <c r="V42" s="84" t="s">
        <v>92</v>
      </c>
    </row>
    <row r="43" spans="1:22" x14ac:dyDescent="0.35">
      <c r="A43" s="9"/>
      <c r="B43" s="9" t="s">
        <v>201</v>
      </c>
      <c r="C43" s="10">
        <v>2500</v>
      </c>
      <c r="D43" s="10"/>
      <c r="E43" s="9"/>
      <c r="F43" s="9"/>
      <c r="G43" s="9"/>
      <c r="H43" s="9"/>
      <c r="I43" s="9"/>
      <c r="J43" s="9"/>
      <c r="K43" s="239"/>
      <c r="L43" s="9"/>
      <c r="M43" s="9"/>
      <c r="N43" s="9"/>
      <c r="S43" s="84" t="s">
        <v>808</v>
      </c>
      <c r="T43" s="84" t="s">
        <v>726</v>
      </c>
      <c r="U43" s="84">
        <v>0</v>
      </c>
      <c r="V43" s="84"/>
    </row>
    <row r="44" spans="1:22" ht="58" x14ac:dyDescent="0.35">
      <c r="A44" s="9" t="s">
        <v>204</v>
      </c>
      <c r="B44" s="9" t="s">
        <v>809</v>
      </c>
      <c r="C44" s="10">
        <v>3500</v>
      </c>
      <c r="D44" s="10">
        <v>3500</v>
      </c>
      <c r="E44" s="9" t="s">
        <v>24</v>
      </c>
      <c r="F44" s="9" t="s">
        <v>206</v>
      </c>
      <c r="G44" s="9" t="s">
        <v>810</v>
      </c>
      <c r="H44" s="99"/>
      <c r="I44" s="9" t="s">
        <v>725</v>
      </c>
      <c r="J44" s="195">
        <v>45981</v>
      </c>
      <c r="K44" s="239">
        <v>3500</v>
      </c>
      <c r="L44" s="9" t="s">
        <v>209</v>
      </c>
      <c r="M44" s="126" t="s">
        <v>210</v>
      </c>
      <c r="N44" s="9" t="s">
        <v>211</v>
      </c>
      <c r="S44" s="84" t="s">
        <v>170</v>
      </c>
      <c r="T44" s="84" t="s">
        <v>792</v>
      </c>
      <c r="U44" s="84">
        <v>2000</v>
      </c>
      <c r="V44" s="84" t="s">
        <v>24</v>
      </c>
    </row>
    <row r="45" spans="1:22" x14ac:dyDescent="0.35">
      <c r="A45" s="9" t="s">
        <v>317</v>
      </c>
      <c r="B45" s="9" t="s">
        <v>735</v>
      </c>
      <c r="C45" s="10">
        <v>750</v>
      </c>
      <c r="D45" s="10">
        <v>750</v>
      </c>
      <c r="E45" s="9" t="s">
        <v>68</v>
      </c>
      <c r="F45" s="9" t="s">
        <v>643</v>
      </c>
      <c r="G45" s="9"/>
      <c r="H45" s="9"/>
      <c r="I45" s="9" t="s">
        <v>725</v>
      </c>
      <c r="J45" s="195">
        <v>45951</v>
      </c>
      <c r="K45" s="239">
        <v>750</v>
      </c>
      <c r="L45" s="9" t="s">
        <v>645</v>
      </c>
      <c r="M45" s="9"/>
      <c r="N45" s="87" t="s">
        <v>646</v>
      </c>
      <c r="S45" s="18" t="s">
        <v>181</v>
      </c>
      <c r="T45" s="18" t="s">
        <v>741</v>
      </c>
      <c r="U45" s="18">
        <v>0</v>
      </c>
      <c r="V45" s="18"/>
    </row>
    <row r="46" spans="1:22" x14ac:dyDescent="0.35">
      <c r="A46" s="9" t="s">
        <v>811</v>
      </c>
      <c r="B46" s="9" t="s">
        <v>735</v>
      </c>
      <c r="C46" s="10">
        <v>750</v>
      </c>
      <c r="D46" s="10">
        <v>750</v>
      </c>
      <c r="E46" s="9" t="s">
        <v>76</v>
      </c>
      <c r="F46" s="9" t="s">
        <v>812</v>
      </c>
      <c r="G46" s="9"/>
      <c r="H46" s="9"/>
      <c r="I46" s="9" t="s">
        <v>725</v>
      </c>
      <c r="J46" s="195">
        <v>45971</v>
      </c>
      <c r="K46" s="239">
        <v>750</v>
      </c>
      <c r="L46" s="9" t="s">
        <v>813</v>
      </c>
      <c r="M46" s="9"/>
      <c r="N46" s="87" t="s">
        <v>814</v>
      </c>
      <c r="S46" s="84" t="s">
        <v>198</v>
      </c>
      <c r="T46" s="84" t="s">
        <v>131</v>
      </c>
      <c r="U46" s="84">
        <v>0</v>
      </c>
      <c r="V46" s="84" t="s">
        <v>95</v>
      </c>
    </row>
    <row r="47" spans="1:22" x14ac:dyDescent="0.35">
      <c r="A47" s="9" t="s">
        <v>815</v>
      </c>
      <c r="B47" s="9" t="s">
        <v>735</v>
      </c>
      <c r="C47" s="10">
        <v>750</v>
      </c>
      <c r="D47" s="10">
        <v>750</v>
      </c>
      <c r="E47" s="9" t="s">
        <v>92</v>
      </c>
      <c r="F47" s="9" t="s">
        <v>353</v>
      </c>
      <c r="G47" s="9"/>
      <c r="H47" s="9"/>
      <c r="I47" s="9" t="s">
        <v>725</v>
      </c>
      <c r="J47" s="195">
        <v>45911</v>
      </c>
      <c r="K47" s="239">
        <v>750</v>
      </c>
      <c r="L47" s="9" t="s">
        <v>816</v>
      </c>
      <c r="M47" s="9"/>
      <c r="N47" s="87" t="s">
        <v>817</v>
      </c>
      <c r="S47" s="84" t="s">
        <v>818</v>
      </c>
      <c r="T47" s="84" t="s">
        <v>724</v>
      </c>
      <c r="U47" s="84">
        <v>500</v>
      </c>
      <c r="V47" s="84"/>
    </row>
    <row r="48" spans="1:22" ht="29" x14ac:dyDescent="0.35">
      <c r="A48" s="112" t="s">
        <v>819</v>
      </c>
      <c r="B48" s="9" t="s">
        <v>735</v>
      </c>
      <c r="C48" s="10">
        <v>750</v>
      </c>
      <c r="D48" s="113" t="s">
        <v>820</v>
      </c>
      <c r="E48" s="9" t="s">
        <v>93</v>
      </c>
      <c r="F48" s="9" t="s">
        <v>353</v>
      </c>
      <c r="G48" s="9"/>
      <c r="H48" s="9"/>
      <c r="I48" s="9" t="s">
        <v>725</v>
      </c>
      <c r="J48" s="195">
        <v>45873</v>
      </c>
      <c r="K48" s="239">
        <v>750</v>
      </c>
      <c r="L48" s="27" t="s">
        <v>365</v>
      </c>
      <c r="M48" s="27"/>
      <c r="N48" s="155" t="s">
        <v>366</v>
      </c>
      <c r="S48" s="18" t="s">
        <v>821</v>
      </c>
      <c r="T48" s="18" t="s">
        <v>724</v>
      </c>
      <c r="U48" s="18">
        <v>530</v>
      </c>
      <c r="V48" s="18" t="s">
        <v>76</v>
      </c>
    </row>
    <row r="49" spans="1:22" x14ac:dyDescent="0.35">
      <c r="A49" s="9" t="s">
        <v>822</v>
      </c>
      <c r="B49" s="9" t="s">
        <v>735</v>
      </c>
      <c r="C49" s="10">
        <v>750</v>
      </c>
      <c r="D49" s="10">
        <v>750</v>
      </c>
      <c r="E49" s="9" t="s">
        <v>93</v>
      </c>
      <c r="F49" s="9" t="s">
        <v>111</v>
      </c>
      <c r="G49" s="9"/>
      <c r="H49" s="9"/>
      <c r="I49" s="9" t="s">
        <v>725</v>
      </c>
      <c r="J49" s="195">
        <v>45925</v>
      </c>
      <c r="K49" s="239">
        <v>750</v>
      </c>
      <c r="L49" s="9" t="s">
        <v>823</v>
      </c>
      <c r="M49" s="9"/>
      <c r="N49" s="87" t="s">
        <v>824</v>
      </c>
      <c r="S49" s="84" t="s">
        <v>48</v>
      </c>
      <c r="T49" s="84" t="s">
        <v>109</v>
      </c>
      <c r="U49" s="84">
        <v>1000</v>
      </c>
      <c r="V49" s="84" t="s">
        <v>24</v>
      </c>
    </row>
    <row r="50" spans="1:22" ht="29" x14ac:dyDescent="0.35">
      <c r="A50" s="9" t="s">
        <v>194</v>
      </c>
      <c r="B50" s="9" t="s">
        <v>735</v>
      </c>
      <c r="C50" s="10">
        <v>750</v>
      </c>
      <c r="D50" s="10">
        <v>0</v>
      </c>
      <c r="E50" s="9" t="s">
        <v>56</v>
      </c>
      <c r="F50" s="9" t="s">
        <v>195</v>
      </c>
      <c r="G50" s="9" t="s">
        <v>825</v>
      </c>
      <c r="H50" s="99"/>
      <c r="I50" s="9">
        <v>0</v>
      </c>
      <c r="J50" s="9"/>
      <c r="K50" s="239"/>
      <c r="L50" s="9" t="s">
        <v>196</v>
      </c>
      <c r="M50" s="9"/>
      <c r="N50" s="9" t="s">
        <v>197</v>
      </c>
      <c r="S50" s="84" t="s">
        <v>218</v>
      </c>
      <c r="T50" s="84" t="s">
        <v>735</v>
      </c>
      <c r="U50" s="84">
        <v>500</v>
      </c>
      <c r="V50" s="84" t="s">
        <v>24</v>
      </c>
    </row>
    <row r="51" spans="1:22" x14ac:dyDescent="0.35">
      <c r="A51" s="9"/>
      <c r="B51" s="9" t="s">
        <v>735</v>
      </c>
      <c r="C51" s="10">
        <v>750</v>
      </c>
      <c r="D51" s="10"/>
      <c r="E51" s="9"/>
      <c r="F51" s="9"/>
      <c r="G51" s="9"/>
      <c r="H51" s="9"/>
      <c r="I51" s="9"/>
      <c r="J51" s="9"/>
      <c r="K51" s="239"/>
      <c r="L51" s="9"/>
      <c r="M51" s="9"/>
      <c r="N51" s="87"/>
      <c r="S51" s="84" t="s">
        <v>171</v>
      </c>
      <c r="T51" s="84" t="s">
        <v>32</v>
      </c>
      <c r="U51" s="84">
        <v>5000</v>
      </c>
      <c r="V51" s="84" t="s">
        <v>95</v>
      </c>
    </row>
    <row r="52" spans="1:22" ht="29" x14ac:dyDescent="0.35">
      <c r="A52" s="9" t="s">
        <v>826</v>
      </c>
      <c r="B52" s="9" t="s">
        <v>735</v>
      </c>
      <c r="C52" s="10">
        <v>750</v>
      </c>
      <c r="D52" s="10">
        <v>600</v>
      </c>
      <c r="E52" s="9" t="s">
        <v>24</v>
      </c>
      <c r="F52" s="9" t="s">
        <v>107</v>
      </c>
      <c r="G52" s="9"/>
      <c r="H52" s="9"/>
      <c r="I52" s="9" t="s">
        <v>725</v>
      </c>
      <c r="J52" s="195">
        <v>45877</v>
      </c>
      <c r="K52" s="239">
        <v>600</v>
      </c>
      <c r="L52" s="9" t="s">
        <v>827</v>
      </c>
      <c r="M52" s="9"/>
      <c r="N52" s="87" t="s">
        <v>828</v>
      </c>
      <c r="S52" s="18" t="s">
        <v>829</v>
      </c>
      <c r="T52" s="18" t="s">
        <v>726</v>
      </c>
      <c r="U52" s="18">
        <v>0</v>
      </c>
      <c r="V52" s="18"/>
    </row>
    <row r="53" spans="1:22" ht="29" x14ac:dyDescent="0.35">
      <c r="A53" s="9" t="s">
        <v>490</v>
      </c>
      <c r="B53" s="9" t="s">
        <v>735</v>
      </c>
      <c r="C53" s="10">
        <v>750</v>
      </c>
      <c r="D53" s="10">
        <v>750</v>
      </c>
      <c r="E53" s="9" t="s">
        <v>92</v>
      </c>
      <c r="F53" s="9" t="s">
        <v>28</v>
      </c>
      <c r="G53" s="9"/>
      <c r="H53" s="163" t="s">
        <v>27</v>
      </c>
      <c r="I53" s="9">
        <v>0</v>
      </c>
      <c r="J53" s="9" t="s">
        <v>830</v>
      </c>
      <c r="K53" s="239">
        <f>217+533</f>
        <v>750</v>
      </c>
      <c r="L53" s="9" t="s">
        <v>516</v>
      </c>
      <c r="M53" s="9"/>
      <c r="N53" s="9" t="s">
        <v>517</v>
      </c>
      <c r="S53" s="84" t="s">
        <v>51</v>
      </c>
      <c r="T53" s="84" t="s">
        <v>109</v>
      </c>
      <c r="U53" s="84">
        <v>1000</v>
      </c>
      <c r="V53" s="84" t="s">
        <v>24</v>
      </c>
    </row>
    <row r="54" spans="1:22" x14ac:dyDescent="0.35">
      <c r="A54" s="9" t="s">
        <v>831</v>
      </c>
      <c r="B54" s="9" t="s">
        <v>735</v>
      </c>
      <c r="C54" s="10">
        <v>750</v>
      </c>
      <c r="D54" s="10">
        <v>750</v>
      </c>
      <c r="E54" s="9" t="s">
        <v>86</v>
      </c>
      <c r="F54" s="9" t="s">
        <v>270</v>
      </c>
      <c r="G54" s="9"/>
      <c r="H54" s="9"/>
      <c r="I54" s="9" t="s">
        <v>725</v>
      </c>
      <c r="J54" s="195">
        <v>45953</v>
      </c>
      <c r="K54" s="239">
        <v>750</v>
      </c>
      <c r="L54" s="9" t="s">
        <v>832</v>
      </c>
      <c r="M54" s="9"/>
      <c r="N54" s="87" t="s">
        <v>833</v>
      </c>
      <c r="S54" s="84" t="s">
        <v>204</v>
      </c>
      <c r="T54" s="84" t="s">
        <v>834</v>
      </c>
      <c r="U54" s="84">
        <v>3500</v>
      </c>
      <c r="V54" s="84" t="s">
        <v>37</v>
      </c>
    </row>
    <row r="55" spans="1:22" x14ac:dyDescent="0.35">
      <c r="A55" s="9" t="s">
        <v>549</v>
      </c>
      <c r="B55" s="9" t="s">
        <v>735</v>
      </c>
      <c r="C55" s="10">
        <v>750</v>
      </c>
      <c r="D55" s="10">
        <v>750</v>
      </c>
      <c r="E55" s="9" t="s">
        <v>95</v>
      </c>
      <c r="F55" s="9" t="s">
        <v>439</v>
      </c>
      <c r="G55" s="9"/>
      <c r="H55" s="9"/>
      <c r="I55" s="9" t="s">
        <v>725</v>
      </c>
      <c r="J55" s="9"/>
      <c r="K55" s="239"/>
      <c r="L55" s="9" t="s">
        <v>550</v>
      </c>
      <c r="M55" s="9"/>
      <c r="N55" s="87" t="s">
        <v>551</v>
      </c>
      <c r="S55" s="84" t="s">
        <v>494</v>
      </c>
      <c r="T55" s="84" t="s">
        <v>726</v>
      </c>
      <c r="U55" s="84">
        <v>0</v>
      </c>
      <c r="V55" s="84"/>
    </row>
    <row r="56" spans="1:22" x14ac:dyDescent="0.35">
      <c r="A56" s="9" t="s">
        <v>526</v>
      </c>
      <c r="B56" s="9" t="s">
        <v>735</v>
      </c>
      <c r="C56" s="10">
        <v>750</v>
      </c>
      <c r="D56" s="10">
        <v>750</v>
      </c>
      <c r="E56" s="9" t="s">
        <v>93</v>
      </c>
      <c r="F56" s="9" t="s">
        <v>527</v>
      </c>
      <c r="G56" s="9"/>
      <c r="H56" s="9"/>
      <c r="I56" s="9" t="s">
        <v>725</v>
      </c>
      <c r="J56" s="195">
        <v>45981</v>
      </c>
      <c r="K56" s="239">
        <v>750</v>
      </c>
      <c r="L56" s="9" t="s">
        <v>528</v>
      </c>
      <c r="M56" s="9"/>
      <c r="N56" s="87" t="s">
        <v>529</v>
      </c>
      <c r="S56" s="84" t="s">
        <v>835</v>
      </c>
      <c r="T56" s="84" t="s">
        <v>735</v>
      </c>
      <c r="U56" s="84">
        <v>750</v>
      </c>
      <c r="V56" s="84"/>
    </row>
    <row r="57" spans="1:22" x14ac:dyDescent="0.35">
      <c r="A57" s="9" t="s">
        <v>836</v>
      </c>
      <c r="B57" s="9" t="s">
        <v>735</v>
      </c>
      <c r="C57" s="10">
        <v>750</v>
      </c>
      <c r="D57" s="10">
        <v>750</v>
      </c>
      <c r="E57" s="9" t="s">
        <v>92</v>
      </c>
      <c r="F57" s="9" t="s">
        <v>837</v>
      </c>
      <c r="G57" s="9"/>
      <c r="H57" s="9"/>
      <c r="I57" s="9" t="s">
        <v>725</v>
      </c>
      <c r="J57" s="195">
        <v>45887</v>
      </c>
      <c r="K57" s="239">
        <v>750</v>
      </c>
      <c r="L57" s="9" t="s">
        <v>838</v>
      </c>
      <c r="M57" s="9"/>
      <c r="N57" s="87" t="s">
        <v>839</v>
      </c>
      <c r="S57" s="84" t="s">
        <v>840</v>
      </c>
      <c r="T57" s="84" t="s">
        <v>724</v>
      </c>
      <c r="U57" s="84">
        <v>640</v>
      </c>
      <c r="V57" s="84" t="s">
        <v>93</v>
      </c>
    </row>
    <row r="58" spans="1:22" x14ac:dyDescent="0.35">
      <c r="A58" s="9" t="s">
        <v>841</v>
      </c>
      <c r="B58" s="9" t="s">
        <v>735</v>
      </c>
      <c r="C58" s="10">
        <v>750</v>
      </c>
      <c r="D58" s="113" t="s">
        <v>842</v>
      </c>
      <c r="E58" s="9" t="s">
        <v>86</v>
      </c>
      <c r="F58" s="9" t="s">
        <v>121</v>
      </c>
      <c r="G58" s="9" t="s">
        <v>843</v>
      </c>
      <c r="H58" s="9"/>
      <c r="I58" s="9" t="s">
        <v>725</v>
      </c>
      <c r="J58" s="9"/>
      <c r="K58" s="239">
        <v>0</v>
      </c>
      <c r="L58" s="9" t="s">
        <v>844</v>
      </c>
      <c r="M58" s="9"/>
      <c r="N58" s="87" t="s">
        <v>845</v>
      </c>
      <c r="S58" s="84" t="s">
        <v>242</v>
      </c>
      <c r="T58" s="84" t="s">
        <v>724</v>
      </c>
      <c r="U58" s="84">
        <v>450</v>
      </c>
      <c r="V58" s="84" t="s">
        <v>86</v>
      </c>
    </row>
    <row r="59" spans="1:22" x14ac:dyDescent="0.35">
      <c r="A59" s="9" t="s">
        <v>846</v>
      </c>
      <c r="B59" s="9" t="s">
        <v>735</v>
      </c>
      <c r="C59" s="10">
        <v>750</v>
      </c>
      <c r="D59" s="10">
        <v>785</v>
      </c>
      <c r="E59" s="9" t="s">
        <v>92</v>
      </c>
      <c r="F59" s="9" t="s">
        <v>650</v>
      </c>
      <c r="G59" s="9"/>
      <c r="H59" s="9"/>
      <c r="I59" s="9" t="s">
        <v>725</v>
      </c>
      <c r="J59" s="195">
        <v>45880</v>
      </c>
      <c r="K59" s="239">
        <v>750</v>
      </c>
      <c r="L59" s="9" t="s">
        <v>361</v>
      </c>
      <c r="M59" s="9"/>
      <c r="N59" s="87" t="s">
        <v>362</v>
      </c>
      <c r="S59" s="18" t="s">
        <v>847</v>
      </c>
      <c r="T59" s="18" t="s">
        <v>732</v>
      </c>
      <c r="U59" s="18">
        <v>3290</v>
      </c>
      <c r="V59" s="18"/>
    </row>
    <row r="60" spans="1:22" x14ac:dyDescent="0.35">
      <c r="A60" s="9" t="s">
        <v>848</v>
      </c>
      <c r="B60" s="9" t="s">
        <v>735</v>
      </c>
      <c r="C60" s="10">
        <v>750</v>
      </c>
      <c r="D60" s="10">
        <v>750</v>
      </c>
      <c r="E60" s="9" t="s">
        <v>92</v>
      </c>
      <c r="F60" s="9" t="s">
        <v>650</v>
      </c>
      <c r="G60" s="9" t="s">
        <v>849</v>
      </c>
      <c r="H60" s="9"/>
      <c r="I60" s="9" t="s">
        <v>725</v>
      </c>
      <c r="J60" s="195">
        <v>45874</v>
      </c>
      <c r="K60" s="239">
        <v>750</v>
      </c>
      <c r="L60" s="9" t="s">
        <v>850</v>
      </c>
      <c r="M60" s="9"/>
      <c r="N60" s="87" t="s">
        <v>851</v>
      </c>
      <c r="S60" s="18" t="s">
        <v>852</v>
      </c>
      <c r="T60" s="18" t="s">
        <v>735</v>
      </c>
      <c r="U60" s="18">
        <v>750</v>
      </c>
      <c r="V60" s="18" t="s">
        <v>76</v>
      </c>
    </row>
    <row r="61" spans="1:22" x14ac:dyDescent="0.35">
      <c r="A61" s="9" t="s">
        <v>268</v>
      </c>
      <c r="B61" s="9" t="s">
        <v>735</v>
      </c>
      <c r="C61" s="10">
        <v>750</v>
      </c>
      <c r="D61" s="10">
        <v>750</v>
      </c>
      <c r="E61" s="9" t="s">
        <v>68</v>
      </c>
      <c r="F61" s="9" t="s">
        <v>567</v>
      </c>
      <c r="G61" s="9"/>
      <c r="H61" s="9"/>
      <c r="I61" s="9" t="s">
        <v>569</v>
      </c>
      <c r="J61" s="195">
        <v>45922</v>
      </c>
      <c r="K61" s="239">
        <v>750</v>
      </c>
      <c r="L61" s="9" t="s">
        <v>296</v>
      </c>
      <c r="M61" s="9"/>
      <c r="N61" s="87" t="s">
        <v>297</v>
      </c>
      <c r="S61" s="84" t="s">
        <v>853</v>
      </c>
      <c r="T61" s="84" t="s">
        <v>724</v>
      </c>
      <c r="U61" s="84">
        <v>500</v>
      </c>
      <c r="V61" s="84" t="s">
        <v>76</v>
      </c>
    </row>
    <row r="62" spans="1:22" x14ac:dyDescent="0.35">
      <c r="A62" s="9" t="s">
        <v>854</v>
      </c>
      <c r="B62" s="9" t="s">
        <v>735</v>
      </c>
      <c r="C62" s="10">
        <v>750</v>
      </c>
      <c r="D62" s="10">
        <v>750</v>
      </c>
      <c r="E62" s="9" t="s">
        <v>92</v>
      </c>
      <c r="F62" s="9" t="s">
        <v>650</v>
      </c>
      <c r="G62" s="9"/>
      <c r="H62" s="9"/>
      <c r="I62" s="9" t="s">
        <v>725</v>
      </c>
      <c r="J62" s="9"/>
      <c r="K62" s="239"/>
      <c r="L62" s="9" t="s">
        <v>855</v>
      </c>
      <c r="M62" s="9"/>
      <c r="N62" s="87" t="s">
        <v>856</v>
      </c>
      <c r="S62" s="84" t="s">
        <v>260</v>
      </c>
      <c r="T62" s="84" t="s">
        <v>39</v>
      </c>
      <c r="U62" s="84">
        <v>2000</v>
      </c>
      <c r="V62" s="84" t="s">
        <v>56</v>
      </c>
    </row>
    <row r="63" spans="1:22" x14ac:dyDescent="0.35">
      <c r="A63" s="9" t="s">
        <v>566</v>
      </c>
      <c r="B63" s="9" t="s">
        <v>735</v>
      </c>
      <c r="C63" s="10">
        <v>750</v>
      </c>
      <c r="D63" s="10">
        <v>750</v>
      </c>
      <c r="E63" s="9" t="s">
        <v>76</v>
      </c>
      <c r="F63" s="9" t="s">
        <v>574</v>
      </c>
      <c r="G63" s="9"/>
      <c r="H63" s="9"/>
      <c r="I63" s="195">
        <v>45896</v>
      </c>
      <c r="J63" s="195">
        <v>45896</v>
      </c>
      <c r="K63" s="239">
        <v>750</v>
      </c>
      <c r="L63" s="9"/>
      <c r="M63" s="9"/>
      <c r="N63" s="9"/>
      <c r="S63" s="84" t="s">
        <v>501</v>
      </c>
      <c r="T63" s="84" t="s">
        <v>724</v>
      </c>
      <c r="U63" s="84">
        <v>500</v>
      </c>
      <c r="V63" s="84" t="s">
        <v>93</v>
      </c>
    </row>
    <row r="64" spans="1:22" x14ac:dyDescent="0.35">
      <c r="A64" s="9" t="s">
        <v>857</v>
      </c>
      <c r="B64" s="9" t="s">
        <v>735</v>
      </c>
      <c r="C64" s="10">
        <v>750</v>
      </c>
      <c r="D64" s="10">
        <v>820</v>
      </c>
      <c r="E64" s="9" t="s">
        <v>76</v>
      </c>
      <c r="F64" s="9" t="s">
        <v>858</v>
      </c>
      <c r="G64" s="9"/>
      <c r="H64" s="9"/>
      <c r="I64" s="9"/>
      <c r="J64" s="195">
        <v>45904</v>
      </c>
      <c r="K64" s="239">
        <v>820</v>
      </c>
      <c r="L64" s="9" t="s">
        <v>859</v>
      </c>
      <c r="M64" s="9"/>
      <c r="N64" s="87" t="s">
        <v>860</v>
      </c>
      <c r="S64" s="84" t="s">
        <v>861</v>
      </c>
      <c r="T64" s="84" t="s">
        <v>726</v>
      </c>
      <c r="U64" s="84">
        <v>0</v>
      </c>
      <c r="V64" s="84"/>
    </row>
    <row r="65" spans="1:22" x14ac:dyDescent="0.35">
      <c r="A65" s="9" t="s">
        <v>862</v>
      </c>
      <c r="B65" s="9" t="s">
        <v>735</v>
      </c>
      <c r="C65" s="10">
        <v>750</v>
      </c>
      <c r="D65" s="10">
        <v>785</v>
      </c>
      <c r="E65" s="9"/>
      <c r="F65" s="9" t="s">
        <v>858</v>
      </c>
      <c r="G65" s="9"/>
      <c r="H65" s="9"/>
      <c r="I65" s="9"/>
      <c r="J65" s="195">
        <v>45905</v>
      </c>
      <c r="K65" s="239">
        <v>785</v>
      </c>
      <c r="L65" s="9"/>
      <c r="M65" s="9"/>
      <c r="N65" s="9"/>
      <c r="S65" s="84" t="s">
        <v>863</v>
      </c>
      <c r="T65" s="84" t="s">
        <v>724</v>
      </c>
      <c r="U65" s="84">
        <v>500</v>
      </c>
      <c r="V65" s="84" t="s">
        <v>93</v>
      </c>
    </row>
    <row r="66" spans="1:22" x14ac:dyDescent="0.35">
      <c r="A66" s="9" t="s">
        <v>864</v>
      </c>
      <c r="B66" s="9" t="s">
        <v>735</v>
      </c>
      <c r="C66" s="10">
        <v>750</v>
      </c>
      <c r="D66" s="10">
        <v>870</v>
      </c>
      <c r="E66" s="9"/>
      <c r="F66" s="9"/>
      <c r="G66" s="9"/>
      <c r="H66" s="9"/>
      <c r="I66" s="9"/>
      <c r="J66" s="195">
        <v>45906</v>
      </c>
      <c r="K66" s="239">
        <v>870</v>
      </c>
      <c r="L66" s="9"/>
      <c r="M66" s="9"/>
      <c r="N66" s="9"/>
      <c r="S66" s="84" t="s">
        <v>865</v>
      </c>
      <c r="T66" s="84" t="s">
        <v>724</v>
      </c>
      <c r="U66" s="84">
        <v>500</v>
      </c>
      <c r="V66" s="84" t="s">
        <v>93</v>
      </c>
    </row>
    <row r="67" spans="1:22" x14ac:dyDescent="0.35">
      <c r="A67" s="9" t="s">
        <v>866</v>
      </c>
      <c r="B67" s="9" t="s">
        <v>735</v>
      </c>
      <c r="C67" s="10">
        <v>750</v>
      </c>
      <c r="D67" s="10">
        <v>750</v>
      </c>
      <c r="E67" s="9"/>
      <c r="F67" s="9" t="s">
        <v>867</v>
      </c>
      <c r="G67" s="9"/>
      <c r="H67" s="9"/>
      <c r="I67" s="9"/>
      <c r="J67" s="195">
        <v>45911</v>
      </c>
      <c r="K67" s="239">
        <v>750</v>
      </c>
      <c r="L67" s="9"/>
      <c r="M67" s="9"/>
      <c r="N67" s="9"/>
      <c r="S67" s="84" t="s">
        <v>243</v>
      </c>
      <c r="T67" s="84" t="s">
        <v>724</v>
      </c>
      <c r="U67" s="84">
        <v>500</v>
      </c>
      <c r="V67" s="84" t="s">
        <v>24</v>
      </c>
    </row>
    <row r="68" spans="1:22" x14ac:dyDescent="0.35">
      <c r="A68" s="9" t="s">
        <v>868</v>
      </c>
      <c r="B68" s="9" t="s">
        <v>735</v>
      </c>
      <c r="C68" s="10">
        <v>750</v>
      </c>
      <c r="D68" s="10">
        <v>750</v>
      </c>
      <c r="E68" s="9" t="s">
        <v>56</v>
      </c>
      <c r="F68" s="9" t="s">
        <v>869</v>
      </c>
      <c r="G68" s="9"/>
      <c r="H68" s="9"/>
      <c r="I68" s="9" t="s">
        <v>805</v>
      </c>
      <c r="J68" s="195">
        <v>45952</v>
      </c>
      <c r="K68" s="239">
        <v>750</v>
      </c>
      <c r="L68" s="9" t="s">
        <v>870</v>
      </c>
      <c r="M68" s="9"/>
      <c r="N68" s="92" t="s">
        <v>871</v>
      </c>
      <c r="S68" s="84" t="s">
        <v>268</v>
      </c>
      <c r="T68" s="84" t="s">
        <v>735</v>
      </c>
      <c r="U68" s="84">
        <v>750</v>
      </c>
      <c r="V68" s="84" t="s">
        <v>76</v>
      </c>
    </row>
    <row r="69" spans="1:22" ht="29" x14ac:dyDescent="0.35">
      <c r="A69" s="9" t="s">
        <v>872</v>
      </c>
      <c r="B69" s="9" t="s">
        <v>724</v>
      </c>
      <c r="C69" s="10">
        <v>500</v>
      </c>
      <c r="D69" s="113" t="s">
        <v>873</v>
      </c>
      <c r="E69" s="9" t="s">
        <v>76</v>
      </c>
      <c r="F69" s="9" t="s">
        <v>874</v>
      </c>
      <c r="G69" s="9"/>
      <c r="H69" s="9"/>
      <c r="I69" s="9" t="s">
        <v>725</v>
      </c>
      <c r="J69" s="195">
        <v>45891</v>
      </c>
      <c r="K69" s="239">
        <v>500</v>
      </c>
      <c r="L69" s="9" t="s">
        <v>875</v>
      </c>
      <c r="M69" s="9"/>
      <c r="N69" s="87" t="s">
        <v>876</v>
      </c>
      <c r="S69" s="84" t="s">
        <v>877</v>
      </c>
      <c r="T69" s="84" t="s">
        <v>724</v>
      </c>
      <c r="U69" s="84">
        <v>500</v>
      </c>
      <c r="V69" s="84" t="s">
        <v>93</v>
      </c>
    </row>
    <row r="70" spans="1:22" ht="43.5" x14ac:dyDescent="0.35">
      <c r="A70" s="9" t="s">
        <v>285</v>
      </c>
      <c r="B70" s="9" t="s">
        <v>724</v>
      </c>
      <c r="C70" s="10">
        <v>500</v>
      </c>
      <c r="D70" s="10">
        <v>0</v>
      </c>
      <c r="E70" s="9" t="s">
        <v>95</v>
      </c>
      <c r="F70" s="9" t="s">
        <v>303</v>
      </c>
      <c r="G70" s="9"/>
      <c r="H70" s="115"/>
      <c r="I70" s="9">
        <v>0</v>
      </c>
      <c r="J70" s="9"/>
      <c r="K70" s="239"/>
      <c r="L70" s="9" t="s">
        <v>305</v>
      </c>
      <c r="M70" s="9"/>
      <c r="N70" s="9" t="s">
        <v>306</v>
      </c>
      <c r="S70" s="18" t="s">
        <v>273</v>
      </c>
      <c r="T70" s="18" t="s">
        <v>724</v>
      </c>
      <c r="U70" s="18">
        <v>425</v>
      </c>
      <c r="V70" s="18" t="s">
        <v>95</v>
      </c>
    </row>
    <row r="71" spans="1:22" x14ac:dyDescent="0.35">
      <c r="A71" s="9" t="s">
        <v>537</v>
      </c>
      <c r="B71" s="9" t="s">
        <v>724</v>
      </c>
      <c r="C71" s="10">
        <v>500</v>
      </c>
      <c r="D71" s="10">
        <v>300</v>
      </c>
      <c r="E71" s="9"/>
      <c r="F71" s="9" t="s">
        <v>750</v>
      </c>
      <c r="G71" s="9"/>
      <c r="H71" s="9"/>
      <c r="I71" s="9" t="s">
        <v>751</v>
      </c>
      <c r="J71" s="195">
        <v>45933</v>
      </c>
      <c r="K71" s="239">
        <v>300</v>
      </c>
      <c r="L71" s="9"/>
      <c r="M71" s="9"/>
      <c r="N71" s="9"/>
      <c r="S71" s="18" t="s">
        <v>878</v>
      </c>
      <c r="T71" s="18" t="s">
        <v>724</v>
      </c>
      <c r="U71" s="18">
        <v>500</v>
      </c>
      <c r="V71" s="18" t="s">
        <v>93</v>
      </c>
    </row>
    <row r="72" spans="1:22" ht="29" x14ac:dyDescent="0.35">
      <c r="A72" s="9" t="s">
        <v>338</v>
      </c>
      <c r="B72" s="9" t="s">
        <v>724</v>
      </c>
      <c r="C72" s="10">
        <v>500</v>
      </c>
      <c r="D72" s="10">
        <v>425</v>
      </c>
      <c r="E72" s="9" t="s">
        <v>95</v>
      </c>
      <c r="F72" s="9" t="s">
        <v>103</v>
      </c>
      <c r="G72" s="9"/>
      <c r="H72" s="9"/>
      <c r="I72" s="9" t="s">
        <v>725</v>
      </c>
      <c r="J72" s="195">
        <v>45902</v>
      </c>
      <c r="K72" s="239">
        <v>425</v>
      </c>
      <c r="L72" s="9" t="s">
        <v>339</v>
      </c>
      <c r="M72" s="9"/>
      <c r="N72" s="87" t="s">
        <v>340</v>
      </c>
      <c r="S72" s="84" t="s">
        <v>285</v>
      </c>
      <c r="T72" s="84" t="s">
        <v>724</v>
      </c>
      <c r="U72" s="84">
        <v>0</v>
      </c>
      <c r="V72" s="84" t="s">
        <v>95</v>
      </c>
    </row>
    <row r="73" spans="1:22" x14ac:dyDescent="0.35">
      <c r="A73" s="9" t="s">
        <v>243</v>
      </c>
      <c r="B73" s="9" t="s">
        <v>724</v>
      </c>
      <c r="C73" s="10">
        <v>500</v>
      </c>
      <c r="D73" s="10">
        <v>500</v>
      </c>
      <c r="E73" s="9" t="s">
        <v>24</v>
      </c>
      <c r="F73" s="9" t="s">
        <v>147</v>
      </c>
      <c r="G73" s="9"/>
      <c r="H73" s="9"/>
      <c r="I73" s="9" t="s">
        <v>725</v>
      </c>
      <c r="J73" s="195">
        <v>45880</v>
      </c>
      <c r="K73" s="239">
        <v>500</v>
      </c>
      <c r="L73" s="9" t="s">
        <v>245</v>
      </c>
      <c r="M73" s="9"/>
      <c r="N73" s="9" t="s">
        <v>246</v>
      </c>
      <c r="S73" s="84" t="s">
        <v>285</v>
      </c>
      <c r="T73" s="84" t="s">
        <v>732</v>
      </c>
      <c r="U73" s="84">
        <v>80</v>
      </c>
      <c r="V73" s="84"/>
    </row>
    <row r="74" spans="1:22" ht="29" x14ac:dyDescent="0.35">
      <c r="A74" s="9" t="s">
        <v>248</v>
      </c>
      <c r="B74" s="9" t="s">
        <v>724</v>
      </c>
      <c r="C74" s="10">
        <v>500</v>
      </c>
      <c r="D74" s="10">
        <v>530</v>
      </c>
      <c r="E74" s="9" t="s">
        <v>24</v>
      </c>
      <c r="F74" s="9" t="s">
        <v>147</v>
      </c>
      <c r="G74" s="9"/>
      <c r="H74" s="9"/>
      <c r="I74" s="9" t="s">
        <v>725</v>
      </c>
      <c r="J74" s="195">
        <v>45880</v>
      </c>
      <c r="K74" s="239">
        <v>530</v>
      </c>
      <c r="L74" s="9" t="s">
        <v>249</v>
      </c>
      <c r="M74" s="9"/>
      <c r="N74" s="9" t="s">
        <v>250</v>
      </c>
      <c r="S74" s="84" t="s">
        <v>288</v>
      </c>
      <c r="T74" s="84" t="s">
        <v>735</v>
      </c>
      <c r="U74" s="84">
        <v>600</v>
      </c>
      <c r="V74" s="84" t="s">
        <v>24</v>
      </c>
    </row>
    <row r="75" spans="1:22" x14ac:dyDescent="0.35">
      <c r="A75" s="9" t="s">
        <v>126</v>
      </c>
      <c r="B75" s="9" t="s">
        <v>724</v>
      </c>
      <c r="C75" s="10">
        <v>500</v>
      </c>
      <c r="D75" s="10">
        <v>500</v>
      </c>
      <c r="E75" s="9" t="s">
        <v>24</v>
      </c>
      <c r="F75" s="9" t="s">
        <v>253</v>
      </c>
      <c r="G75" s="9"/>
      <c r="H75" s="94" t="s">
        <v>27</v>
      </c>
      <c r="I75" s="9">
        <v>0</v>
      </c>
      <c r="J75" s="9" t="s">
        <v>256</v>
      </c>
      <c r="K75" s="239">
        <v>500</v>
      </c>
      <c r="L75" s="9" t="s">
        <v>257</v>
      </c>
      <c r="M75" s="9"/>
      <c r="N75" s="87" t="s">
        <v>258</v>
      </c>
      <c r="S75" s="84" t="s">
        <v>515</v>
      </c>
      <c r="T75" s="84" t="s">
        <v>109</v>
      </c>
      <c r="U75" s="84">
        <v>1090</v>
      </c>
      <c r="V75" s="84" t="s">
        <v>24</v>
      </c>
    </row>
    <row r="76" spans="1:22" ht="29" x14ac:dyDescent="0.35">
      <c r="A76" s="9" t="s">
        <v>501</v>
      </c>
      <c r="B76" s="9" t="s">
        <v>724</v>
      </c>
      <c r="C76" s="10">
        <v>500</v>
      </c>
      <c r="D76" s="10">
        <v>500</v>
      </c>
      <c r="E76" s="9" t="s">
        <v>92</v>
      </c>
      <c r="F76" s="9" t="s">
        <v>502</v>
      </c>
      <c r="G76" s="9"/>
      <c r="H76" s="94" t="s">
        <v>27</v>
      </c>
      <c r="I76" s="9" t="s">
        <v>725</v>
      </c>
      <c r="J76" s="195" t="s">
        <v>879</v>
      </c>
      <c r="K76" s="239">
        <f>137.5+362.5</f>
        <v>500</v>
      </c>
      <c r="L76" s="9" t="s">
        <v>504</v>
      </c>
      <c r="M76" s="9"/>
      <c r="N76" s="87" t="s">
        <v>505</v>
      </c>
      <c r="S76" s="84" t="s">
        <v>248</v>
      </c>
      <c r="T76" s="84" t="s">
        <v>724</v>
      </c>
      <c r="U76" s="84">
        <v>530</v>
      </c>
      <c r="V76" s="84" t="s">
        <v>37</v>
      </c>
    </row>
    <row r="77" spans="1:22" x14ac:dyDescent="0.35">
      <c r="A77" s="9" t="s">
        <v>880</v>
      </c>
      <c r="B77" s="9" t="s">
        <v>724</v>
      </c>
      <c r="C77" s="10">
        <v>500</v>
      </c>
      <c r="D77" s="10">
        <v>500</v>
      </c>
      <c r="E77" s="9" t="s">
        <v>56</v>
      </c>
      <c r="F77" s="9" t="s">
        <v>195</v>
      </c>
      <c r="G77" s="9"/>
      <c r="H77" s="9"/>
      <c r="I77" s="9" t="s">
        <v>725</v>
      </c>
      <c r="J77" s="195">
        <v>46006</v>
      </c>
      <c r="K77" s="239">
        <v>500</v>
      </c>
      <c r="L77" s="9" t="s">
        <v>881</v>
      </c>
      <c r="M77" s="9"/>
      <c r="N77" s="9" t="s">
        <v>882</v>
      </c>
      <c r="S77" s="121" t="s">
        <v>883</v>
      </c>
      <c r="T77" s="121" t="s">
        <v>741</v>
      </c>
      <c r="U77" s="121">
        <v>0</v>
      </c>
      <c r="V77" s="121"/>
    </row>
    <row r="78" spans="1:22" x14ac:dyDescent="0.35">
      <c r="A78" s="9" t="s">
        <v>884</v>
      </c>
      <c r="B78" s="9" t="s">
        <v>724</v>
      </c>
      <c r="C78" s="10">
        <v>500</v>
      </c>
      <c r="D78" s="10">
        <v>500</v>
      </c>
      <c r="E78" s="9" t="s">
        <v>76</v>
      </c>
      <c r="F78" s="9" t="s">
        <v>244</v>
      </c>
      <c r="G78" s="9"/>
      <c r="H78" s="9"/>
      <c r="I78" s="9" t="s">
        <v>725</v>
      </c>
      <c r="J78" s="195">
        <v>45875</v>
      </c>
      <c r="K78" s="239">
        <v>500</v>
      </c>
      <c r="L78" s="9" t="s">
        <v>885</v>
      </c>
      <c r="M78" s="9"/>
      <c r="N78" s="87" t="s">
        <v>886</v>
      </c>
      <c r="S78" s="18" t="s">
        <v>887</v>
      </c>
      <c r="T78" s="18" t="s">
        <v>735</v>
      </c>
      <c r="U78" s="18">
        <v>775</v>
      </c>
      <c r="V78" s="18" t="s">
        <v>93</v>
      </c>
    </row>
    <row r="79" spans="1:22" ht="43.5" x14ac:dyDescent="0.35">
      <c r="A79" s="9" t="s">
        <v>434</v>
      </c>
      <c r="B79" s="9" t="s">
        <v>724</v>
      </c>
      <c r="C79" s="10">
        <v>500</v>
      </c>
      <c r="D79" s="10">
        <v>500</v>
      </c>
      <c r="E79" s="9" t="s">
        <v>95</v>
      </c>
      <c r="F79" s="9" t="s">
        <v>244</v>
      </c>
      <c r="G79" s="9"/>
      <c r="H79" s="94" t="s">
        <v>27</v>
      </c>
      <c r="I79" s="9"/>
      <c r="J79" s="195" t="s">
        <v>888</v>
      </c>
      <c r="K79" s="239">
        <f>222.5+277.5</f>
        <v>500</v>
      </c>
      <c r="L79" s="9" t="s">
        <v>436</v>
      </c>
      <c r="M79" s="9"/>
      <c r="N79" s="9" t="s">
        <v>437</v>
      </c>
      <c r="S79" s="84" t="s">
        <v>160</v>
      </c>
      <c r="T79" s="84" t="s">
        <v>889</v>
      </c>
      <c r="U79" s="84">
        <v>1350</v>
      </c>
      <c r="V79" s="84" t="s">
        <v>86</v>
      </c>
    </row>
    <row r="80" spans="1:22" x14ac:dyDescent="0.35">
      <c r="A80" s="9" t="s">
        <v>157</v>
      </c>
      <c r="B80" s="9" t="s">
        <v>724</v>
      </c>
      <c r="C80" s="10">
        <v>500</v>
      </c>
      <c r="D80" s="10">
        <v>500</v>
      </c>
      <c r="E80" s="9" t="s">
        <v>92</v>
      </c>
      <c r="F80" s="9" t="s">
        <v>384</v>
      </c>
      <c r="G80" s="9"/>
      <c r="H80" s="9"/>
      <c r="I80" s="9" t="s">
        <v>725</v>
      </c>
      <c r="J80" s="195">
        <v>45875</v>
      </c>
      <c r="K80" s="239">
        <v>500</v>
      </c>
      <c r="L80" s="9" t="s">
        <v>455</v>
      </c>
      <c r="M80" s="9"/>
      <c r="N80" s="87" t="s">
        <v>456</v>
      </c>
      <c r="S80" s="18" t="s">
        <v>890</v>
      </c>
      <c r="T80" s="18" t="s">
        <v>741</v>
      </c>
      <c r="U80" s="18">
        <v>70</v>
      </c>
      <c r="V80" s="18"/>
    </row>
    <row r="81" spans="1:22" x14ac:dyDescent="0.35">
      <c r="A81" s="9" t="s">
        <v>891</v>
      </c>
      <c r="B81" s="9" t="s">
        <v>724</v>
      </c>
      <c r="C81" s="10">
        <v>500</v>
      </c>
      <c r="D81" s="10">
        <v>500</v>
      </c>
      <c r="E81" s="9" t="s">
        <v>24</v>
      </c>
      <c r="F81" s="9" t="s">
        <v>143</v>
      </c>
      <c r="G81" s="9"/>
      <c r="H81" s="9"/>
      <c r="I81" s="9">
        <v>0</v>
      </c>
      <c r="J81" s="9" t="s">
        <v>28</v>
      </c>
      <c r="K81" s="239">
        <v>500</v>
      </c>
      <c r="L81" s="9" t="s">
        <v>29</v>
      </c>
      <c r="M81" s="9"/>
      <c r="N81" s="87" t="s">
        <v>30</v>
      </c>
      <c r="S81" s="18" t="s">
        <v>892</v>
      </c>
      <c r="T81" s="18" t="s">
        <v>724</v>
      </c>
      <c r="U81" s="18">
        <v>500</v>
      </c>
      <c r="V81" s="18"/>
    </row>
    <row r="82" spans="1:22" ht="29" x14ac:dyDescent="0.35">
      <c r="A82" s="9" t="s">
        <v>218</v>
      </c>
      <c r="B82" s="9" t="s">
        <v>724</v>
      </c>
      <c r="C82" s="10">
        <v>500</v>
      </c>
      <c r="D82" s="10">
        <v>500</v>
      </c>
      <c r="E82" s="9" t="s">
        <v>24</v>
      </c>
      <c r="F82" s="9" t="s">
        <v>162</v>
      </c>
      <c r="G82" s="9"/>
      <c r="H82" s="94" t="s">
        <v>27</v>
      </c>
      <c r="I82" s="195"/>
      <c r="J82" s="195" t="s">
        <v>893</v>
      </c>
      <c r="K82" s="239">
        <f>235+265</f>
        <v>500</v>
      </c>
      <c r="L82" s="9" t="s">
        <v>422</v>
      </c>
      <c r="M82" s="9"/>
      <c r="N82" s="9" t="s">
        <v>423</v>
      </c>
      <c r="S82" s="84" t="s">
        <v>57</v>
      </c>
      <c r="T82" s="84" t="s">
        <v>109</v>
      </c>
      <c r="U82" s="84">
        <v>1400</v>
      </c>
      <c r="V82" s="84" t="s">
        <v>24</v>
      </c>
    </row>
    <row r="83" spans="1:22" x14ac:dyDescent="0.35">
      <c r="A83" s="9" t="s">
        <v>129</v>
      </c>
      <c r="B83" s="9" t="s">
        <v>724</v>
      </c>
      <c r="C83" s="10">
        <v>500</v>
      </c>
      <c r="D83" s="10">
        <v>500</v>
      </c>
      <c r="E83" s="9"/>
      <c r="F83" s="9" t="s">
        <v>894</v>
      </c>
      <c r="G83" s="9"/>
      <c r="H83" s="9"/>
      <c r="I83" s="9" t="s">
        <v>895</v>
      </c>
      <c r="J83" s="195">
        <v>45937</v>
      </c>
      <c r="K83" s="239">
        <v>300</v>
      </c>
      <c r="L83" s="9"/>
      <c r="M83" s="9"/>
      <c r="N83" s="87"/>
      <c r="S83" s="84" t="s">
        <v>670</v>
      </c>
      <c r="T83" s="84" t="s">
        <v>735</v>
      </c>
      <c r="U83" s="84">
        <v>750</v>
      </c>
      <c r="V83" s="84" t="s">
        <v>76</v>
      </c>
    </row>
    <row r="84" spans="1:22" x14ac:dyDescent="0.35">
      <c r="A84" s="9" t="s">
        <v>896</v>
      </c>
      <c r="B84" s="9" t="s">
        <v>724</v>
      </c>
      <c r="C84" s="10">
        <v>500</v>
      </c>
      <c r="D84" s="10">
        <v>500</v>
      </c>
      <c r="E84" s="9" t="s">
        <v>92</v>
      </c>
      <c r="F84" s="9" t="s">
        <v>897</v>
      </c>
      <c r="G84" s="9"/>
      <c r="H84" s="9"/>
      <c r="I84" s="9">
        <v>0</v>
      </c>
      <c r="J84" s="9" t="s">
        <v>897</v>
      </c>
      <c r="K84" s="239">
        <v>500</v>
      </c>
      <c r="L84" s="9" t="s">
        <v>898</v>
      </c>
      <c r="M84" s="9"/>
      <c r="N84" s="9"/>
      <c r="S84" s="84" t="s">
        <v>794</v>
      </c>
      <c r="T84" s="84" t="s">
        <v>795</v>
      </c>
      <c r="U84" s="84">
        <v>2500</v>
      </c>
      <c r="V84" s="84" t="s">
        <v>92</v>
      </c>
    </row>
    <row r="85" spans="1:22" x14ac:dyDescent="0.35">
      <c r="A85" s="9" t="s">
        <v>899</v>
      </c>
      <c r="B85" s="9" t="s">
        <v>724</v>
      </c>
      <c r="C85" s="10">
        <v>500</v>
      </c>
      <c r="D85" s="266">
        <v>500</v>
      </c>
      <c r="E85" s="9"/>
      <c r="F85" s="9"/>
      <c r="G85" s="9"/>
      <c r="H85" s="9"/>
      <c r="I85" s="9" t="s">
        <v>895</v>
      </c>
      <c r="J85" s="195">
        <v>45960</v>
      </c>
      <c r="K85" s="239">
        <v>500</v>
      </c>
      <c r="L85" s="9"/>
      <c r="M85" s="9"/>
      <c r="N85" s="87"/>
      <c r="S85" s="121" t="s">
        <v>480</v>
      </c>
      <c r="T85" s="121" t="s">
        <v>735</v>
      </c>
      <c r="U85" s="121">
        <v>750</v>
      </c>
      <c r="V85" s="121" t="s">
        <v>93</v>
      </c>
    </row>
    <row r="86" spans="1:22" x14ac:dyDescent="0.35">
      <c r="A86" s="9" t="s">
        <v>877</v>
      </c>
      <c r="B86" s="9" t="s">
        <v>724</v>
      </c>
      <c r="C86" s="10">
        <v>500</v>
      </c>
      <c r="D86" s="10">
        <v>500</v>
      </c>
      <c r="E86" s="9" t="s">
        <v>92</v>
      </c>
      <c r="F86" s="9" t="s">
        <v>650</v>
      </c>
      <c r="G86" s="9"/>
      <c r="H86" s="9"/>
      <c r="I86" s="9" t="s">
        <v>725</v>
      </c>
      <c r="J86" s="195">
        <v>45938</v>
      </c>
      <c r="K86" s="239">
        <v>250</v>
      </c>
      <c r="L86" s="9" t="s">
        <v>900</v>
      </c>
      <c r="M86" s="9"/>
      <c r="N86" s="87" t="s">
        <v>901</v>
      </c>
      <c r="S86" s="84" t="s">
        <v>902</v>
      </c>
      <c r="T86" s="84" t="s">
        <v>724</v>
      </c>
      <c r="U86" s="84">
        <v>535</v>
      </c>
      <c r="V86" s="84"/>
    </row>
    <row r="87" spans="1:22" x14ac:dyDescent="0.35">
      <c r="A87" s="9" t="s">
        <v>865</v>
      </c>
      <c r="B87" s="9" t="s">
        <v>724</v>
      </c>
      <c r="C87" s="10">
        <v>500</v>
      </c>
      <c r="D87" s="10">
        <v>500</v>
      </c>
      <c r="E87" s="9" t="s">
        <v>92</v>
      </c>
      <c r="F87" s="9" t="s">
        <v>650</v>
      </c>
      <c r="G87" s="9"/>
      <c r="H87" s="9"/>
      <c r="I87" s="9" t="s">
        <v>725</v>
      </c>
      <c r="J87" s="9"/>
      <c r="K87" s="239"/>
      <c r="L87" s="9" t="s">
        <v>903</v>
      </c>
      <c r="M87" s="9"/>
      <c r="N87" s="87" t="s">
        <v>904</v>
      </c>
      <c r="S87" s="121" t="s">
        <v>905</v>
      </c>
      <c r="T87" s="121" t="s">
        <v>735</v>
      </c>
      <c r="U87" s="121">
        <v>750</v>
      </c>
      <c r="V87" s="121" t="s">
        <v>93</v>
      </c>
    </row>
    <row r="88" spans="1:22" x14ac:dyDescent="0.35">
      <c r="A88" s="9" t="s">
        <v>906</v>
      </c>
      <c r="B88" s="9" t="s">
        <v>724</v>
      </c>
      <c r="C88" s="10">
        <v>500</v>
      </c>
      <c r="D88" s="10">
        <v>500</v>
      </c>
      <c r="E88" s="9" t="s">
        <v>76</v>
      </c>
      <c r="F88" s="9" t="s">
        <v>651</v>
      </c>
      <c r="G88" s="9"/>
      <c r="H88" s="9"/>
      <c r="I88" s="9" t="s">
        <v>725</v>
      </c>
      <c r="J88" s="195">
        <v>45936</v>
      </c>
      <c r="K88" s="239">
        <v>500</v>
      </c>
      <c r="L88" s="9" t="s">
        <v>907</v>
      </c>
      <c r="M88" s="9"/>
      <c r="N88" s="87" t="s">
        <v>908</v>
      </c>
      <c r="S88" s="18" t="s">
        <v>909</v>
      </c>
      <c r="T88" s="18" t="s">
        <v>724</v>
      </c>
      <c r="U88" s="18">
        <v>570</v>
      </c>
      <c r="V88" s="18" t="s">
        <v>93</v>
      </c>
    </row>
    <row r="89" spans="1:22" x14ac:dyDescent="0.35">
      <c r="A89" s="9" t="s">
        <v>479</v>
      </c>
      <c r="B89" s="9" t="s">
        <v>724</v>
      </c>
      <c r="C89" s="10">
        <v>500</v>
      </c>
      <c r="D89" s="10">
        <v>500</v>
      </c>
      <c r="E89" s="9" t="s">
        <v>95</v>
      </c>
      <c r="F89" s="9" t="s">
        <v>642</v>
      </c>
      <c r="G89" s="9"/>
      <c r="H89" s="9"/>
      <c r="I89" s="9" t="s">
        <v>725</v>
      </c>
      <c r="J89" s="195">
        <v>46007</v>
      </c>
      <c r="K89" s="239">
        <v>500</v>
      </c>
      <c r="L89" s="9" t="s">
        <v>910</v>
      </c>
      <c r="M89" s="9"/>
      <c r="N89" s="87" t="s">
        <v>911</v>
      </c>
      <c r="S89" s="84" t="s">
        <v>854</v>
      </c>
      <c r="T89" s="84" t="s">
        <v>735</v>
      </c>
      <c r="U89" s="84">
        <v>750</v>
      </c>
      <c r="V89" s="84" t="s">
        <v>93</v>
      </c>
    </row>
    <row r="90" spans="1:22" x14ac:dyDescent="0.35">
      <c r="A90" s="9" t="s">
        <v>912</v>
      </c>
      <c r="B90" s="9" t="s">
        <v>724</v>
      </c>
      <c r="C90" s="10">
        <v>500</v>
      </c>
      <c r="D90" s="10">
        <v>500</v>
      </c>
      <c r="E90" s="9" t="s">
        <v>96</v>
      </c>
      <c r="F90" s="9" t="s">
        <v>44</v>
      </c>
      <c r="G90" s="9"/>
      <c r="H90" s="9"/>
      <c r="I90" s="9"/>
      <c r="J90" s="195">
        <v>45888</v>
      </c>
      <c r="K90" s="239">
        <v>500</v>
      </c>
      <c r="L90" s="9" t="s">
        <v>913</v>
      </c>
      <c r="M90" s="9"/>
      <c r="N90" s="87" t="s">
        <v>914</v>
      </c>
      <c r="S90" s="18" t="s">
        <v>915</v>
      </c>
      <c r="T90" s="18" t="s">
        <v>724</v>
      </c>
      <c r="U90" s="18">
        <v>500</v>
      </c>
      <c r="V90" s="18" t="s">
        <v>93</v>
      </c>
    </row>
    <row r="91" spans="1:22" x14ac:dyDescent="0.35">
      <c r="A91" s="9" t="s">
        <v>916</v>
      </c>
      <c r="B91" s="9" t="s">
        <v>724</v>
      </c>
      <c r="C91" s="10">
        <v>500</v>
      </c>
      <c r="D91" s="10">
        <v>500</v>
      </c>
      <c r="E91" s="9"/>
      <c r="F91" s="9" t="s">
        <v>438</v>
      </c>
      <c r="G91" s="9"/>
      <c r="H91" s="9"/>
      <c r="I91" s="9">
        <v>0</v>
      </c>
      <c r="J91" s="9" t="s">
        <v>438</v>
      </c>
      <c r="K91" s="239">
        <v>500</v>
      </c>
      <c r="L91" s="9"/>
      <c r="M91" s="9"/>
      <c r="N91" s="9"/>
      <c r="S91" s="18" t="s">
        <v>917</v>
      </c>
      <c r="T91" s="18" t="s">
        <v>724</v>
      </c>
      <c r="U91" s="18">
        <v>500</v>
      </c>
      <c r="V91" s="18" t="s">
        <v>76</v>
      </c>
    </row>
    <row r="92" spans="1:22" ht="43.5" x14ac:dyDescent="0.35">
      <c r="A92" s="9" t="s">
        <v>918</v>
      </c>
      <c r="B92" s="9" t="s">
        <v>724</v>
      </c>
      <c r="C92" s="10">
        <v>500</v>
      </c>
      <c r="D92" s="10">
        <v>500</v>
      </c>
      <c r="E92" s="9" t="s">
        <v>76</v>
      </c>
      <c r="F92" s="9" t="s">
        <v>511</v>
      </c>
      <c r="G92" s="9"/>
      <c r="H92" s="94" t="s">
        <v>27</v>
      </c>
      <c r="I92" s="9" t="s">
        <v>919</v>
      </c>
      <c r="J92" s="9"/>
      <c r="K92" s="239"/>
      <c r="L92" s="9" t="s">
        <v>920</v>
      </c>
      <c r="M92" s="9"/>
      <c r="N92" s="87" t="s">
        <v>921</v>
      </c>
      <c r="S92" s="84" t="s">
        <v>194</v>
      </c>
      <c r="T92" s="84" t="s">
        <v>922</v>
      </c>
      <c r="U92" s="84">
        <v>0</v>
      </c>
      <c r="V92" s="84" t="s">
        <v>56</v>
      </c>
    </row>
    <row r="93" spans="1:22" x14ac:dyDescent="0.35">
      <c r="A93" s="9" t="s">
        <v>923</v>
      </c>
      <c r="B93" s="9" t="s">
        <v>724</v>
      </c>
      <c r="C93" s="10">
        <v>500</v>
      </c>
      <c r="D93" s="10">
        <v>0</v>
      </c>
      <c r="E93" s="9" t="s">
        <v>37</v>
      </c>
      <c r="F93" s="9" t="s">
        <v>924</v>
      </c>
      <c r="G93" s="9"/>
      <c r="H93" s="9"/>
      <c r="I93" s="9">
        <v>0</v>
      </c>
      <c r="J93" s="9"/>
      <c r="K93" s="239"/>
      <c r="L93" s="9" t="s">
        <v>925</v>
      </c>
      <c r="M93" s="9"/>
      <c r="N93" s="9" t="s">
        <v>926</v>
      </c>
      <c r="S93" s="18" t="s">
        <v>927</v>
      </c>
      <c r="T93" s="18" t="s">
        <v>724</v>
      </c>
      <c r="U93" s="18">
        <v>500</v>
      </c>
      <c r="V93" s="18" t="s">
        <v>76</v>
      </c>
    </row>
    <row r="94" spans="1:22" x14ac:dyDescent="0.35">
      <c r="A94" s="9" t="s">
        <v>928</v>
      </c>
      <c r="B94" s="9" t="s">
        <v>724</v>
      </c>
      <c r="C94" s="10">
        <v>500</v>
      </c>
      <c r="D94" s="10">
        <v>500</v>
      </c>
      <c r="E94" s="9" t="s">
        <v>76</v>
      </c>
      <c r="F94" s="9" t="s">
        <v>929</v>
      </c>
      <c r="G94" s="9"/>
      <c r="H94" s="9"/>
      <c r="I94" s="9">
        <v>0</v>
      </c>
      <c r="J94" s="9" t="s">
        <v>930</v>
      </c>
      <c r="K94" s="239">
        <v>500</v>
      </c>
      <c r="L94" s="9" t="s">
        <v>931</v>
      </c>
      <c r="M94" s="9"/>
      <c r="N94" s="87" t="s">
        <v>932</v>
      </c>
      <c r="S94" s="84" t="s">
        <v>836</v>
      </c>
      <c r="T94" s="84" t="s">
        <v>735</v>
      </c>
      <c r="U94" s="84">
        <v>910</v>
      </c>
      <c r="V94" s="84" t="s">
        <v>93</v>
      </c>
    </row>
    <row r="95" spans="1:22" x14ac:dyDescent="0.35">
      <c r="A95" s="9" t="s">
        <v>933</v>
      </c>
      <c r="B95" s="9" t="s">
        <v>724</v>
      </c>
      <c r="C95" s="10">
        <v>500</v>
      </c>
      <c r="D95" s="10">
        <v>500</v>
      </c>
      <c r="E95" s="9"/>
      <c r="F95" s="9" t="s">
        <v>564</v>
      </c>
      <c r="G95" s="9"/>
      <c r="H95" s="9"/>
      <c r="I95" s="9"/>
      <c r="J95" s="195">
        <v>45894</v>
      </c>
      <c r="K95" s="239">
        <v>500</v>
      </c>
      <c r="L95" s="9" t="s">
        <v>934</v>
      </c>
      <c r="M95" s="9"/>
      <c r="N95" s="87" t="s">
        <v>935</v>
      </c>
      <c r="S95" s="18" t="s">
        <v>936</v>
      </c>
      <c r="T95" s="18" t="s">
        <v>726</v>
      </c>
      <c r="U95" s="18">
        <v>0</v>
      </c>
      <c r="V95" s="18"/>
    </row>
    <row r="96" spans="1:22" x14ac:dyDescent="0.35">
      <c r="A96" s="9" t="s">
        <v>937</v>
      </c>
      <c r="B96" s="9" t="s">
        <v>724</v>
      </c>
      <c r="C96" s="10">
        <v>500</v>
      </c>
      <c r="D96" s="10">
        <v>600</v>
      </c>
      <c r="E96" s="9" t="s">
        <v>76</v>
      </c>
      <c r="F96" s="9" t="s">
        <v>938</v>
      </c>
      <c r="G96" s="9" t="s">
        <v>939</v>
      </c>
      <c r="H96" s="9"/>
      <c r="I96" s="9" t="s">
        <v>482</v>
      </c>
      <c r="J96" s="195">
        <v>45922</v>
      </c>
      <c r="K96" s="239">
        <v>500</v>
      </c>
      <c r="L96" s="9" t="s">
        <v>940</v>
      </c>
      <c r="M96" s="9"/>
      <c r="N96" s="87" t="s">
        <v>941</v>
      </c>
      <c r="S96" s="18" t="s">
        <v>942</v>
      </c>
      <c r="T96" s="18" t="s">
        <v>724</v>
      </c>
      <c r="U96" s="18">
        <v>500</v>
      </c>
      <c r="V96" s="18" t="s">
        <v>76</v>
      </c>
    </row>
    <row r="97" spans="1:22" x14ac:dyDescent="0.35">
      <c r="A97" s="9" t="s">
        <v>943</v>
      </c>
      <c r="B97" s="9" t="s">
        <v>724</v>
      </c>
      <c r="C97" s="10">
        <v>500</v>
      </c>
      <c r="D97" s="10">
        <v>500</v>
      </c>
      <c r="E97" s="9" t="s">
        <v>93</v>
      </c>
      <c r="F97" s="9" t="s">
        <v>567</v>
      </c>
      <c r="G97" s="9"/>
      <c r="H97" s="9"/>
      <c r="I97" s="9" t="s">
        <v>569</v>
      </c>
      <c r="J97" s="195">
        <v>45975</v>
      </c>
      <c r="K97" s="239">
        <v>500</v>
      </c>
      <c r="L97" s="9"/>
      <c r="M97" s="9"/>
      <c r="N97" s="87" t="s">
        <v>944</v>
      </c>
      <c r="S97" s="84" t="s">
        <v>945</v>
      </c>
      <c r="T97" s="84" t="s">
        <v>109</v>
      </c>
      <c r="U97" s="84">
        <v>1000</v>
      </c>
      <c r="V97" s="84" t="s">
        <v>92</v>
      </c>
    </row>
    <row r="98" spans="1:22" ht="43.5" x14ac:dyDescent="0.35">
      <c r="A98" s="9" t="s">
        <v>694</v>
      </c>
      <c r="B98" s="9" t="s">
        <v>724</v>
      </c>
      <c r="C98" s="10">
        <v>500</v>
      </c>
      <c r="D98" s="10">
        <v>500</v>
      </c>
      <c r="E98" s="9" t="s">
        <v>68</v>
      </c>
      <c r="F98" s="9" t="s">
        <v>567</v>
      </c>
      <c r="G98" s="9" t="s">
        <v>946</v>
      </c>
      <c r="H98" s="9"/>
      <c r="I98" s="9" t="s">
        <v>947</v>
      </c>
      <c r="J98" s="195" t="s">
        <v>948</v>
      </c>
      <c r="K98" s="239">
        <f>250+250</f>
        <v>500</v>
      </c>
      <c r="L98" s="9" t="s">
        <v>949</v>
      </c>
      <c r="M98" s="9"/>
      <c r="N98" s="87" t="s">
        <v>950</v>
      </c>
      <c r="S98" s="84" t="s">
        <v>87</v>
      </c>
      <c r="T98" s="84" t="s">
        <v>109</v>
      </c>
      <c r="U98" s="84">
        <v>1000</v>
      </c>
      <c r="V98" s="84" t="s">
        <v>24</v>
      </c>
    </row>
    <row r="99" spans="1:22" x14ac:dyDescent="0.35">
      <c r="A99" s="9" t="s">
        <v>951</v>
      </c>
      <c r="B99" s="9" t="s">
        <v>724</v>
      </c>
      <c r="C99" s="10">
        <v>500</v>
      </c>
      <c r="D99" s="10">
        <v>500</v>
      </c>
      <c r="E99" s="9" t="s">
        <v>68</v>
      </c>
      <c r="F99" s="9" t="s">
        <v>952</v>
      </c>
      <c r="G99" s="9"/>
      <c r="H99" s="9"/>
      <c r="I99" s="9"/>
      <c r="J99" s="195">
        <v>45888</v>
      </c>
      <c r="K99" s="239">
        <v>500</v>
      </c>
      <c r="L99" s="9" t="s">
        <v>953</v>
      </c>
      <c r="M99" s="9"/>
      <c r="N99" s="87" t="s">
        <v>954</v>
      </c>
      <c r="S99" s="84" t="s">
        <v>801</v>
      </c>
      <c r="T99" s="84" t="s">
        <v>889</v>
      </c>
      <c r="U99" s="84">
        <v>2500</v>
      </c>
      <c r="V99" s="84" t="s">
        <v>24</v>
      </c>
    </row>
    <row r="100" spans="1:22" ht="29" x14ac:dyDescent="0.35">
      <c r="A100" s="9" t="s">
        <v>552</v>
      </c>
      <c r="B100" s="9" t="s">
        <v>724</v>
      </c>
      <c r="C100" s="10">
        <v>500</v>
      </c>
      <c r="D100" s="10">
        <v>500</v>
      </c>
      <c r="E100" s="9" t="s">
        <v>92</v>
      </c>
      <c r="F100" s="9" t="s">
        <v>587</v>
      </c>
      <c r="G100" s="9"/>
      <c r="H100" s="9"/>
      <c r="I100" s="9" t="s">
        <v>955</v>
      </c>
      <c r="J100" s="195">
        <v>45936</v>
      </c>
      <c r="K100" s="239">
        <v>500</v>
      </c>
      <c r="L100" s="9" t="s">
        <v>554</v>
      </c>
      <c r="M100" s="9"/>
      <c r="N100" s="87" t="s">
        <v>555</v>
      </c>
      <c r="S100" s="84" t="s">
        <v>815</v>
      </c>
      <c r="T100" s="84" t="s">
        <v>109</v>
      </c>
      <c r="U100" s="84">
        <v>1000</v>
      </c>
      <c r="V100" s="84" t="s">
        <v>93</v>
      </c>
    </row>
    <row r="101" spans="1:22" x14ac:dyDescent="0.35">
      <c r="A101" s="9" t="s">
        <v>956</v>
      </c>
      <c r="B101" s="9" t="s">
        <v>724</v>
      </c>
      <c r="C101" s="10">
        <v>500</v>
      </c>
      <c r="D101" s="10">
        <v>500</v>
      </c>
      <c r="E101" s="9"/>
      <c r="F101" s="9" t="s">
        <v>587</v>
      </c>
      <c r="G101" s="9"/>
      <c r="H101" s="9"/>
      <c r="I101" s="9"/>
      <c r="J101" s="195">
        <v>45904</v>
      </c>
      <c r="K101" s="239">
        <v>500</v>
      </c>
      <c r="L101" s="9" t="s">
        <v>957</v>
      </c>
      <c r="M101" s="9"/>
      <c r="N101" s="87" t="s">
        <v>958</v>
      </c>
      <c r="S101" s="121" t="s">
        <v>959</v>
      </c>
      <c r="T101" s="121" t="s">
        <v>109</v>
      </c>
      <c r="U101" s="121">
        <v>1000</v>
      </c>
      <c r="V101" s="121" t="s">
        <v>95</v>
      </c>
    </row>
    <row r="102" spans="1:22" x14ac:dyDescent="0.35">
      <c r="A102" s="9" t="s">
        <v>960</v>
      </c>
      <c r="B102" s="9" t="s">
        <v>724</v>
      </c>
      <c r="C102" s="10">
        <v>500</v>
      </c>
      <c r="D102" s="10">
        <v>500</v>
      </c>
      <c r="E102" s="9" t="s">
        <v>86</v>
      </c>
      <c r="F102" s="9" t="s">
        <v>587</v>
      </c>
      <c r="G102" s="9"/>
      <c r="H102" s="9"/>
      <c r="I102" s="9" t="s">
        <v>955</v>
      </c>
      <c r="J102" s="195">
        <v>45909</v>
      </c>
      <c r="K102" s="239">
        <v>500</v>
      </c>
      <c r="L102" s="9" t="s">
        <v>961</v>
      </c>
      <c r="M102" s="9"/>
      <c r="N102" s="87" t="s">
        <v>962</v>
      </c>
      <c r="S102" s="121" t="s">
        <v>841</v>
      </c>
      <c r="T102" s="121" t="s">
        <v>735</v>
      </c>
      <c r="U102" s="121">
        <v>750</v>
      </c>
      <c r="V102" s="121" t="s">
        <v>90</v>
      </c>
    </row>
    <row r="103" spans="1:22" x14ac:dyDescent="0.35">
      <c r="A103" s="9" t="s">
        <v>963</v>
      </c>
      <c r="B103" s="9" t="s">
        <v>724</v>
      </c>
      <c r="C103" s="10">
        <v>500</v>
      </c>
      <c r="D103" s="10">
        <v>570</v>
      </c>
      <c r="E103" s="9" t="s">
        <v>92</v>
      </c>
      <c r="F103" s="9" t="s">
        <v>587</v>
      </c>
      <c r="G103" s="9"/>
      <c r="H103" s="9"/>
      <c r="I103" s="9"/>
      <c r="J103" s="195">
        <v>45904</v>
      </c>
      <c r="K103" s="239">
        <v>570</v>
      </c>
      <c r="L103" s="9" t="s">
        <v>964</v>
      </c>
      <c r="M103" s="9"/>
      <c r="N103" s="87" t="s">
        <v>965</v>
      </c>
      <c r="S103" s="121" t="s">
        <v>966</v>
      </c>
      <c r="T103" s="121" t="s">
        <v>735</v>
      </c>
      <c r="U103" s="121">
        <v>750</v>
      </c>
      <c r="V103" s="121" t="s">
        <v>93</v>
      </c>
    </row>
    <row r="104" spans="1:22" ht="15.5" x14ac:dyDescent="0.35">
      <c r="A104" s="9" t="s">
        <v>967</v>
      </c>
      <c r="B104" s="9" t="s">
        <v>724</v>
      </c>
      <c r="C104" s="10">
        <v>500</v>
      </c>
      <c r="D104" s="10">
        <v>500</v>
      </c>
      <c r="E104" s="9"/>
      <c r="F104" s="9" t="s">
        <v>587</v>
      </c>
      <c r="G104" s="9"/>
      <c r="H104" s="9"/>
      <c r="I104" s="9"/>
      <c r="J104" s="195">
        <v>45904</v>
      </c>
      <c r="K104" s="239">
        <v>500</v>
      </c>
      <c r="L104" s="9" t="s">
        <v>968</v>
      </c>
      <c r="M104" s="9"/>
      <c r="N104" s="260" t="s">
        <v>969</v>
      </c>
      <c r="S104" s="18" t="s">
        <v>970</v>
      </c>
      <c r="T104" s="18" t="s">
        <v>724</v>
      </c>
      <c r="U104" s="18">
        <v>15</v>
      </c>
      <c r="V104" s="18"/>
    </row>
    <row r="105" spans="1:22" x14ac:dyDescent="0.35">
      <c r="A105" s="9" t="s">
        <v>971</v>
      </c>
      <c r="B105" s="9" t="s">
        <v>724</v>
      </c>
      <c r="C105" s="10">
        <v>500</v>
      </c>
      <c r="D105" s="10">
        <v>530</v>
      </c>
      <c r="E105" s="9" t="s">
        <v>68</v>
      </c>
      <c r="F105" s="9" t="s">
        <v>867</v>
      </c>
      <c r="G105" s="9"/>
      <c r="H105" s="9"/>
      <c r="I105" s="9" t="s">
        <v>972</v>
      </c>
      <c r="J105" s="195">
        <v>45910</v>
      </c>
      <c r="K105" s="239">
        <v>500</v>
      </c>
      <c r="L105" s="9"/>
      <c r="M105" s="9"/>
      <c r="N105" s="9"/>
      <c r="S105" s="18" t="s">
        <v>970</v>
      </c>
      <c r="T105" s="18" t="s">
        <v>732</v>
      </c>
      <c r="U105" s="18">
        <v>15</v>
      </c>
      <c r="V105" s="18"/>
    </row>
    <row r="106" spans="1:22" x14ac:dyDescent="0.35">
      <c r="A106" s="9" t="s">
        <v>571</v>
      </c>
      <c r="B106" s="9" t="s">
        <v>724</v>
      </c>
      <c r="C106" s="10">
        <v>500</v>
      </c>
      <c r="D106" s="10">
        <v>500</v>
      </c>
      <c r="E106" s="9"/>
      <c r="F106" s="9" t="s">
        <v>867</v>
      </c>
      <c r="G106" s="9"/>
      <c r="H106" s="9"/>
      <c r="I106" s="9"/>
      <c r="J106" s="195">
        <v>45911</v>
      </c>
      <c r="K106" s="239">
        <v>500</v>
      </c>
      <c r="L106" s="9"/>
      <c r="M106" s="9"/>
      <c r="N106" s="9"/>
      <c r="S106" s="18" t="s">
        <v>973</v>
      </c>
      <c r="T106" s="18" t="s">
        <v>724</v>
      </c>
      <c r="U106" s="18">
        <v>500</v>
      </c>
      <c r="V106" s="18"/>
    </row>
    <row r="107" spans="1:22" x14ac:dyDescent="0.35">
      <c r="A107" s="9" t="s">
        <v>974</v>
      </c>
      <c r="B107" s="9" t="s">
        <v>724</v>
      </c>
      <c r="C107" s="10">
        <v>500</v>
      </c>
      <c r="D107" s="10">
        <v>0</v>
      </c>
      <c r="E107" s="9" t="s">
        <v>95</v>
      </c>
      <c r="F107" s="9" t="s">
        <v>869</v>
      </c>
      <c r="G107" s="9"/>
      <c r="H107" s="9"/>
      <c r="I107" s="9">
        <v>0</v>
      </c>
      <c r="J107" s="9"/>
      <c r="K107" s="239"/>
      <c r="L107" s="261" t="s">
        <v>975</v>
      </c>
      <c r="M107" s="9"/>
      <c r="N107" s="9" t="s">
        <v>976</v>
      </c>
      <c r="S107" s="84" t="s">
        <v>688</v>
      </c>
      <c r="T107" s="84" t="s">
        <v>726</v>
      </c>
      <c r="U107" s="84">
        <v>0</v>
      </c>
      <c r="V107" s="84"/>
    </row>
    <row r="108" spans="1:22" x14ac:dyDescent="0.35">
      <c r="A108" s="9" t="s">
        <v>835</v>
      </c>
      <c r="B108" s="9" t="s">
        <v>724</v>
      </c>
      <c r="C108" s="10">
        <v>500</v>
      </c>
      <c r="D108" s="10">
        <v>500</v>
      </c>
      <c r="E108" s="9" t="s">
        <v>92</v>
      </c>
      <c r="F108" s="9" t="s">
        <v>977</v>
      </c>
      <c r="G108" s="9"/>
      <c r="H108" s="9"/>
      <c r="I108" s="9" t="s">
        <v>805</v>
      </c>
      <c r="J108" s="195">
        <v>46002</v>
      </c>
      <c r="K108" s="239">
        <v>500</v>
      </c>
      <c r="L108" s="9" t="s">
        <v>978</v>
      </c>
      <c r="M108" s="9"/>
      <c r="N108" s="92" t="s">
        <v>979</v>
      </c>
      <c r="S108" s="18" t="s">
        <v>980</v>
      </c>
      <c r="T108" s="18" t="s">
        <v>724</v>
      </c>
      <c r="U108" s="18">
        <v>500</v>
      </c>
      <c r="V108" s="18" t="s">
        <v>76</v>
      </c>
    </row>
    <row r="109" spans="1:22" x14ac:dyDescent="0.35">
      <c r="A109" s="9" t="s">
        <v>981</v>
      </c>
      <c r="B109" s="9" t="s">
        <v>724</v>
      </c>
      <c r="C109" s="10">
        <v>500</v>
      </c>
      <c r="D109" s="10">
        <v>500</v>
      </c>
      <c r="E109" s="9" t="s">
        <v>93</v>
      </c>
      <c r="F109" s="9" t="s">
        <v>977</v>
      </c>
      <c r="G109" s="9"/>
      <c r="H109" s="9"/>
      <c r="I109" s="9" t="s">
        <v>805</v>
      </c>
      <c r="J109" s="195">
        <v>45939</v>
      </c>
      <c r="K109" s="239">
        <v>500</v>
      </c>
      <c r="L109" s="9" t="s">
        <v>982</v>
      </c>
      <c r="M109" s="9"/>
      <c r="N109" s="92" t="s">
        <v>983</v>
      </c>
      <c r="S109" s="121" t="s">
        <v>984</v>
      </c>
      <c r="T109" s="121" t="s">
        <v>726</v>
      </c>
      <c r="U109" s="121">
        <v>0</v>
      </c>
      <c r="V109" s="121"/>
    </row>
    <row r="110" spans="1:22" ht="29" x14ac:dyDescent="0.35">
      <c r="A110" s="9" t="s">
        <v>985</v>
      </c>
      <c r="B110" s="9" t="s">
        <v>724</v>
      </c>
      <c r="C110" s="10">
        <v>500</v>
      </c>
      <c r="D110" s="10">
        <v>530</v>
      </c>
      <c r="E110" s="9"/>
      <c r="F110" s="9" t="s">
        <v>986</v>
      </c>
      <c r="G110" s="9"/>
      <c r="H110" s="9"/>
      <c r="I110" s="9"/>
      <c r="J110" s="9" t="s">
        <v>987</v>
      </c>
      <c r="K110" s="239">
        <v>500</v>
      </c>
      <c r="L110" s="9" t="s">
        <v>988</v>
      </c>
      <c r="M110" s="9"/>
      <c r="N110" s="9"/>
      <c r="S110" s="84" t="s">
        <v>521</v>
      </c>
      <c r="T110" s="84" t="s">
        <v>792</v>
      </c>
      <c r="U110" s="84">
        <v>3500</v>
      </c>
      <c r="V110" s="84" t="s">
        <v>24</v>
      </c>
    </row>
    <row r="111" spans="1:22" x14ac:dyDescent="0.35">
      <c r="A111" s="9" t="s">
        <v>989</v>
      </c>
      <c r="B111" s="9" t="s">
        <v>724</v>
      </c>
      <c r="C111" s="10">
        <v>500</v>
      </c>
      <c r="D111" s="10">
        <v>500</v>
      </c>
      <c r="E111" s="9"/>
      <c r="F111" s="9" t="s">
        <v>990</v>
      </c>
      <c r="G111" s="9"/>
      <c r="H111" s="9"/>
      <c r="I111" s="9" t="s">
        <v>805</v>
      </c>
      <c r="J111" s="195">
        <v>45925</v>
      </c>
      <c r="K111" s="239">
        <v>500</v>
      </c>
      <c r="L111" s="9" t="s">
        <v>991</v>
      </c>
      <c r="M111" s="9"/>
      <c r="N111" s="92" t="s">
        <v>992</v>
      </c>
      <c r="S111" s="18" t="s">
        <v>993</v>
      </c>
      <c r="T111" s="18" t="s">
        <v>994</v>
      </c>
      <c r="U111" s="18">
        <v>890</v>
      </c>
      <c r="V111" s="18" t="s">
        <v>76</v>
      </c>
    </row>
    <row r="112" spans="1:22" x14ac:dyDescent="0.35">
      <c r="A112" s="9" t="s">
        <v>995</v>
      </c>
      <c r="B112" s="9" t="s">
        <v>724</v>
      </c>
      <c r="C112" s="10">
        <v>500</v>
      </c>
      <c r="D112" s="10">
        <v>500</v>
      </c>
      <c r="E112" s="9"/>
      <c r="F112" s="9" t="s">
        <v>990</v>
      </c>
      <c r="G112" s="9"/>
      <c r="H112" s="9"/>
      <c r="I112" s="9"/>
      <c r="J112" s="195">
        <v>45918</v>
      </c>
      <c r="K112" s="239">
        <v>500</v>
      </c>
      <c r="L112" s="9" t="s">
        <v>996</v>
      </c>
      <c r="M112" s="9"/>
      <c r="N112" s="9"/>
      <c r="S112" s="18" t="s">
        <v>997</v>
      </c>
      <c r="T112" s="18" t="s">
        <v>724</v>
      </c>
      <c r="U112" s="18">
        <v>540</v>
      </c>
      <c r="V112" s="18"/>
    </row>
    <row r="113" spans="1:22" x14ac:dyDescent="0.35">
      <c r="A113" s="9" t="s">
        <v>998</v>
      </c>
      <c r="B113" s="9" t="s">
        <v>724</v>
      </c>
      <c r="C113" s="10">
        <v>500</v>
      </c>
      <c r="D113" s="10">
        <v>535</v>
      </c>
      <c r="E113" s="9"/>
      <c r="F113" s="9" t="s">
        <v>999</v>
      </c>
      <c r="G113" s="9"/>
      <c r="H113" s="9"/>
      <c r="I113" s="9"/>
      <c r="J113" s="195">
        <v>45926</v>
      </c>
      <c r="K113" s="9">
        <v>535</v>
      </c>
      <c r="L113" s="9"/>
      <c r="M113" s="9"/>
      <c r="N113" s="9"/>
      <c r="S113" s="121" t="s">
        <v>1000</v>
      </c>
      <c r="T113" s="121" t="s">
        <v>724</v>
      </c>
      <c r="U113" s="121">
        <v>500</v>
      </c>
      <c r="V113" s="121" t="s">
        <v>93</v>
      </c>
    </row>
    <row r="114" spans="1:22" x14ac:dyDescent="0.35">
      <c r="A114" s="9" t="s">
        <v>1001</v>
      </c>
      <c r="B114" s="9" t="s">
        <v>724</v>
      </c>
      <c r="C114" s="10">
        <v>500</v>
      </c>
      <c r="D114" s="10">
        <v>500</v>
      </c>
      <c r="E114" s="9" t="s">
        <v>68</v>
      </c>
      <c r="F114" s="9" t="s">
        <v>750</v>
      </c>
      <c r="G114" s="9"/>
      <c r="H114" s="9"/>
      <c r="I114" s="9" t="s">
        <v>751</v>
      </c>
      <c r="J114" s="195">
        <v>45936</v>
      </c>
      <c r="K114" s="9">
        <v>500</v>
      </c>
      <c r="L114" s="9" t="s">
        <v>1002</v>
      </c>
      <c r="M114" s="9"/>
      <c r="N114" s="92" t="s">
        <v>1003</v>
      </c>
      <c r="S114" s="18" t="s">
        <v>1004</v>
      </c>
      <c r="T114" s="18" t="s">
        <v>735</v>
      </c>
      <c r="U114" s="18">
        <v>750</v>
      </c>
      <c r="V114" s="18" t="s">
        <v>93</v>
      </c>
    </row>
    <row r="115" spans="1:22" x14ac:dyDescent="0.35">
      <c r="A115" s="9" t="s">
        <v>1005</v>
      </c>
      <c r="B115" s="9" t="s">
        <v>1006</v>
      </c>
      <c r="C115" s="10">
        <v>800</v>
      </c>
      <c r="D115" s="10">
        <v>800</v>
      </c>
      <c r="E115" s="9"/>
      <c r="F115" s="9" t="s">
        <v>1007</v>
      </c>
      <c r="G115" s="9"/>
      <c r="H115" s="9"/>
      <c r="I115" s="9"/>
      <c r="J115" s="195">
        <v>45887</v>
      </c>
      <c r="K115" s="239">
        <v>800</v>
      </c>
      <c r="L115" s="9" t="s">
        <v>1008</v>
      </c>
      <c r="M115" s="9"/>
      <c r="N115" s="87" t="s">
        <v>1009</v>
      </c>
      <c r="S115" s="84" t="s">
        <v>376</v>
      </c>
      <c r="T115" s="84" t="s">
        <v>724</v>
      </c>
      <c r="U115" s="84">
        <v>500</v>
      </c>
      <c r="V115" s="84" t="s">
        <v>96</v>
      </c>
    </row>
    <row r="116" spans="1:22" x14ac:dyDescent="0.35">
      <c r="A116" s="9" t="s">
        <v>1010</v>
      </c>
      <c r="B116" s="9" t="s">
        <v>1006</v>
      </c>
      <c r="C116" s="10">
        <v>800</v>
      </c>
      <c r="D116" s="10">
        <v>800</v>
      </c>
      <c r="E116" s="9"/>
      <c r="F116" s="9"/>
      <c r="G116" s="9"/>
      <c r="H116" s="9"/>
      <c r="I116" s="9"/>
      <c r="J116" s="195">
        <v>45905</v>
      </c>
      <c r="K116" s="239">
        <v>800</v>
      </c>
      <c r="L116" s="9"/>
      <c r="M116" s="9"/>
      <c r="N116" s="9"/>
      <c r="S116" s="18" t="s">
        <v>1011</v>
      </c>
      <c r="T116" s="18" t="s">
        <v>726</v>
      </c>
      <c r="U116" s="18">
        <v>0</v>
      </c>
      <c r="V116" s="18"/>
    </row>
    <row r="117" spans="1:22" ht="43.5" x14ac:dyDescent="0.35">
      <c r="A117" s="9" t="s">
        <v>507</v>
      </c>
      <c r="B117" s="9" t="s">
        <v>732</v>
      </c>
      <c r="C117" s="10">
        <v>0</v>
      </c>
      <c r="D117" s="10">
        <v>0</v>
      </c>
      <c r="E117" s="9" t="s">
        <v>56</v>
      </c>
      <c r="F117" s="9" t="s">
        <v>381</v>
      </c>
      <c r="G117" s="9" t="s">
        <v>1012</v>
      </c>
      <c r="H117" s="99"/>
      <c r="I117" s="9">
        <v>0</v>
      </c>
      <c r="J117" s="9"/>
      <c r="K117" s="239"/>
      <c r="L117" s="9" t="s">
        <v>508</v>
      </c>
      <c r="M117" s="9"/>
      <c r="N117" s="9" t="s">
        <v>509</v>
      </c>
      <c r="S117" s="84" t="s">
        <v>1013</v>
      </c>
      <c r="T117" s="84" t="s">
        <v>726</v>
      </c>
      <c r="U117" s="84">
        <v>0</v>
      </c>
      <c r="V117" s="84"/>
    </row>
    <row r="118" spans="1:22" x14ac:dyDescent="0.35">
      <c r="A118" s="9" t="s">
        <v>457</v>
      </c>
      <c r="B118" s="9" t="s">
        <v>732</v>
      </c>
      <c r="C118" s="10">
        <v>0</v>
      </c>
      <c r="D118" s="10">
        <v>0</v>
      </c>
      <c r="E118" s="9" t="s">
        <v>37</v>
      </c>
      <c r="F118" s="9" t="s">
        <v>25</v>
      </c>
      <c r="G118" s="9" t="s">
        <v>1014</v>
      </c>
      <c r="H118" s="9"/>
      <c r="I118" s="9">
        <v>0</v>
      </c>
      <c r="J118" s="9"/>
      <c r="K118" s="239"/>
      <c r="L118" s="9" t="s">
        <v>459</v>
      </c>
      <c r="M118" s="9"/>
      <c r="N118" s="9" t="s">
        <v>460</v>
      </c>
      <c r="S118" s="84" t="s">
        <v>778</v>
      </c>
      <c r="T118" s="84" t="s">
        <v>109</v>
      </c>
      <c r="U118" s="84">
        <v>1000</v>
      </c>
      <c r="V118" s="84" t="s">
        <v>93</v>
      </c>
    </row>
    <row r="119" spans="1:22" ht="72.5" x14ac:dyDescent="0.35">
      <c r="A119" s="9" t="s">
        <v>176</v>
      </c>
      <c r="B119" s="9" t="s">
        <v>732</v>
      </c>
      <c r="C119" s="10">
        <v>0</v>
      </c>
      <c r="D119" s="10">
        <v>0</v>
      </c>
      <c r="E119" s="9" t="s">
        <v>56</v>
      </c>
      <c r="F119" s="9" t="s">
        <v>418</v>
      </c>
      <c r="G119" s="9" t="s">
        <v>1015</v>
      </c>
      <c r="H119" s="9"/>
      <c r="I119" s="9">
        <v>0</v>
      </c>
      <c r="J119" s="9"/>
      <c r="K119" s="239"/>
      <c r="L119" s="9" t="s">
        <v>178</v>
      </c>
      <c r="M119" s="9"/>
      <c r="N119" s="87" t="s">
        <v>179</v>
      </c>
      <c r="S119" s="84" t="s">
        <v>1016</v>
      </c>
      <c r="T119" s="84" t="s">
        <v>735</v>
      </c>
      <c r="U119" s="84">
        <v>750</v>
      </c>
      <c r="V119" s="84" t="s">
        <v>93</v>
      </c>
    </row>
    <row r="120" spans="1:22" x14ac:dyDescent="0.35">
      <c r="A120" s="9" t="s">
        <v>40</v>
      </c>
      <c r="B120" s="9" t="s">
        <v>732</v>
      </c>
      <c r="C120" s="10">
        <v>500</v>
      </c>
      <c r="D120" s="10">
        <v>500</v>
      </c>
      <c r="E120" s="9" t="s">
        <v>37</v>
      </c>
      <c r="F120" s="9" t="s">
        <v>42</v>
      </c>
      <c r="G120" s="9" t="s">
        <v>1017</v>
      </c>
      <c r="H120" s="94" t="s">
        <v>27</v>
      </c>
      <c r="I120" s="9"/>
      <c r="J120" s="195">
        <v>46008</v>
      </c>
      <c r="K120" s="239">
        <v>500</v>
      </c>
      <c r="L120" s="9" t="s">
        <v>45</v>
      </c>
      <c r="M120" s="9"/>
      <c r="N120" s="9" t="s">
        <v>46</v>
      </c>
      <c r="S120" s="84" t="s">
        <v>286</v>
      </c>
      <c r="T120" s="84" t="s">
        <v>39</v>
      </c>
      <c r="U120" s="84">
        <v>2500</v>
      </c>
      <c r="V120" s="84" t="s">
        <v>24</v>
      </c>
    </row>
    <row r="121" spans="1:22" x14ac:dyDescent="0.35">
      <c r="A121" s="9"/>
      <c r="B121" s="9" t="s">
        <v>732</v>
      </c>
      <c r="C121" s="10">
        <v>0</v>
      </c>
      <c r="D121" s="10"/>
      <c r="E121" s="9"/>
      <c r="F121" s="9"/>
      <c r="G121" s="9"/>
      <c r="H121" s="9"/>
      <c r="I121" s="9">
        <v>0</v>
      </c>
      <c r="J121" s="9"/>
      <c r="K121" s="239"/>
      <c r="L121" s="9"/>
      <c r="M121" s="9"/>
      <c r="N121" s="9"/>
      <c r="S121" s="121" t="s">
        <v>377</v>
      </c>
      <c r="T121" s="121" t="s">
        <v>39</v>
      </c>
      <c r="U121" s="121">
        <v>1500</v>
      </c>
      <c r="V121" s="121" t="s">
        <v>93</v>
      </c>
    </row>
    <row r="122" spans="1:22" x14ac:dyDescent="0.35">
      <c r="A122" s="9"/>
      <c r="B122" s="9" t="s">
        <v>732</v>
      </c>
      <c r="C122" s="10">
        <v>0</v>
      </c>
      <c r="D122" s="9"/>
      <c r="E122" s="9"/>
      <c r="F122" s="9"/>
      <c r="G122" s="9"/>
      <c r="H122" s="9"/>
      <c r="I122" s="9">
        <v>0</v>
      </c>
      <c r="J122" s="9"/>
      <c r="K122" s="239"/>
      <c r="L122" s="9"/>
      <c r="M122" s="9"/>
      <c r="N122" s="9"/>
      <c r="S122" s="84" t="s">
        <v>896</v>
      </c>
      <c r="T122" s="84" t="s">
        <v>724</v>
      </c>
      <c r="U122" s="84">
        <v>500</v>
      </c>
      <c r="V122" s="84" t="s">
        <v>93</v>
      </c>
    </row>
    <row r="123" spans="1:22" x14ac:dyDescent="0.35">
      <c r="A123" s="9" t="s">
        <v>494</v>
      </c>
      <c r="B123" s="9" t="s">
        <v>1018</v>
      </c>
      <c r="C123" s="10">
        <v>0</v>
      </c>
      <c r="D123" s="10">
        <v>0</v>
      </c>
      <c r="E123" s="9" t="s">
        <v>92</v>
      </c>
      <c r="F123" s="9" t="s">
        <v>256</v>
      </c>
      <c r="G123" s="9"/>
      <c r="H123" s="9"/>
      <c r="I123" s="9">
        <v>0</v>
      </c>
      <c r="J123" s="9"/>
      <c r="K123" s="239"/>
      <c r="L123" s="9" t="s">
        <v>453</v>
      </c>
      <c r="M123" s="9"/>
      <c r="N123" s="87" t="s">
        <v>454</v>
      </c>
      <c r="S123" s="84" t="s">
        <v>1019</v>
      </c>
      <c r="T123" s="84" t="s">
        <v>724</v>
      </c>
      <c r="U123" s="84">
        <v>500</v>
      </c>
      <c r="V123" s="84" t="s">
        <v>76</v>
      </c>
    </row>
    <row r="124" spans="1:22" x14ac:dyDescent="0.35">
      <c r="A124" s="9" t="s">
        <v>479</v>
      </c>
      <c r="B124" s="9" t="s">
        <v>1018</v>
      </c>
      <c r="C124" s="10">
        <v>0</v>
      </c>
      <c r="D124" s="10">
        <v>0</v>
      </c>
      <c r="E124" s="9" t="s">
        <v>95</v>
      </c>
      <c r="F124" s="9" t="s">
        <v>642</v>
      </c>
      <c r="G124" s="9"/>
      <c r="H124" s="9"/>
      <c r="I124" s="9">
        <v>0</v>
      </c>
      <c r="J124" s="9"/>
      <c r="K124" s="239"/>
      <c r="L124" s="9" t="s">
        <v>910</v>
      </c>
      <c r="M124" s="9"/>
      <c r="N124" s="87" t="s">
        <v>911</v>
      </c>
      <c r="S124" s="84" t="s">
        <v>721</v>
      </c>
      <c r="T124" s="84" t="s">
        <v>724</v>
      </c>
      <c r="U124" s="84">
        <v>570</v>
      </c>
      <c r="V124" s="84" t="s">
        <v>93</v>
      </c>
    </row>
    <row r="125" spans="1:22" x14ac:dyDescent="0.35">
      <c r="A125" s="9" t="s">
        <v>861</v>
      </c>
      <c r="B125" s="9" t="s">
        <v>1018</v>
      </c>
      <c r="C125" s="10">
        <v>0</v>
      </c>
      <c r="D125" s="10">
        <v>0</v>
      </c>
      <c r="E125" s="9" t="s">
        <v>180</v>
      </c>
      <c r="F125" s="9" t="s">
        <v>1020</v>
      </c>
      <c r="G125" s="9"/>
      <c r="H125" s="9"/>
      <c r="I125" s="9">
        <v>0</v>
      </c>
      <c r="J125" s="9"/>
      <c r="K125" s="239"/>
      <c r="L125" s="9"/>
      <c r="M125" s="9"/>
      <c r="N125" s="9"/>
      <c r="S125" s="121" t="s">
        <v>610</v>
      </c>
      <c r="T125" s="121" t="s">
        <v>724</v>
      </c>
      <c r="U125" s="121">
        <v>530</v>
      </c>
      <c r="V125" s="121" t="s">
        <v>96</v>
      </c>
    </row>
    <row r="126" spans="1:22" x14ac:dyDescent="0.35">
      <c r="A126" s="9" t="s">
        <v>1021</v>
      </c>
      <c r="B126" s="9" t="s">
        <v>1018</v>
      </c>
      <c r="C126" s="10">
        <v>0</v>
      </c>
      <c r="D126" s="10">
        <v>0</v>
      </c>
      <c r="E126" s="9" t="s">
        <v>180</v>
      </c>
      <c r="F126" s="9" t="s">
        <v>1020</v>
      </c>
      <c r="G126" s="9"/>
      <c r="H126" s="9"/>
      <c r="I126" s="9">
        <v>0</v>
      </c>
      <c r="J126" s="9"/>
      <c r="K126" s="239"/>
      <c r="L126" s="9"/>
      <c r="M126" s="9"/>
      <c r="N126" s="9"/>
      <c r="S126" s="18" t="s">
        <v>1022</v>
      </c>
      <c r="T126" s="18" t="s">
        <v>724</v>
      </c>
      <c r="U126" s="18">
        <v>500</v>
      </c>
      <c r="V126" s="18" t="s">
        <v>76</v>
      </c>
    </row>
    <row r="127" spans="1:22" x14ac:dyDescent="0.35">
      <c r="A127" s="9" t="s">
        <v>1023</v>
      </c>
      <c r="B127" s="9" t="s">
        <v>1018</v>
      </c>
      <c r="C127" s="10">
        <v>0</v>
      </c>
      <c r="D127" s="10">
        <v>0</v>
      </c>
      <c r="E127" s="9" t="s">
        <v>180</v>
      </c>
      <c r="F127" s="9" t="s">
        <v>1020</v>
      </c>
      <c r="G127" s="9"/>
      <c r="H127" s="9"/>
      <c r="I127" s="9">
        <v>0</v>
      </c>
      <c r="J127" s="9"/>
      <c r="K127" s="239"/>
      <c r="L127" s="9"/>
      <c r="M127" s="9"/>
      <c r="N127" s="9"/>
      <c r="S127" s="121" t="s">
        <v>352</v>
      </c>
      <c r="T127" s="121" t="s">
        <v>735</v>
      </c>
      <c r="U127" s="121">
        <v>750</v>
      </c>
      <c r="V127" s="121" t="s">
        <v>93</v>
      </c>
    </row>
    <row r="128" spans="1:22" x14ac:dyDescent="0.35">
      <c r="A128" s="9" t="s">
        <v>1024</v>
      </c>
      <c r="B128" s="9" t="s">
        <v>1018</v>
      </c>
      <c r="C128" s="10">
        <v>0</v>
      </c>
      <c r="D128" s="10">
        <v>0</v>
      </c>
      <c r="E128" s="9" t="s">
        <v>180</v>
      </c>
      <c r="F128" s="9" t="s">
        <v>1020</v>
      </c>
      <c r="G128" s="9"/>
      <c r="H128" s="9"/>
      <c r="I128" s="9">
        <v>0</v>
      </c>
      <c r="J128" s="9"/>
      <c r="K128" s="239"/>
      <c r="L128" s="9"/>
      <c r="M128" s="9"/>
      <c r="N128" s="9"/>
      <c r="S128" s="18" t="s">
        <v>1025</v>
      </c>
      <c r="T128" s="18" t="s">
        <v>724</v>
      </c>
      <c r="U128" s="18">
        <v>500</v>
      </c>
      <c r="V128" s="18" t="s">
        <v>96</v>
      </c>
    </row>
    <row r="129" spans="1:22" x14ac:dyDescent="0.35">
      <c r="A129" s="9" t="s">
        <v>1026</v>
      </c>
      <c r="B129" s="9" t="s">
        <v>1018</v>
      </c>
      <c r="C129" s="10">
        <v>0</v>
      </c>
      <c r="D129" s="10">
        <v>0</v>
      </c>
      <c r="E129" s="9" t="s">
        <v>180</v>
      </c>
      <c r="F129" s="9" t="s">
        <v>1020</v>
      </c>
      <c r="G129" s="9"/>
      <c r="H129" s="9"/>
      <c r="I129" s="9">
        <v>0</v>
      </c>
      <c r="J129" s="9"/>
      <c r="K129" s="239"/>
      <c r="L129" s="9"/>
      <c r="M129" s="9"/>
      <c r="N129" s="9"/>
      <c r="S129" s="18" t="s">
        <v>1025</v>
      </c>
      <c r="T129" s="18" t="s">
        <v>726</v>
      </c>
      <c r="U129" s="18">
        <v>0</v>
      </c>
      <c r="V129" s="18"/>
    </row>
    <row r="130" spans="1:22" x14ac:dyDescent="0.35">
      <c r="A130" s="9" t="s">
        <v>1027</v>
      </c>
      <c r="B130" s="9" t="s">
        <v>1018</v>
      </c>
      <c r="C130" s="10">
        <v>0</v>
      </c>
      <c r="D130" s="10">
        <v>0</v>
      </c>
      <c r="E130" s="9" t="s">
        <v>180</v>
      </c>
      <c r="F130" s="9" t="s">
        <v>1020</v>
      </c>
      <c r="G130" s="9"/>
      <c r="H130" s="9"/>
      <c r="I130" s="9">
        <v>0</v>
      </c>
      <c r="J130" s="9"/>
      <c r="K130" s="239"/>
      <c r="L130" s="9"/>
      <c r="M130" s="9"/>
      <c r="N130" s="9"/>
      <c r="S130" s="84" t="s">
        <v>1028</v>
      </c>
      <c r="T130" s="84" t="s">
        <v>735</v>
      </c>
      <c r="U130" s="84">
        <v>750</v>
      </c>
      <c r="V130" s="84" t="s">
        <v>86</v>
      </c>
    </row>
    <row r="131" spans="1:22" x14ac:dyDescent="0.35">
      <c r="A131" s="9" t="s">
        <v>1029</v>
      </c>
      <c r="B131" s="9" t="s">
        <v>1018</v>
      </c>
      <c r="C131" s="10">
        <v>0</v>
      </c>
      <c r="D131" s="10">
        <v>0</v>
      </c>
      <c r="E131" s="9"/>
      <c r="F131" s="9"/>
      <c r="G131" s="9"/>
      <c r="H131" s="9"/>
      <c r="I131" s="9">
        <v>0</v>
      </c>
      <c r="J131" s="9"/>
      <c r="K131" s="239"/>
      <c r="L131" s="9"/>
      <c r="M131" s="9"/>
      <c r="N131" s="9"/>
      <c r="S131" s="121" t="s">
        <v>485</v>
      </c>
      <c r="T131" s="121" t="s">
        <v>735</v>
      </c>
      <c r="U131" s="121">
        <v>750</v>
      </c>
      <c r="V131" s="121" t="s">
        <v>93</v>
      </c>
    </row>
    <row r="132" spans="1:22" x14ac:dyDescent="0.35">
      <c r="A132" s="9" t="s">
        <v>1030</v>
      </c>
      <c r="B132" s="9" t="s">
        <v>1018</v>
      </c>
      <c r="C132" s="10">
        <v>0</v>
      </c>
      <c r="D132" s="10">
        <v>0</v>
      </c>
      <c r="E132" s="9"/>
      <c r="F132" s="9"/>
      <c r="G132" s="9"/>
      <c r="H132" s="9"/>
      <c r="I132" s="9">
        <v>0</v>
      </c>
      <c r="J132" s="9"/>
      <c r="K132" s="239"/>
      <c r="L132" s="9"/>
      <c r="M132" s="9"/>
      <c r="N132" s="9"/>
      <c r="S132" s="84" t="s">
        <v>232</v>
      </c>
      <c r="T132" s="84" t="s">
        <v>889</v>
      </c>
      <c r="U132" s="84">
        <v>2000</v>
      </c>
      <c r="V132" s="84" t="s">
        <v>24</v>
      </c>
    </row>
    <row r="133" spans="1:22" x14ac:dyDescent="0.35">
      <c r="A133" s="9"/>
      <c r="B133" s="9" t="s">
        <v>1018</v>
      </c>
      <c r="C133" s="10">
        <v>0</v>
      </c>
      <c r="D133" s="10">
        <v>0</v>
      </c>
      <c r="E133" s="9"/>
      <c r="F133" s="9"/>
      <c r="G133" s="9"/>
      <c r="H133" s="9"/>
      <c r="I133" s="9">
        <v>0</v>
      </c>
      <c r="J133" s="9"/>
      <c r="K133" s="239"/>
      <c r="L133" s="9"/>
      <c r="M133" s="9"/>
      <c r="N133" s="9"/>
      <c r="S133" s="18" t="s">
        <v>544</v>
      </c>
      <c r="T133" s="18" t="s">
        <v>726</v>
      </c>
      <c r="U133" s="18">
        <v>0</v>
      </c>
      <c r="V133" s="18" t="s">
        <v>95</v>
      </c>
    </row>
    <row r="134" spans="1:22" x14ac:dyDescent="0.35">
      <c r="A134" s="9" t="s">
        <v>912</v>
      </c>
      <c r="B134" s="9" t="s">
        <v>1018</v>
      </c>
      <c r="C134" s="10">
        <v>0</v>
      </c>
      <c r="D134" s="10">
        <v>0</v>
      </c>
      <c r="E134" s="9"/>
      <c r="F134" s="9"/>
      <c r="G134" s="9"/>
      <c r="H134" s="9"/>
      <c r="I134" s="9">
        <v>0</v>
      </c>
      <c r="J134" s="9"/>
      <c r="K134" s="239"/>
      <c r="L134" s="9"/>
      <c r="M134" s="9"/>
      <c r="N134" s="9"/>
      <c r="S134" s="84" t="s">
        <v>1031</v>
      </c>
      <c r="T134" s="84" t="s">
        <v>724</v>
      </c>
      <c r="U134" s="84">
        <v>500</v>
      </c>
      <c r="V134" s="84" t="s">
        <v>76</v>
      </c>
    </row>
    <row r="135" spans="1:22" x14ac:dyDescent="0.35">
      <c r="A135" s="9" t="s">
        <v>549</v>
      </c>
      <c r="B135" s="9" t="s">
        <v>1018</v>
      </c>
      <c r="C135" s="10">
        <v>0</v>
      </c>
      <c r="D135" s="10">
        <v>0</v>
      </c>
      <c r="E135" s="9"/>
      <c r="F135" s="9"/>
      <c r="G135" s="9"/>
      <c r="H135" s="9"/>
      <c r="I135" s="9">
        <v>0</v>
      </c>
      <c r="J135" s="9"/>
      <c r="K135" s="239"/>
      <c r="L135" s="9"/>
      <c r="M135" s="9"/>
      <c r="N135" s="9"/>
      <c r="S135" s="84" t="s">
        <v>549</v>
      </c>
      <c r="T135" s="84" t="s">
        <v>735</v>
      </c>
      <c r="U135" s="84">
        <v>750</v>
      </c>
      <c r="V135" s="84" t="s">
        <v>96</v>
      </c>
    </row>
    <row r="136" spans="1:22" x14ac:dyDescent="0.35">
      <c r="A136" s="9" t="s">
        <v>1032</v>
      </c>
      <c r="B136" s="9" t="s">
        <v>1018</v>
      </c>
      <c r="C136" s="10">
        <v>0</v>
      </c>
      <c r="D136" s="10">
        <v>0</v>
      </c>
      <c r="E136" s="9"/>
      <c r="F136" s="9"/>
      <c r="G136" s="9"/>
      <c r="H136" s="9"/>
      <c r="I136" s="9">
        <v>0</v>
      </c>
      <c r="J136" s="9"/>
      <c r="K136" s="239"/>
      <c r="L136" s="9"/>
      <c r="M136" s="9"/>
      <c r="N136" s="9"/>
      <c r="S136" s="84" t="s">
        <v>549</v>
      </c>
      <c r="T136" s="84" t="s">
        <v>726</v>
      </c>
      <c r="U136" s="84">
        <v>0</v>
      </c>
      <c r="V136" s="84" t="s">
        <v>95</v>
      </c>
    </row>
    <row r="137" spans="1:22" x14ac:dyDescent="0.35">
      <c r="A137" s="9" t="s">
        <v>781</v>
      </c>
      <c r="B137" s="9" t="s">
        <v>1018</v>
      </c>
      <c r="C137" s="10">
        <v>0</v>
      </c>
      <c r="D137" s="10">
        <v>0</v>
      </c>
      <c r="E137" s="9"/>
      <c r="F137" s="9"/>
      <c r="G137" s="9"/>
      <c r="H137" s="9"/>
      <c r="I137" s="9">
        <v>0</v>
      </c>
      <c r="J137" s="9"/>
      <c r="K137" s="9"/>
      <c r="L137" s="9"/>
      <c r="M137" s="9"/>
      <c r="N137" s="9"/>
      <c r="S137" s="18" t="s">
        <v>1033</v>
      </c>
      <c r="T137" s="18" t="s">
        <v>724</v>
      </c>
      <c r="U137" s="18">
        <v>500</v>
      </c>
      <c r="V137" s="18" t="s">
        <v>93</v>
      </c>
    </row>
    <row r="138" spans="1:22" x14ac:dyDescent="0.35">
      <c r="A138" s="9" t="s">
        <v>808</v>
      </c>
      <c r="B138" s="9" t="s">
        <v>1018</v>
      </c>
      <c r="C138" s="10">
        <v>0</v>
      </c>
      <c r="D138" s="10">
        <v>0</v>
      </c>
      <c r="E138" s="9"/>
      <c r="F138" s="9"/>
      <c r="G138" s="9"/>
      <c r="H138" s="9"/>
      <c r="I138" s="9">
        <v>0</v>
      </c>
      <c r="J138" s="9"/>
      <c r="K138" s="9"/>
      <c r="L138" s="9"/>
      <c r="M138" s="9"/>
      <c r="N138" s="9"/>
      <c r="S138" s="84" t="s">
        <v>1034</v>
      </c>
      <c r="T138" s="84" t="s">
        <v>735</v>
      </c>
      <c r="U138" s="84">
        <v>750</v>
      </c>
      <c r="V138" s="84" t="s">
        <v>93</v>
      </c>
    </row>
    <row r="139" spans="1:22" x14ac:dyDescent="0.35">
      <c r="A139" s="9" t="s">
        <v>470</v>
      </c>
      <c r="B139" s="9" t="s">
        <v>1018</v>
      </c>
      <c r="C139" s="10">
        <v>0</v>
      </c>
      <c r="D139" s="10">
        <v>0</v>
      </c>
      <c r="E139" s="9"/>
      <c r="F139" s="9"/>
      <c r="G139" s="9"/>
      <c r="H139" s="9"/>
      <c r="I139" s="9">
        <v>0</v>
      </c>
      <c r="J139" s="9"/>
      <c r="K139" s="9"/>
      <c r="L139" s="9"/>
      <c r="M139" s="9"/>
      <c r="N139" s="9"/>
      <c r="S139" s="84" t="s">
        <v>1034</v>
      </c>
      <c r="T139" s="84" t="s">
        <v>726</v>
      </c>
      <c r="U139" s="84">
        <v>0</v>
      </c>
      <c r="V139" s="84"/>
    </row>
    <row r="140" spans="1:22" x14ac:dyDescent="0.35">
      <c r="A140" s="9" t="s">
        <v>1035</v>
      </c>
      <c r="B140" s="9" t="s">
        <v>1018</v>
      </c>
      <c r="C140" s="10">
        <v>0</v>
      </c>
      <c r="D140" s="10">
        <v>0</v>
      </c>
      <c r="E140" s="9"/>
      <c r="F140" s="9"/>
      <c r="G140" s="9"/>
      <c r="H140" s="9"/>
      <c r="I140" s="9">
        <v>0</v>
      </c>
      <c r="J140" s="9"/>
      <c r="K140" s="9"/>
      <c r="L140" s="9"/>
      <c r="M140" s="9"/>
      <c r="N140" s="9"/>
      <c r="S140" s="84" t="s">
        <v>235</v>
      </c>
      <c r="T140" s="84" t="s">
        <v>32</v>
      </c>
      <c r="U140" s="84">
        <v>5000</v>
      </c>
      <c r="V140" s="84" t="s">
        <v>37</v>
      </c>
    </row>
    <row r="141" spans="1:22" x14ac:dyDescent="0.35">
      <c r="A141" s="9" t="s">
        <v>1013</v>
      </c>
      <c r="B141" s="9" t="s">
        <v>1018</v>
      </c>
      <c r="C141" s="10">
        <v>0</v>
      </c>
      <c r="D141" s="10">
        <v>0</v>
      </c>
      <c r="E141" s="9"/>
      <c r="F141" s="9"/>
      <c r="G141" s="9"/>
      <c r="H141" s="9"/>
      <c r="I141" s="9">
        <v>0</v>
      </c>
      <c r="J141" s="9"/>
      <c r="K141" s="9"/>
      <c r="L141" s="9"/>
      <c r="M141" s="9"/>
      <c r="N141" s="9"/>
      <c r="S141" s="84" t="s">
        <v>69</v>
      </c>
      <c r="T141" s="84" t="s">
        <v>109</v>
      </c>
      <c r="U141" s="84">
        <v>1000</v>
      </c>
      <c r="V141" s="84" t="s">
        <v>24</v>
      </c>
    </row>
    <row r="142" spans="1:22" x14ac:dyDescent="0.35">
      <c r="A142" s="9" t="s">
        <v>1036</v>
      </c>
      <c r="B142" s="9" t="s">
        <v>1018</v>
      </c>
      <c r="C142" s="10">
        <v>0</v>
      </c>
      <c r="D142" s="10">
        <v>0</v>
      </c>
      <c r="E142" s="9"/>
      <c r="F142" s="9"/>
      <c r="G142" s="9"/>
      <c r="H142" s="9"/>
      <c r="I142" s="9">
        <v>0</v>
      </c>
      <c r="J142" s="9"/>
      <c r="K142" s="9"/>
      <c r="L142" s="9"/>
      <c r="M142" s="9"/>
      <c r="N142" s="9"/>
      <c r="S142" s="84" t="s">
        <v>742</v>
      </c>
      <c r="T142" s="84" t="s">
        <v>39</v>
      </c>
      <c r="U142" s="84">
        <v>2000</v>
      </c>
      <c r="V142" s="84" t="s">
        <v>24</v>
      </c>
    </row>
    <row r="143" spans="1:22" x14ac:dyDescent="0.35">
      <c r="A143" s="9" t="s">
        <v>1037</v>
      </c>
      <c r="B143" s="9" t="s">
        <v>1018</v>
      </c>
      <c r="C143" s="10">
        <v>0</v>
      </c>
      <c r="D143" s="10">
        <v>0</v>
      </c>
      <c r="E143" s="9"/>
      <c r="F143" s="9"/>
      <c r="G143" s="9"/>
      <c r="H143" s="9"/>
      <c r="I143" s="9">
        <v>0</v>
      </c>
      <c r="J143" s="9"/>
      <c r="K143" s="9"/>
      <c r="L143" s="9"/>
      <c r="M143" s="9"/>
      <c r="N143" s="9"/>
      <c r="S143" s="84" t="s">
        <v>1038</v>
      </c>
      <c r="T143" s="84" t="s">
        <v>735</v>
      </c>
      <c r="U143" s="84">
        <v>750</v>
      </c>
      <c r="V143" s="84" t="s">
        <v>93</v>
      </c>
    </row>
    <row r="144" spans="1:22" x14ac:dyDescent="0.35">
      <c r="A144" s="9" t="s">
        <v>1039</v>
      </c>
      <c r="B144" s="9" t="s">
        <v>1018</v>
      </c>
      <c r="C144" s="10">
        <v>0</v>
      </c>
      <c r="D144" s="10">
        <v>0</v>
      </c>
      <c r="E144" s="9"/>
      <c r="F144" s="9"/>
      <c r="G144" s="9"/>
      <c r="H144" s="9"/>
      <c r="I144" s="9">
        <v>0</v>
      </c>
      <c r="J144" s="9"/>
      <c r="K144" s="9"/>
      <c r="L144" s="9"/>
      <c r="M144" s="9"/>
      <c r="N144" s="9"/>
      <c r="S144" s="84" t="s">
        <v>401</v>
      </c>
      <c r="T144" s="84" t="s">
        <v>724</v>
      </c>
      <c r="U144" s="84">
        <v>500</v>
      </c>
      <c r="V144" s="84" t="s">
        <v>24</v>
      </c>
    </row>
    <row r="145" spans="11:22" x14ac:dyDescent="0.35">
      <c r="S145" s="84" t="s">
        <v>1040</v>
      </c>
      <c r="T145" s="84" t="s">
        <v>726</v>
      </c>
      <c r="U145" s="84">
        <v>0</v>
      </c>
      <c r="V145" s="84"/>
    </row>
    <row r="146" spans="11:22" x14ac:dyDescent="0.35">
      <c r="K146" s="29">
        <f>SUM(K9:K117)</f>
        <v>93175</v>
      </c>
      <c r="S146" s="18" t="s">
        <v>1041</v>
      </c>
      <c r="T146" s="18" t="s">
        <v>726</v>
      </c>
      <c r="U146" s="18">
        <v>0</v>
      </c>
      <c r="V146" s="18"/>
    </row>
    <row r="147" spans="11:22" x14ac:dyDescent="0.35">
      <c r="S147" s="84" t="s">
        <v>857</v>
      </c>
      <c r="T147" s="84" t="s">
        <v>724</v>
      </c>
      <c r="U147" s="84">
        <v>500</v>
      </c>
      <c r="V147" s="84" t="s">
        <v>76</v>
      </c>
    </row>
    <row r="148" spans="11:22" x14ac:dyDescent="0.35">
      <c r="S148" s="121" t="s">
        <v>572</v>
      </c>
      <c r="T148" s="121" t="s">
        <v>735</v>
      </c>
      <c r="U148" s="121">
        <v>750</v>
      </c>
      <c r="V148" s="121" t="s">
        <v>93</v>
      </c>
    </row>
    <row r="149" spans="11:22" x14ac:dyDescent="0.35">
      <c r="S149" s="84" t="s">
        <v>822</v>
      </c>
      <c r="T149" s="84" t="s">
        <v>735</v>
      </c>
      <c r="U149" s="84">
        <v>750</v>
      </c>
      <c r="V149" s="84" t="s">
        <v>93</v>
      </c>
    </row>
    <row r="150" spans="11:22" x14ac:dyDescent="0.35">
      <c r="S150" s="121" t="s">
        <v>1042</v>
      </c>
      <c r="T150" s="121" t="s">
        <v>724</v>
      </c>
      <c r="U150" s="121">
        <v>500</v>
      </c>
      <c r="V150" s="121" t="s">
        <v>93</v>
      </c>
    </row>
    <row r="151" spans="11:22" x14ac:dyDescent="0.35">
      <c r="S151" s="18" t="s">
        <v>424</v>
      </c>
      <c r="T151" s="18" t="s">
        <v>735</v>
      </c>
      <c r="U151" s="18">
        <v>750</v>
      </c>
      <c r="V151" s="18" t="s">
        <v>90</v>
      </c>
    </row>
    <row r="152" spans="11:22" x14ac:dyDescent="0.35">
      <c r="S152" s="84" t="s">
        <v>584</v>
      </c>
      <c r="T152" s="84" t="s">
        <v>724</v>
      </c>
      <c r="U152" s="84">
        <v>0</v>
      </c>
      <c r="V152" s="84"/>
    </row>
    <row r="153" spans="11:22" x14ac:dyDescent="0.35">
      <c r="S153" s="84" t="s">
        <v>1043</v>
      </c>
      <c r="T153" s="84" t="s">
        <v>726</v>
      </c>
      <c r="U153" s="84">
        <v>0</v>
      </c>
      <c r="V153" s="84"/>
    </row>
    <row r="154" spans="11:22" x14ac:dyDescent="0.35">
      <c r="S154" s="18" t="s">
        <v>1044</v>
      </c>
      <c r="T154" s="18" t="s">
        <v>724</v>
      </c>
      <c r="U154" s="18">
        <v>570</v>
      </c>
      <c r="V154" s="18" t="s">
        <v>76</v>
      </c>
    </row>
    <row r="155" spans="11:22" x14ac:dyDescent="0.35">
      <c r="S155" s="18" t="s">
        <v>1045</v>
      </c>
      <c r="T155" s="18" t="s">
        <v>724</v>
      </c>
      <c r="U155" s="18">
        <v>500</v>
      </c>
      <c r="V155" s="18" t="s">
        <v>68</v>
      </c>
    </row>
    <row r="156" spans="11:22" x14ac:dyDescent="0.35">
      <c r="S156" s="121" t="s">
        <v>1046</v>
      </c>
      <c r="T156" s="121" t="s">
        <v>724</v>
      </c>
      <c r="U156" s="121">
        <v>500</v>
      </c>
      <c r="V156" s="121" t="s">
        <v>56</v>
      </c>
    </row>
    <row r="157" spans="11:22" x14ac:dyDescent="0.35">
      <c r="S157" s="121" t="s">
        <v>1046</v>
      </c>
      <c r="T157" s="121" t="s">
        <v>726</v>
      </c>
      <c r="U157" s="121">
        <v>0</v>
      </c>
      <c r="V157" s="121"/>
    </row>
    <row r="158" spans="11:22" x14ac:dyDescent="0.35">
      <c r="S158" s="84" t="s">
        <v>552</v>
      </c>
      <c r="T158" s="84" t="s">
        <v>724</v>
      </c>
      <c r="U158" s="84">
        <v>530</v>
      </c>
      <c r="V158" s="84" t="s">
        <v>92</v>
      </c>
    </row>
    <row r="159" spans="11:22" x14ac:dyDescent="0.35">
      <c r="S159" s="18" t="s">
        <v>1047</v>
      </c>
      <c r="T159" s="18" t="s">
        <v>726</v>
      </c>
      <c r="U159" s="18">
        <v>0</v>
      </c>
      <c r="V159" s="18"/>
    </row>
    <row r="160" spans="11:22" x14ac:dyDescent="0.35">
      <c r="S160" s="18" t="s">
        <v>1048</v>
      </c>
      <c r="T160" s="18" t="s">
        <v>724</v>
      </c>
      <c r="U160" s="18">
        <v>500</v>
      </c>
      <c r="V160" s="18" t="s">
        <v>76</v>
      </c>
    </row>
    <row r="161" spans="19:22" x14ac:dyDescent="0.35">
      <c r="S161" s="15"/>
      <c r="T161" s="15"/>
      <c r="U161" s="15"/>
      <c r="V161" s="15"/>
    </row>
    <row r="162" spans="19:22" x14ac:dyDescent="0.35">
      <c r="S162" s="15"/>
      <c r="T162" s="15"/>
      <c r="U162" s="15"/>
      <c r="V162" s="15"/>
    </row>
    <row r="163" spans="19:22" x14ac:dyDescent="0.35">
      <c r="S163" s="15"/>
      <c r="T163" s="15"/>
      <c r="U163" s="15"/>
      <c r="V163" s="15"/>
    </row>
    <row r="164" spans="19:22" x14ac:dyDescent="0.35">
      <c r="S164" s="15"/>
      <c r="T164" s="15"/>
      <c r="U164" s="15"/>
      <c r="V164" s="15"/>
    </row>
    <row r="165" spans="19:22" x14ac:dyDescent="0.35">
      <c r="S165" s="15"/>
      <c r="T165" s="15"/>
      <c r="U165" s="15"/>
      <c r="V165" s="15"/>
    </row>
    <row r="166" spans="19:22" x14ac:dyDescent="0.35">
      <c r="S166" s="15"/>
      <c r="T166" s="15"/>
      <c r="U166" s="15"/>
      <c r="V166" s="15"/>
    </row>
    <row r="167" spans="19:22" x14ac:dyDescent="0.35">
      <c r="S167" s="15"/>
      <c r="T167" s="15"/>
      <c r="U167" s="15"/>
      <c r="V167" s="15"/>
    </row>
    <row r="168" spans="19:22" x14ac:dyDescent="0.35">
      <c r="S168" s="15"/>
      <c r="T168" s="15"/>
      <c r="U168" s="15"/>
      <c r="V168" s="15"/>
    </row>
    <row r="169" spans="19:22" x14ac:dyDescent="0.35">
      <c r="S169" s="15"/>
      <c r="T169" s="15"/>
      <c r="U169" s="15"/>
      <c r="V169" s="15"/>
    </row>
    <row r="170" spans="19:22" x14ac:dyDescent="0.35">
      <c r="S170" s="15"/>
      <c r="T170" s="15"/>
      <c r="U170" s="15"/>
      <c r="V170" s="15"/>
    </row>
    <row r="171" spans="19:22" x14ac:dyDescent="0.35">
      <c r="S171" s="15"/>
      <c r="T171" s="15"/>
      <c r="U171" s="15"/>
      <c r="V171" s="15"/>
    </row>
    <row r="172" spans="19:22" x14ac:dyDescent="0.35">
      <c r="S172" s="15"/>
      <c r="T172" s="15"/>
      <c r="U172" s="15"/>
      <c r="V172" s="15"/>
    </row>
    <row r="173" spans="19:22" x14ac:dyDescent="0.35">
      <c r="S173" s="15"/>
      <c r="T173" s="15"/>
      <c r="U173" s="15"/>
      <c r="V173" s="15"/>
    </row>
    <row r="174" spans="19:22" x14ac:dyDescent="0.35">
      <c r="S174" s="15"/>
      <c r="T174" s="15"/>
      <c r="U174" s="15"/>
      <c r="V174" s="15"/>
    </row>
    <row r="175" spans="19:22" x14ac:dyDescent="0.35">
      <c r="S175" s="15"/>
      <c r="T175" s="15"/>
      <c r="U175" s="15"/>
      <c r="V175" s="15"/>
    </row>
    <row r="176" spans="19:22" x14ac:dyDescent="0.35">
      <c r="S176" s="15"/>
      <c r="T176" s="15"/>
      <c r="U176" s="15"/>
      <c r="V176" s="15"/>
    </row>
    <row r="177" spans="19:22" x14ac:dyDescent="0.35">
      <c r="S177" s="15"/>
      <c r="T177" s="15"/>
      <c r="U177" s="15"/>
      <c r="V177" s="15"/>
    </row>
    <row r="178" spans="19:22" x14ac:dyDescent="0.35">
      <c r="S178" s="15"/>
      <c r="T178" s="15"/>
      <c r="U178" s="15"/>
      <c r="V178" s="15"/>
    </row>
    <row r="179" spans="19:22" x14ac:dyDescent="0.35">
      <c r="S179" s="15"/>
      <c r="T179" s="15"/>
      <c r="U179" s="15"/>
      <c r="V179" s="15"/>
    </row>
    <row r="180" spans="19:22" x14ac:dyDescent="0.35">
      <c r="S180" s="15"/>
      <c r="T180" s="15"/>
      <c r="U180" s="15"/>
      <c r="V180" s="15"/>
    </row>
    <row r="181" spans="19:22" x14ac:dyDescent="0.35">
      <c r="S181" s="15"/>
      <c r="T181" s="15"/>
      <c r="U181" s="15"/>
      <c r="V181" s="15"/>
    </row>
    <row r="182" spans="19:22" x14ac:dyDescent="0.35">
      <c r="S182" s="15"/>
      <c r="T182" s="15"/>
      <c r="U182" s="15"/>
      <c r="V182" s="15"/>
    </row>
    <row r="183" spans="19:22" x14ac:dyDescent="0.35">
      <c r="S183" s="15"/>
      <c r="T183" s="15"/>
      <c r="U183" s="15"/>
      <c r="V183" s="15"/>
    </row>
    <row r="184" spans="19:22" x14ac:dyDescent="0.35">
      <c r="S184" s="15"/>
      <c r="T184" s="15"/>
      <c r="U184" s="15"/>
      <c r="V184" s="15"/>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V184">
    <sortCondition ref="S9:S184"/>
  </sortState>
  <hyperlinks>
    <hyperlink ref="N69" r:id="rId2" display="mailto:amber.wyatt1@smilebrands.com" xr:uid="{9C2B94A7-36AD-40FD-B669-9A7F24508BE3}"/>
    <hyperlink ref="N45" r:id="rId3" display="mailto:allan.gammill@hilton.com" xr:uid="{1915B298-2D68-49BB-BC82-FB96E9F47BCB}"/>
    <hyperlink ref="N46" r:id="rId4" display="mailto:Brandon.pitcock@directauto.com" xr:uid="{82022605-40E1-412C-B583-FD809EB6679C}"/>
    <hyperlink ref="N10" r:id="rId5" xr:uid="{1FA53252-06D2-4A11-A7F5-719C298B0B6C}"/>
    <hyperlink ref="N12" r:id="rId6" display="mailto:spencer.griffith@agfc.ar.gov" xr:uid="{BF7A3C48-75CD-4E1B-B3E2-913D78495470}"/>
    <hyperlink ref="N24" r:id="rId7" display="mailto:Crystal.Floyd@acxiom.com" xr:uid="{0A1824D3-37ED-44D7-BF49-16B9831D2F4F}"/>
    <hyperlink ref="N13" r:id="rId8" xr:uid="{693A660A-0A6D-4008-8745-D0C026233B04}"/>
    <hyperlink ref="N72" r:id="rId9" display="mailto:jfaulkner@cbc.edu" xr:uid="{72E6A846-4F95-49E1-8226-1E5C5A5B67E0}"/>
    <hyperlink ref="N75" r:id="rId10" display="mailto:mcahillwicks@arvest.com" xr:uid="{1E26E238-46FF-4AC5-90DD-59D7566AC4B9}"/>
    <hyperlink ref="N27" r:id="rId11" display="mailto:karenferguson501@gmail.com" xr:uid="{A1527B7C-C85E-4613-AE6E-F07E641BEB1C}"/>
    <hyperlink ref="N47" r:id="rId12" display="mailto:AThreats@leaffilter.com" xr:uid="{4D567A41-E557-4241-8917-707302E59BB7}"/>
    <hyperlink ref="N76" r:id="rId13" display="mailto:ali@dyermark.com" xr:uid="{EAFCC039-F799-4A3B-ABF0-02260D8F7AD9}"/>
    <hyperlink ref="N49" r:id="rId14" display="mailto:westhepestdetective@gmail.com" xr:uid="{B18378FA-7F43-407A-B400-D82E04F56776}"/>
    <hyperlink ref="N40" r:id="rId15" display="mailto:DLTackett@GarverUSA.com" xr:uid="{50E16F85-49E0-41FE-B963-D16E15938128}"/>
    <hyperlink ref="N78" r:id="rId16" display="mailto:Superiorhainc@gmail.com" xr:uid="{FDBFAC73-913A-47DE-9608-AEFB455F3547}"/>
    <hyperlink ref="N11" r:id="rId17" xr:uid="{98D29816-39D9-4C62-A555-D028412DAEBF}"/>
    <hyperlink ref="N80" r:id="rId18" display="mailto:ebarnes@chambers.bank" xr:uid="{899FD5E7-EF6D-4006-87B0-D2AEA1006875}"/>
    <hyperlink ref="N14" r:id="rId19" display="mailto:jakob@davecreekmedia.com" xr:uid="{D144A6C3-B0AC-49D0-8DF8-BA2597CE9049}"/>
    <hyperlink ref="N48" r:id="rId20" display="mailto:idismuke@wacotitle.com" xr:uid="{00441BDA-D3CE-4D49-989E-245D4DF32F2D}"/>
    <hyperlink ref="N81" r:id="rId21" display="mailto:jay.bernard.l8if@statefarm.com" xr:uid="{8BF4D514-5EE5-4E0B-BFED-DAE9AD8A9B5D}"/>
    <hyperlink ref="N119" r:id="rId22" display="mailto:jake.turpin@claytonhomes.com" xr:uid="{22B95099-F4AF-4F20-B16E-8AAA08C5AF68}"/>
    <hyperlink ref="N52" r:id="rId23" display="mailto:Lori.Melton@firstcommunity.net" xr:uid="{A16C0585-CA4D-4B7C-919F-617C031196CF}"/>
    <hyperlink ref="N54" r:id="rId24" display="mailto:ahorton@uca.edu" xr:uid="{2C381955-22DB-40A4-A7E7-C4A8E81F7AB9}"/>
    <hyperlink ref="N55" r:id="rId25" display="mailto:a0b0q84.s04749.us@samsclub.com" xr:uid="{CD63DF01-7BE6-4637-801D-2EA33EC27CAE}"/>
    <hyperlink ref="N56" r:id="rId26" display="mailto:bcardin@prolandtitle.com" xr:uid="{A241E5F4-39B5-4E96-89D7-CE543F875362}"/>
    <hyperlink ref="N38" r:id="rId27" display="mailto:robbin@harvestcannabisarkansas.com" xr:uid="{D0F9FD78-FF27-4DCF-AA40-E831912F42ED}"/>
    <hyperlink ref="N57" r:id="rId28" display="mailto:kiana.waits@jan-pro.com" xr:uid="{2E890EBF-8FBB-4602-8AF3-CCC1392FF701}"/>
    <hyperlink ref="N123" r:id="rId29" display="mailto:crosscreekcaitlin@gmail.com" xr:uid="{174A8EA0-89BF-49A5-BE54-4E2A058391FF}"/>
    <hyperlink ref="N58" r:id="rId30" display="mailto:David@littlerockconwaysign.com" xr:uid="{8E4E65E1-B5FE-47F9-B496-2C2428E2E632}"/>
    <hyperlink ref="N59" r:id="rId31" display="mailto:parker@jowenslawfirm.com" xr:uid="{8C8802D9-2F61-4FA9-9498-ED7F10CD8E2D}"/>
    <hyperlink ref="N60" r:id="rId32" display="mailto:tony@shadrachscoffee.com" xr:uid="{E9275FB1-6A67-4186-9114-E551D7F18301}"/>
    <hyperlink ref="N86" r:id="rId33" display="mailto:Samantha.newman@exprealty.net" xr:uid="{E86E1E1B-BD31-4C3E-BC7F-3408AB6B0440}"/>
    <hyperlink ref="N87" r:id="rId34" display="mailto:jacob@elevatecreative.co" xr:uid="{BC399819-2FE3-48BF-B856-55E1244011F2}"/>
    <hyperlink ref="N21" r:id="rId35" display="mailto:Teresa.wilson@arisahealth.org" xr:uid="{480D63AF-F861-4278-96E0-FAECEAB777B1}"/>
    <hyperlink ref="N88" r:id="rId36" display="mailto:chensley@alleviant.com" xr:uid="{90951676-018B-4914-B5FD-2845EF8F081D}"/>
    <hyperlink ref="N89" r:id="rId37" display="mailto:Brandon@ciseandys.com" xr:uid="{04EF370B-D64E-43A7-BFC3-1F83DC534A0A}"/>
    <hyperlink ref="N124" r:id="rId38" display="mailto:Brandon@ciseandys.com" xr:uid="{54362CF6-4F53-4767-B79E-7D2D90DCA62E}"/>
    <hyperlink ref="N19" r:id="rId39" xr:uid="{BDD3C7D1-EF6D-4CC0-A88E-225F8EB58E8A}"/>
    <hyperlink ref="N30" r:id="rId40" xr:uid="{AAE05D4F-8636-48F1-A634-3D999E17F55B}"/>
    <hyperlink ref="N31" r:id="rId41" display="mailto:sotees@hotmail.com" xr:uid="{35D06358-041C-4CFC-8176-1A64518FEB34}"/>
    <hyperlink ref="N90" r:id="rId42" display="mailto:shelbyhambuchen@icloud.com" xr:uid="{34BBC25B-A875-4A6B-91C6-821662094B0B}"/>
    <hyperlink ref="N92" r:id="rId43" display="mailto:Tevin.cherry@grifols.com" xr:uid="{48DEF992-6EBC-4EDB-8880-B521029EE4EC}"/>
    <hyperlink ref="N94" r:id="rId44" display="mailto:conway@smithfamilycares.com" xr:uid="{6121AE4A-AC55-49FE-A9A0-B94F2E9FCAE1}"/>
    <hyperlink ref="N95" r:id="rId45" display="mailto:June.wood@sos.arkansas.gov" xr:uid="{3CB13206-2B54-4833-912F-68C0C5C9CE7B}"/>
    <hyperlink ref="N62" r:id="rId46" display="mailto:bphipps@homewellcares.com" xr:uid="{60170A97-8A3E-4011-89CC-CB045771A4C5}"/>
    <hyperlink ref="N96" r:id="rId47" display="mailto:David@ahhtownley.com" xr:uid="{AB82CBAE-FA5B-4B1E-B3F6-BCFBCF6E3143}"/>
    <hyperlink ref="N115" r:id="rId48" display="mailto:aidan@mrhayniehvac.com" xr:uid="{5A4FDDB3-AE36-48F6-B637-BBC46FE86239}"/>
    <hyperlink ref="N97" r:id="rId49" display="mailto:jarret.varela@rollingsuds.com" xr:uid="{BE4CBA92-A060-4E7A-84D0-4FAE1185BAB0}"/>
    <hyperlink ref="N61" r:id="rId50" display="mailto:scott@excap.com" xr:uid="{CEF5FEDB-DA0B-4D6C-8B45-75EF45626156}"/>
    <hyperlink ref="N33" r:id="rId51" xr:uid="{160584F0-6DF6-4D08-A12B-3D9E4A45A234}"/>
    <hyperlink ref="N98" r:id="rId52" xr:uid="{516110D0-196F-403A-B291-63E33B699F32}"/>
    <hyperlink ref="N99" r:id="rId53" display="mailto:lisaweaver@bmrhc.net" xr:uid="{42445866-77ED-40F5-94FD-4D0E734F13B9}"/>
    <hyperlink ref="N101" r:id="rId54" display="mailto:ed@edallencpa.com" xr:uid="{E09ED32E-5E07-44D9-935E-9D045017370A}"/>
    <hyperlink ref="N64" r:id="rId55" display="mailto:lance.wilson@tempwallsystems.com" xr:uid="{E116C983-5A61-48FA-A130-AA72E466F12C}"/>
    <hyperlink ref="N103" r:id="rId56" display="mailto:robert@pirainosecurity.com" xr:uid="{BD3462A1-F300-4E69-97D4-670D88BFC58A}"/>
    <hyperlink ref="N102" r:id="rId57" display="mailto:melissa.britton@conwayhospitality.com" xr:uid="{C5B47F7C-0200-4585-B5A1-4D9227CEAC8A}"/>
    <hyperlink ref="N68" r:id="rId58" display="mailto:lstarr@mosestucker.com" xr:uid="{7F6A68C5-ADE0-4D2F-847D-92BCE7E68A02}"/>
    <hyperlink ref="N100" r:id="rId59" display="mailto:zack@windowdepotar.com" xr:uid="{DA07F10E-4AE1-4A2F-AC18-12BB474CCB9E}"/>
    <hyperlink ref="N108" r:id="rId60" display="mailto:Allyn@CuerdenSign.com" xr:uid="{3F7E06A5-5DBB-4F47-A475-4B28876C736B}"/>
    <hyperlink ref="N109" r:id="rId61" xr:uid="{4A9E2750-597F-4DE5-9E89-B76959D8CEA7}"/>
    <hyperlink ref="N111" r:id="rId62" display="mailto:actionjacksarkansas@gmail.com" xr:uid="{52560EED-53AA-4770-A265-E17C86044207}"/>
    <hyperlink ref="N15" r:id="rId63" display="mailto:CarrollJo.Malloy@CARTI.com" xr:uid="{2026182D-9C4D-415E-963B-A201D02C4512}"/>
    <hyperlink ref="N34" r:id="rId64" display="mailto:pete@rockpondpros.com" xr:uid="{10A1231D-FDA3-4692-B88E-23C1F3A7EB62}"/>
    <hyperlink ref="N32" r:id="rId65" display="mailto:Traci.Byrd@orthoarkansas.com" xr:uid="{E08AC338-89AE-4EE8-9DB9-13132DF29B3C}"/>
    <hyperlink ref="N114" r:id="rId66" xr:uid="{3DD77B1B-1C8A-42F2-A71F-2CCAC36BA0C7}"/>
    <hyperlink ref="N20" r:id="rId67" display="mailto:TGIFboss@gmail.com" xr:uid="{2771427D-8C06-4BEB-A854-F1345CD7208E}"/>
  </hyperlinks>
  <pageMargins left="0.7" right="0.7" top="0.75" bottom="0.75" header="0.3" footer="0.3"/>
  <legacyDrawing r:id="rId6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BAEC7-DD98-4EA5-88DC-CD60836747D2}">
  <dimension ref="A1:V324"/>
  <sheetViews>
    <sheetView workbookViewId="0">
      <pane ySplit="8" topLeftCell="A9" activePane="bottomLeft" state="frozen"/>
      <selection pane="bottomLeft" activeCell="K25" sqref="K25"/>
    </sheetView>
  </sheetViews>
  <sheetFormatPr defaultColWidth="93.81640625" defaultRowHeight="14.5" x14ac:dyDescent="0.35"/>
  <cols>
    <col min="1" max="1" width="31.7265625" style="5" customWidth="1"/>
    <col min="2" max="2" width="15.54296875" style="5" bestFit="1" customWidth="1"/>
    <col min="3" max="3" width="9.1796875" style="5" bestFit="1" customWidth="1"/>
    <col min="4" max="4" width="15.81640625" style="5" bestFit="1" customWidth="1"/>
    <col min="5" max="5" width="8.7265625" style="5" bestFit="1" customWidth="1"/>
    <col min="6" max="6" width="11.1796875" style="5" bestFit="1" customWidth="1"/>
    <col min="7" max="7" width="30.54296875" style="5" bestFit="1" customWidth="1"/>
    <col min="8" max="8" width="16.26953125" style="5" bestFit="1" customWidth="1"/>
    <col min="9" max="9" width="10.1796875" style="5" bestFit="1" customWidth="1"/>
    <col min="10" max="10" width="10.26953125" style="5" bestFit="1" customWidth="1"/>
    <col min="11" max="11" width="14.453125" style="5" bestFit="1" customWidth="1"/>
    <col min="12" max="12" width="24.81640625" style="5" customWidth="1"/>
    <col min="13" max="13" width="7.54296875" style="5" bestFit="1" customWidth="1"/>
    <col min="14" max="14" width="39.7265625" style="5" bestFit="1" customWidth="1"/>
    <col min="15" max="15" width="9.1796875" style="5" customWidth="1"/>
    <col min="16" max="16" width="11" style="5" bestFit="1" customWidth="1"/>
    <col min="17" max="17" width="10.1796875" style="5" bestFit="1" customWidth="1"/>
    <col min="18" max="18" width="9.1796875" style="5" customWidth="1"/>
    <col min="19" max="19" width="37.7265625" style="5" bestFit="1" customWidth="1"/>
    <col min="20" max="20" width="15.54296875" style="5" bestFit="1" customWidth="1"/>
    <col min="21" max="21" width="15.81640625" style="5" bestFit="1" customWidth="1"/>
    <col min="22" max="22" width="8.7265625" style="5" bestFit="1" customWidth="1"/>
    <col min="23" max="25" width="9.1796875" style="5" customWidth="1"/>
    <col min="26" max="16384" width="93.81640625" style="5"/>
  </cols>
  <sheetData>
    <row r="1" spans="1:22" x14ac:dyDescent="0.35">
      <c r="A1" s="4" t="s">
        <v>1049</v>
      </c>
      <c r="B1" s="4">
        <v>2025</v>
      </c>
      <c r="S1" s="4" t="s">
        <v>1049</v>
      </c>
      <c r="T1" s="4">
        <v>2024</v>
      </c>
    </row>
    <row r="2" spans="1:22" x14ac:dyDescent="0.35">
      <c r="A2" s="6" t="s">
        <v>1</v>
      </c>
      <c r="B2" s="7">
        <f>SUM(D9:D71)</f>
        <v>43925</v>
      </c>
      <c r="K2" s="11" t="s">
        <v>2</v>
      </c>
      <c r="S2" s="6" t="s">
        <v>1</v>
      </c>
      <c r="T2" s="7">
        <f>SUM(U9:U54)</f>
        <v>39573</v>
      </c>
    </row>
    <row r="3" spans="1:22" x14ac:dyDescent="0.35">
      <c r="A3" s="6" t="s">
        <v>3</v>
      </c>
      <c r="B3" s="7">
        <v>25000</v>
      </c>
      <c r="K3" s="7">
        <f>MIN(K72-B2)</f>
        <v>-775</v>
      </c>
      <c r="S3" s="6" t="s">
        <v>3</v>
      </c>
      <c r="T3" s="7">
        <v>20000</v>
      </c>
    </row>
    <row r="4" spans="1:22" x14ac:dyDescent="0.35">
      <c r="A4" s="6" t="s">
        <v>4</v>
      </c>
      <c r="B4" s="7">
        <f>MIN(B2-B3)</f>
        <v>18925</v>
      </c>
      <c r="K4" s="42">
        <f>K72/B2</f>
        <v>0.98235628912919748</v>
      </c>
      <c r="S4" s="6" t="s">
        <v>4</v>
      </c>
      <c r="T4" s="7">
        <f>MIN(T2-T3)</f>
        <v>19573</v>
      </c>
    </row>
    <row r="5" spans="1:22" x14ac:dyDescent="0.35">
      <c r="A5" s="6" t="s">
        <v>5</v>
      </c>
      <c r="B5" s="7">
        <v>45000</v>
      </c>
      <c r="S5" s="6" t="s">
        <v>5</v>
      </c>
      <c r="T5" s="7">
        <v>42000</v>
      </c>
    </row>
    <row r="6" spans="1:22" x14ac:dyDescent="0.35">
      <c r="A6" s="6" t="s">
        <v>4</v>
      </c>
      <c r="B6" s="7">
        <f>MIN(B2-B5)</f>
        <v>-1075</v>
      </c>
      <c r="S6" s="6" t="s">
        <v>4</v>
      </c>
      <c r="T6" s="7">
        <f>MIN(T2-T5)</f>
        <v>-2427</v>
      </c>
    </row>
    <row r="8" spans="1:22"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c r="S8" s="8" t="s">
        <v>6</v>
      </c>
      <c r="T8" s="8" t="s">
        <v>21</v>
      </c>
      <c r="U8" s="8" t="s">
        <v>9</v>
      </c>
      <c r="V8" s="8" t="s">
        <v>10</v>
      </c>
    </row>
    <row r="9" spans="1:22" ht="29" x14ac:dyDescent="0.35">
      <c r="A9" s="9" t="s">
        <v>114</v>
      </c>
      <c r="B9" s="9" t="s">
        <v>23</v>
      </c>
      <c r="C9" s="10">
        <v>7500</v>
      </c>
      <c r="D9" s="10">
        <v>7500</v>
      </c>
      <c r="E9" s="9" t="s">
        <v>95</v>
      </c>
      <c r="F9" s="9" t="s">
        <v>88</v>
      </c>
      <c r="G9" s="9" t="s">
        <v>1050</v>
      </c>
      <c r="H9" s="9"/>
      <c r="I9" s="9"/>
      <c r="J9" s="9" t="s">
        <v>1051</v>
      </c>
      <c r="K9" s="10">
        <v>7500</v>
      </c>
      <c r="L9" s="9" t="s">
        <v>1052</v>
      </c>
      <c r="M9" s="9"/>
      <c r="N9" s="9" t="s">
        <v>1053</v>
      </c>
      <c r="P9" s="39" t="s">
        <v>24</v>
      </c>
      <c r="Q9" s="106">
        <v>13500</v>
      </c>
      <c r="S9" s="9" t="s">
        <v>479</v>
      </c>
      <c r="T9" s="9" t="s">
        <v>109</v>
      </c>
      <c r="U9" s="10">
        <v>0</v>
      </c>
      <c r="V9" s="9" t="s">
        <v>95</v>
      </c>
    </row>
    <row r="10" spans="1:22" x14ac:dyDescent="0.35">
      <c r="A10" s="9" t="s">
        <v>57</v>
      </c>
      <c r="B10" s="9" t="s">
        <v>32</v>
      </c>
      <c r="C10" s="10">
        <v>5000</v>
      </c>
      <c r="D10" s="10">
        <v>5000</v>
      </c>
      <c r="E10" s="9" t="s">
        <v>24</v>
      </c>
      <c r="F10" s="9" t="s">
        <v>58</v>
      </c>
      <c r="G10" s="9"/>
      <c r="H10" s="94" t="s">
        <v>27</v>
      </c>
      <c r="I10" s="9"/>
      <c r="J10" s="9" t="s">
        <v>59</v>
      </c>
      <c r="K10" s="10">
        <v>5000</v>
      </c>
      <c r="L10" s="9" t="s">
        <v>60</v>
      </c>
      <c r="M10" s="9"/>
      <c r="N10" s="9" t="s">
        <v>61</v>
      </c>
      <c r="P10" s="39" t="s">
        <v>37</v>
      </c>
      <c r="Q10" s="106">
        <v>6000</v>
      </c>
      <c r="S10" s="48" t="s">
        <v>114</v>
      </c>
      <c r="T10" s="48" t="s">
        <v>23</v>
      </c>
      <c r="U10" s="55">
        <v>7500</v>
      </c>
      <c r="V10" s="48" t="s">
        <v>95</v>
      </c>
    </row>
    <row r="11" spans="1:22" x14ac:dyDescent="0.35">
      <c r="A11" s="9" t="s">
        <v>596</v>
      </c>
      <c r="B11" s="9" t="s">
        <v>32</v>
      </c>
      <c r="C11" s="10">
        <v>5000</v>
      </c>
      <c r="D11" s="10">
        <v>4000</v>
      </c>
      <c r="E11" s="9" t="s">
        <v>90</v>
      </c>
      <c r="F11" s="9" t="s">
        <v>597</v>
      </c>
      <c r="G11" s="9"/>
      <c r="H11" s="99"/>
      <c r="I11" s="9"/>
      <c r="J11" s="9" t="s">
        <v>407</v>
      </c>
      <c r="K11" s="10">
        <v>4000</v>
      </c>
      <c r="L11" s="9" t="s">
        <v>599</v>
      </c>
      <c r="M11" s="9"/>
      <c r="N11" s="87" t="s">
        <v>600</v>
      </c>
      <c r="P11" s="39" t="s">
        <v>47</v>
      </c>
      <c r="Q11" s="106"/>
      <c r="S11" s="9" t="s">
        <v>132</v>
      </c>
      <c r="T11" s="9" t="s">
        <v>1054</v>
      </c>
      <c r="U11" s="10">
        <v>105</v>
      </c>
      <c r="V11" s="9"/>
    </row>
    <row r="12" spans="1:22" ht="43.5" x14ac:dyDescent="0.35">
      <c r="A12" s="9" t="s">
        <v>1055</v>
      </c>
      <c r="B12" s="9" t="s">
        <v>32</v>
      </c>
      <c r="C12" s="10">
        <v>5000</v>
      </c>
      <c r="D12" s="10">
        <v>5000</v>
      </c>
      <c r="E12" s="9" t="s">
        <v>37</v>
      </c>
      <c r="F12" s="9" t="s">
        <v>439</v>
      </c>
      <c r="G12" s="9" t="s">
        <v>1056</v>
      </c>
      <c r="H12" s="157" t="s">
        <v>27</v>
      </c>
      <c r="I12" s="9"/>
      <c r="J12" s="27" t="s">
        <v>73</v>
      </c>
      <c r="K12" s="27">
        <v>5000</v>
      </c>
      <c r="L12" s="27" t="s">
        <v>1057</v>
      </c>
      <c r="M12" s="27"/>
      <c r="N12" s="27" t="s">
        <v>1058</v>
      </c>
      <c r="P12" s="39" t="s">
        <v>50</v>
      </c>
      <c r="Q12" s="106"/>
      <c r="S12" s="9" t="s">
        <v>1059</v>
      </c>
      <c r="T12" s="9" t="s">
        <v>1054</v>
      </c>
      <c r="U12" s="10">
        <v>70</v>
      </c>
      <c r="V12" s="9"/>
    </row>
    <row r="13" spans="1:22" x14ac:dyDescent="0.35">
      <c r="A13" s="9"/>
      <c r="B13" s="9" t="s">
        <v>32</v>
      </c>
      <c r="C13" s="10">
        <v>5000</v>
      </c>
      <c r="D13" s="10"/>
      <c r="E13" s="9"/>
      <c r="F13" s="9"/>
      <c r="G13" s="9"/>
      <c r="H13" s="9"/>
      <c r="I13" s="9"/>
      <c r="J13" s="9"/>
      <c r="K13" s="10"/>
      <c r="L13" s="9"/>
      <c r="M13" s="9"/>
      <c r="N13" s="9"/>
      <c r="P13" s="39" t="s">
        <v>56</v>
      </c>
      <c r="Q13" s="106"/>
      <c r="S13" s="48" t="s">
        <v>1060</v>
      </c>
      <c r="T13" s="48" t="s">
        <v>1054</v>
      </c>
      <c r="U13" s="55">
        <v>55</v>
      </c>
      <c r="V13" s="48"/>
    </row>
    <row r="14" spans="1:22" ht="43.5" x14ac:dyDescent="0.35">
      <c r="A14" s="9" t="s">
        <v>363</v>
      </c>
      <c r="B14" s="9" t="s">
        <v>1061</v>
      </c>
      <c r="C14" s="10">
        <v>2500</v>
      </c>
      <c r="D14" s="10">
        <v>2500</v>
      </c>
      <c r="E14" s="9" t="s">
        <v>95</v>
      </c>
      <c r="F14" s="9" t="s">
        <v>161</v>
      </c>
      <c r="G14" s="9"/>
      <c r="H14" s="9"/>
      <c r="I14" s="9"/>
      <c r="J14" s="9" t="s">
        <v>83</v>
      </c>
      <c r="K14" s="10">
        <v>2500</v>
      </c>
      <c r="L14" s="9" t="s">
        <v>399</v>
      </c>
      <c r="M14" s="9"/>
      <c r="N14" s="9" t="s">
        <v>400</v>
      </c>
      <c r="P14" s="39" t="s">
        <v>62</v>
      </c>
      <c r="Q14" s="106"/>
      <c r="S14" s="112" t="s">
        <v>490</v>
      </c>
      <c r="T14" s="112" t="s">
        <v>1054</v>
      </c>
      <c r="U14" s="113">
        <v>175</v>
      </c>
      <c r="V14" s="112" t="s">
        <v>93</v>
      </c>
    </row>
    <row r="15" spans="1:22" x14ac:dyDescent="0.35">
      <c r="A15" s="9" t="s">
        <v>485</v>
      </c>
      <c r="B15" s="9" t="s">
        <v>1062</v>
      </c>
      <c r="C15" s="10">
        <v>1500</v>
      </c>
      <c r="D15" s="10">
        <v>1000</v>
      </c>
      <c r="E15" s="9" t="s">
        <v>92</v>
      </c>
      <c r="F15" s="9" t="s">
        <v>215</v>
      </c>
      <c r="G15" s="9"/>
      <c r="H15" s="9"/>
      <c r="I15" s="9"/>
      <c r="J15" s="9" t="s">
        <v>121</v>
      </c>
      <c r="K15" s="10">
        <v>1000</v>
      </c>
      <c r="L15" s="9" t="s">
        <v>488</v>
      </c>
      <c r="M15" s="9"/>
      <c r="N15" s="87" t="s">
        <v>489</v>
      </c>
      <c r="P15" s="39" t="s">
        <v>68</v>
      </c>
      <c r="Q15" s="106">
        <v>610</v>
      </c>
      <c r="S15" s="48" t="s">
        <v>596</v>
      </c>
      <c r="T15" s="48" t="s">
        <v>32</v>
      </c>
      <c r="U15" s="55">
        <v>0</v>
      </c>
      <c r="V15" s="48" t="s">
        <v>86</v>
      </c>
    </row>
    <row r="16" spans="1:22" x14ac:dyDescent="0.35">
      <c r="A16" s="9" t="s">
        <v>48</v>
      </c>
      <c r="B16" s="9" t="s">
        <v>39</v>
      </c>
      <c r="C16" s="10">
        <v>2500</v>
      </c>
      <c r="D16" s="10">
        <v>2500</v>
      </c>
      <c r="E16" s="9" t="s">
        <v>24</v>
      </c>
      <c r="F16" s="9" t="s">
        <v>64</v>
      </c>
      <c r="G16" s="9"/>
      <c r="H16" s="9"/>
      <c r="I16" s="9"/>
      <c r="J16" s="9" t="s">
        <v>65</v>
      </c>
      <c r="K16" s="10">
        <v>2500</v>
      </c>
      <c r="L16" s="9" t="s">
        <v>66</v>
      </c>
      <c r="M16" s="9"/>
      <c r="N16" s="9" t="s">
        <v>67</v>
      </c>
      <c r="P16" s="39" t="s">
        <v>76</v>
      </c>
      <c r="Q16" s="106">
        <v>260</v>
      </c>
      <c r="S16" s="48" t="s">
        <v>596</v>
      </c>
      <c r="T16" s="48" t="s">
        <v>1054</v>
      </c>
      <c r="U16" s="55">
        <v>70</v>
      </c>
      <c r="V16" s="48"/>
    </row>
    <row r="17" spans="1:22" x14ac:dyDescent="0.35">
      <c r="A17" s="9" t="s">
        <v>40</v>
      </c>
      <c r="B17" s="9" t="s">
        <v>39</v>
      </c>
      <c r="C17" s="10">
        <v>2500</v>
      </c>
      <c r="D17" s="10">
        <v>2500</v>
      </c>
      <c r="E17" s="9" t="s">
        <v>24</v>
      </c>
      <c r="F17" s="9" t="s">
        <v>42</v>
      </c>
      <c r="G17" s="9" t="s">
        <v>1063</v>
      </c>
      <c r="H17" s="94" t="s">
        <v>27</v>
      </c>
      <c r="I17" s="9"/>
      <c r="J17" s="9" t="s">
        <v>44</v>
      </c>
      <c r="K17" s="10">
        <v>2500</v>
      </c>
      <c r="L17" s="9" t="s">
        <v>45</v>
      </c>
      <c r="M17" s="9"/>
      <c r="N17" s="9" t="s">
        <v>46</v>
      </c>
      <c r="P17" s="39" t="s">
        <v>81</v>
      </c>
      <c r="Q17" s="106"/>
      <c r="S17" s="48" t="s">
        <v>1064</v>
      </c>
      <c r="T17" s="48" t="s">
        <v>39</v>
      </c>
      <c r="U17" s="55">
        <v>2500</v>
      </c>
      <c r="V17" s="48" t="s">
        <v>37</v>
      </c>
    </row>
    <row r="18" spans="1:22" x14ac:dyDescent="0.35">
      <c r="A18" s="9" t="s">
        <v>457</v>
      </c>
      <c r="B18" s="9" t="s">
        <v>39</v>
      </c>
      <c r="C18" s="10">
        <v>2500</v>
      </c>
      <c r="D18" s="10">
        <v>2500</v>
      </c>
      <c r="E18" s="9" t="s">
        <v>24</v>
      </c>
      <c r="F18" s="9" t="s">
        <v>25</v>
      </c>
      <c r="G18" s="9" t="s">
        <v>1065</v>
      </c>
      <c r="H18" s="94" t="s">
        <v>27</v>
      </c>
      <c r="I18" s="9"/>
      <c r="J18" s="9" t="s">
        <v>768</v>
      </c>
      <c r="K18" s="10">
        <v>2500</v>
      </c>
      <c r="L18" s="9" t="s">
        <v>459</v>
      </c>
      <c r="M18" s="9"/>
      <c r="N18" s="9" t="s">
        <v>460</v>
      </c>
      <c r="P18" s="39" t="s">
        <v>86</v>
      </c>
      <c r="Q18" s="106"/>
      <c r="S18" s="48" t="s">
        <v>175</v>
      </c>
      <c r="T18" s="48" t="s">
        <v>109</v>
      </c>
      <c r="U18" s="55">
        <v>1350</v>
      </c>
      <c r="V18" s="48" t="s">
        <v>95</v>
      </c>
    </row>
    <row r="19" spans="1:22" x14ac:dyDescent="0.35">
      <c r="A19" s="9"/>
      <c r="B19" s="9" t="s">
        <v>39</v>
      </c>
      <c r="C19" s="10">
        <v>2500</v>
      </c>
      <c r="D19" s="10"/>
      <c r="E19" s="9"/>
      <c r="F19" s="9"/>
      <c r="G19" s="9"/>
      <c r="H19" s="9"/>
      <c r="I19" s="9"/>
      <c r="J19" s="9"/>
      <c r="K19" s="10"/>
      <c r="L19" s="9"/>
      <c r="M19" s="9"/>
      <c r="N19" s="9"/>
      <c r="P19" s="39" t="s">
        <v>90</v>
      </c>
      <c r="Q19" s="106">
        <v>4000</v>
      </c>
      <c r="S19" s="9" t="s">
        <v>181</v>
      </c>
      <c r="T19" s="9" t="s">
        <v>1054</v>
      </c>
      <c r="U19" s="10">
        <v>0</v>
      </c>
      <c r="V19" s="9"/>
    </row>
    <row r="20" spans="1:22" x14ac:dyDescent="0.35">
      <c r="A20" s="9"/>
      <c r="B20" s="9" t="s">
        <v>39</v>
      </c>
      <c r="C20" s="10">
        <v>2500</v>
      </c>
      <c r="D20" s="10"/>
      <c r="E20" s="9"/>
      <c r="F20" s="9"/>
      <c r="G20" s="9"/>
      <c r="H20" s="9"/>
      <c r="I20" s="9"/>
      <c r="J20" s="9"/>
      <c r="K20" s="10"/>
      <c r="L20" s="9"/>
      <c r="M20" s="9"/>
      <c r="N20" s="9"/>
      <c r="P20" s="39" t="s">
        <v>91</v>
      </c>
      <c r="Q20" s="106"/>
      <c r="S20" s="9" t="s">
        <v>1066</v>
      </c>
      <c r="T20" s="9" t="s">
        <v>1054</v>
      </c>
      <c r="U20" s="10">
        <v>105</v>
      </c>
      <c r="V20" s="9" t="s">
        <v>93</v>
      </c>
    </row>
    <row r="21" spans="1:22" x14ac:dyDescent="0.35">
      <c r="A21" s="9"/>
      <c r="B21" s="9" t="s">
        <v>39</v>
      </c>
      <c r="C21" s="10">
        <v>2500</v>
      </c>
      <c r="D21" s="10"/>
      <c r="E21" s="9"/>
      <c r="F21" s="9"/>
      <c r="G21" s="9"/>
      <c r="H21" s="9"/>
      <c r="I21" s="9"/>
      <c r="J21" s="9"/>
      <c r="K21" s="10"/>
      <c r="L21" s="9"/>
      <c r="M21" s="9"/>
      <c r="N21" s="9"/>
      <c r="P21" s="39" t="s">
        <v>92</v>
      </c>
      <c r="Q21" s="106">
        <v>2930</v>
      </c>
      <c r="S21" s="48" t="s">
        <v>48</v>
      </c>
      <c r="T21" s="48" t="s">
        <v>39</v>
      </c>
      <c r="U21" s="55">
        <v>2500</v>
      </c>
      <c r="V21" s="48" t="s">
        <v>37</v>
      </c>
    </row>
    <row r="22" spans="1:22" x14ac:dyDescent="0.35">
      <c r="A22" s="9" t="s">
        <v>51</v>
      </c>
      <c r="B22" s="9" t="s">
        <v>109</v>
      </c>
      <c r="C22" s="10">
        <v>1000</v>
      </c>
      <c r="D22" s="10">
        <v>1000</v>
      </c>
      <c r="E22" s="9" t="s">
        <v>24</v>
      </c>
      <c r="F22" s="9" t="s">
        <v>78</v>
      </c>
      <c r="G22" s="9"/>
      <c r="H22" s="94" t="s">
        <v>27</v>
      </c>
      <c r="I22" s="9"/>
      <c r="J22" s="195">
        <v>45887</v>
      </c>
      <c r="K22" s="10">
        <v>1410</v>
      </c>
      <c r="L22" s="9" t="s">
        <v>79</v>
      </c>
      <c r="M22" s="9"/>
      <c r="N22" s="9" t="s">
        <v>80</v>
      </c>
      <c r="P22" s="39" t="s">
        <v>93</v>
      </c>
      <c r="Q22" s="106">
        <v>2475</v>
      </c>
      <c r="S22" s="48" t="s">
        <v>51</v>
      </c>
      <c r="T22" s="48" t="s">
        <v>109</v>
      </c>
      <c r="U22" s="55">
        <v>1000</v>
      </c>
      <c r="V22" s="48" t="s">
        <v>24</v>
      </c>
    </row>
    <row r="23" spans="1:22" ht="29" x14ac:dyDescent="0.35">
      <c r="A23" s="9" t="s">
        <v>819</v>
      </c>
      <c r="B23" s="9" t="s">
        <v>109</v>
      </c>
      <c r="C23" s="10">
        <v>1000</v>
      </c>
      <c r="D23" s="10">
        <v>1000</v>
      </c>
      <c r="E23" s="9" t="s">
        <v>93</v>
      </c>
      <c r="F23" s="9" t="s">
        <v>353</v>
      </c>
      <c r="G23" s="9" t="s">
        <v>1067</v>
      </c>
      <c r="H23" s="9"/>
      <c r="I23" s="9"/>
      <c r="J23" s="195">
        <v>45880</v>
      </c>
      <c r="K23" s="10">
        <v>1000</v>
      </c>
      <c r="L23" s="27" t="s">
        <v>365</v>
      </c>
      <c r="M23" s="27"/>
      <c r="N23" s="155" t="s">
        <v>366</v>
      </c>
      <c r="P23" s="39" t="s">
        <v>94</v>
      </c>
      <c r="Q23" s="106"/>
      <c r="S23" s="48" t="s">
        <v>1068</v>
      </c>
      <c r="T23" s="48" t="s">
        <v>1054</v>
      </c>
      <c r="U23" s="55">
        <v>815</v>
      </c>
      <c r="V23" s="48" t="s">
        <v>76</v>
      </c>
    </row>
    <row r="24" spans="1:22" ht="29" x14ac:dyDescent="0.35">
      <c r="A24" s="9" t="s">
        <v>822</v>
      </c>
      <c r="B24" s="9" t="s">
        <v>109</v>
      </c>
      <c r="C24" s="10">
        <v>1000</v>
      </c>
      <c r="D24" s="10">
        <v>1000</v>
      </c>
      <c r="E24" s="9" t="s">
        <v>93</v>
      </c>
      <c r="F24" s="9"/>
      <c r="G24" s="9" t="s">
        <v>1069</v>
      </c>
      <c r="H24" s="9"/>
      <c r="I24" s="9"/>
      <c r="J24" s="195">
        <v>45925</v>
      </c>
      <c r="K24" s="10">
        <v>1000</v>
      </c>
      <c r="L24" s="9" t="s">
        <v>823</v>
      </c>
      <c r="M24" s="9"/>
      <c r="N24" s="87" t="s">
        <v>824</v>
      </c>
      <c r="P24" s="39" t="s">
        <v>95</v>
      </c>
      <c r="Q24" s="106">
        <v>12015</v>
      </c>
      <c r="S24" s="112" t="s">
        <v>247</v>
      </c>
      <c r="T24" s="112" t="s">
        <v>109</v>
      </c>
      <c r="U24" s="113">
        <v>1000</v>
      </c>
      <c r="V24" s="112" t="s">
        <v>92</v>
      </c>
    </row>
    <row r="25" spans="1:22" x14ac:dyDescent="0.35">
      <c r="A25" s="9" t="s">
        <v>175</v>
      </c>
      <c r="B25" s="9" t="s">
        <v>109</v>
      </c>
      <c r="C25" s="10">
        <v>1000</v>
      </c>
      <c r="D25" s="10">
        <v>1350</v>
      </c>
      <c r="E25" s="9" t="s">
        <v>95</v>
      </c>
      <c r="F25" s="9" t="s">
        <v>1070</v>
      </c>
      <c r="G25" s="9" t="s">
        <v>1071</v>
      </c>
      <c r="H25" s="9"/>
      <c r="I25" s="9"/>
      <c r="J25" s="9" t="s">
        <v>421</v>
      </c>
      <c r="K25" s="10">
        <v>1350</v>
      </c>
      <c r="L25" s="9" t="s">
        <v>1072</v>
      </c>
      <c r="M25" s="9"/>
      <c r="N25" s="9" t="s">
        <v>1073</v>
      </c>
      <c r="P25" s="39" t="s">
        <v>96</v>
      </c>
      <c r="Q25" s="106"/>
      <c r="S25" s="112" t="s">
        <v>255</v>
      </c>
      <c r="T25" s="112" t="s">
        <v>39</v>
      </c>
      <c r="U25" s="113">
        <v>2500</v>
      </c>
      <c r="V25" s="112" t="s">
        <v>95</v>
      </c>
    </row>
    <row r="26" spans="1:22" ht="29" x14ac:dyDescent="0.35">
      <c r="A26" s="9" t="s">
        <v>617</v>
      </c>
      <c r="B26" s="9" t="s">
        <v>109</v>
      </c>
      <c r="C26" s="10">
        <v>1000</v>
      </c>
      <c r="D26" s="10">
        <v>0</v>
      </c>
      <c r="E26" s="9" t="s">
        <v>95</v>
      </c>
      <c r="F26" s="9" t="s">
        <v>167</v>
      </c>
      <c r="G26" s="9" t="s">
        <v>618</v>
      </c>
      <c r="H26" s="9"/>
      <c r="I26" s="9"/>
      <c r="J26" s="9"/>
      <c r="K26" s="10">
        <v>0</v>
      </c>
      <c r="L26" s="9" t="s">
        <v>173</v>
      </c>
      <c r="M26" s="9"/>
      <c r="N26" s="87" t="s">
        <v>174</v>
      </c>
      <c r="P26" s="39" t="s">
        <v>97</v>
      </c>
      <c r="Q26" s="106"/>
      <c r="S26" s="112" t="s">
        <v>276</v>
      </c>
      <c r="T26" s="112" t="s">
        <v>1054</v>
      </c>
      <c r="U26" s="113">
        <v>180</v>
      </c>
      <c r="V26" s="112" t="s">
        <v>76</v>
      </c>
    </row>
    <row r="27" spans="1:22" ht="29" x14ac:dyDescent="0.35">
      <c r="A27" s="9" t="s">
        <v>742</v>
      </c>
      <c r="B27" s="9" t="s">
        <v>109</v>
      </c>
      <c r="C27" s="10">
        <v>1000</v>
      </c>
      <c r="D27" s="10">
        <v>1000</v>
      </c>
      <c r="E27" s="9" t="s">
        <v>37</v>
      </c>
      <c r="F27" s="9" t="s">
        <v>418</v>
      </c>
      <c r="G27" s="9"/>
      <c r="H27" s="94" t="s">
        <v>27</v>
      </c>
      <c r="I27" s="9"/>
      <c r="J27" s="9" t="s">
        <v>522</v>
      </c>
      <c r="K27" s="10">
        <v>1000</v>
      </c>
      <c r="L27" s="9" t="s">
        <v>743</v>
      </c>
      <c r="M27" s="9"/>
      <c r="N27" s="9" t="s">
        <v>744</v>
      </c>
      <c r="P27" s="39" t="s">
        <v>98</v>
      </c>
      <c r="Q27" s="106">
        <v>2035</v>
      </c>
      <c r="S27" s="9" t="s">
        <v>1074</v>
      </c>
      <c r="T27" s="9" t="s">
        <v>1054</v>
      </c>
      <c r="U27" s="10">
        <v>368</v>
      </c>
      <c r="V27" s="9"/>
    </row>
    <row r="28" spans="1:22" x14ac:dyDescent="0.35">
      <c r="A28" s="9" t="s">
        <v>1075</v>
      </c>
      <c r="B28" s="9" t="s">
        <v>109</v>
      </c>
      <c r="C28" s="10">
        <v>1000</v>
      </c>
      <c r="D28" s="10">
        <v>0</v>
      </c>
      <c r="E28" s="9"/>
      <c r="F28" s="9"/>
      <c r="G28" s="9"/>
      <c r="H28" s="9"/>
      <c r="I28" s="9"/>
      <c r="J28" s="9"/>
      <c r="K28" s="9"/>
      <c r="L28" s="9"/>
      <c r="M28" s="9"/>
      <c r="N28" s="9"/>
      <c r="P28" s="45" t="s">
        <v>99</v>
      </c>
      <c r="Q28" s="46">
        <v>43825</v>
      </c>
      <c r="S28" s="48" t="s">
        <v>57</v>
      </c>
      <c r="T28" s="48" t="s">
        <v>32</v>
      </c>
      <c r="U28" s="55">
        <v>5000</v>
      </c>
      <c r="V28" s="48" t="s">
        <v>24</v>
      </c>
    </row>
    <row r="29" spans="1:22" x14ac:dyDescent="0.35">
      <c r="A29" s="9" t="s">
        <v>1076</v>
      </c>
      <c r="B29" s="9" t="s">
        <v>109</v>
      </c>
      <c r="C29" s="10">
        <v>1000</v>
      </c>
      <c r="D29" s="10">
        <v>0</v>
      </c>
      <c r="E29" s="9"/>
      <c r="F29" s="9"/>
      <c r="G29" s="9"/>
      <c r="H29" s="9"/>
      <c r="I29" s="9"/>
      <c r="J29" s="9"/>
      <c r="K29" s="9"/>
      <c r="L29" s="9"/>
      <c r="M29" s="9"/>
      <c r="N29" s="9"/>
      <c r="S29" s="9" t="s">
        <v>670</v>
      </c>
      <c r="T29" s="9" t="s">
        <v>1054</v>
      </c>
      <c r="U29" s="10">
        <v>70</v>
      </c>
      <c r="V29" s="9" t="s">
        <v>76</v>
      </c>
    </row>
    <row r="30" spans="1:22" x14ac:dyDescent="0.35">
      <c r="A30" s="9" t="s">
        <v>1077</v>
      </c>
      <c r="B30" s="9" t="s">
        <v>109</v>
      </c>
      <c r="C30" s="10">
        <v>1000</v>
      </c>
      <c r="D30" s="10">
        <v>0</v>
      </c>
      <c r="E30" s="9"/>
      <c r="F30" s="9"/>
      <c r="G30" s="9"/>
      <c r="H30" s="9"/>
      <c r="I30" s="9"/>
      <c r="J30" s="9"/>
      <c r="K30" s="9"/>
      <c r="L30" s="9"/>
      <c r="M30" s="9"/>
      <c r="N30" s="9"/>
      <c r="S30" s="9" t="s">
        <v>561</v>
      </c>
      <c r="T30" s="9" t="s">
        <v>1054</v>
      </c>
      <c r="U30" s="10">
        <v>35</v>
      </c>
      <c r="V30" s="9" t="s">
        <v>76</v>
      </c>
    </row>
    <row r="31" spans="1:22" x14ac:dyDescent="0.35">
      <c r="A31" s="9" t="s">
        <v>657</v>
      </c>
      <c r="B31" s="9" t="s">
        <v>109</v>
      </c>
      <c r="C31" s="10">
        <v>1000</v>
      </c>
      <c r="D31" s="10">
        <v>1000</v>
      </c>
      <c r="E31" s="9" t="s">
        <v>92</v>
      </c>
      <c r="F31" s="9" t="s">
        <v>1078</v>
      </c>
      <c r="G31" s="9"/>
      <c r="H31" s="9"/>
      <c r="I31" s="9"/>
      <c r="J31" s="9" t="s">
        <v>1079</v>
      </c>
      <c r="K31" s="10">
        <v>1000</v>
      </c>
      <c r="L31" s="9" t="s">
        <v>660</v>
      </c>
      <c r="M31" s="9"/>
      <c r="N31" s="86" t="s">
        <v>661</v>
      </c>
      <c r="S31" s="9" t="s">
        <v>608</v>
      </c>
      <c r="T31" s="9" t="s">
        <v>1054</v>
      </c>
      <c r="U31" s="10">
        <v>140</v>
      </c>
      <c r="V31" s="9" t="s">
        <v>76</v>
      </c>
    </row>
    <row r="32" spans="1:22" ht="29" x14ac:dyDescent="0.35">
      <c r="A32" s="9" t="s">
        <v>1080</v>
      </c>
      <c r="B32" s="9" t="s">
        <v>1054</v>
      </c>
      <c r="C32" s="10">
        <v>35</v>
      </c>
      <c r="D32" s="10">
        <v>455</v>
      </c>
      <c r="E32" s="9" t="s">
        <v>95</v>
      </c>
      <c r="F32" s="9" t="s">
        <v>224</v>
      </c>
      <c r="G32" s="9"/>
      <c r="H32" s="9"/>
      <c r="I32" s="9"/>
      <c r="J32" s="9" t="s">
        <v>224</v>
      </c>
      <c r="K32" s="10">
        <v>455</v>
      </c>
      <c r="L32" s="9" t="s">
        <v>168</v>
      </c>
      <c r="M32" s="9"/>
      <c r="N32" s="87" t="s">
        <v>169</v>
      </c>
      <c r="S32" s="48" t="s">
        <v>363</v>
      </c>
      <c r="T32" s="48" t="s">
        <v>1061</v>
      </c>
      <c r="U32" s="55">
        <v>2500</v>
      </c>
      <c r="V32" s="48" t="s">
        <v>95</v>
      </c>
    </row>
    <row r="33" spans="1:22" x14ac:dyDescent="0.35">
      <c r="A33" s="9" t="s">
        <v>356</v>
      </c>
      <c r="B33" s="9" t="s">
        <v>1054</v>
      </c>
      <c r="C33" s="10">
        <v>35</v>
      </c>
      <c r="D33" s="10">
        <v>175</v>
      </c>
      <c r="E33" s="9" t="s">
        <v>93</v>
      </c>
      <c r="F33" s="9" t="s">
        <v>353</v>
      </c>
      <c r="G33" s="9" t="s">
        <v>1081</v>
      </c>
      <c r="H33" s="9"/>
      <c r="I33" s="9"/>
      <c r="J33" s="9" t="s">
        <v>418</v>
      </c>
      <c r="K33" s="10">
        <v>175</v>
      </c>
      <c r="L33" s="9" t="s">
        <v>357</v>
      </c>
      <c r="M33" s="9"/>
      <c r="N33" s="87" t="s">
        <v>358</v>
      </c>
      <c r="S33" s="9" t="s">
        <v>1082</v>
      </c>
      <c r="T33" s="9" t="s">
        <v>1054</v>
      </c>
      <c r="U33" s="10">
        <v>110</v>
      </c>
      <c r="V33" s="9" t="s">
        <v>93</v>
      </c>
    </row>
    <row r="34" spans="1:22" ht="29" x14ac:dyDescent="0.35">
      <c r="A34" s="9" t="s">
        <v>1083</v>
      </c>
      <c r="B34" s="9" t="s">
        <v>1054</v>
      </c>
      <c r="C34" s="10">
        <v>35</v>
      </c>
      <c r="D34" s="10">
        <v>210</v>
      </c>
      <c r="E34" s="9" t="s">
        <v>95</v>
      </c>
      <c r="F34" s="9" t="s">
        <v>115</v>
      </c>
      <c r="G34" s="9"/>
      <c r="H34" s="94" t="s">
        <v>27</v>
      </c>
      <c r="I34" s="9"/>
      <c r="J34" s="195">
        <v>45877</v>
      </c>
      <c r="K34" s="10">
        <v>210</v>
      </c>
      <c r="L34" s="9" t="s">
        <v>1084</v>
      </c>
      <c r="M34" s="9"/>
      <c r="N34" s="9" t="s">
        <v>1085</v>
      </c>
      <c r="S34" s="9" t="s">
        <v>1086</v>
      </c>
      <c r="T34" s="9" t="s">
        <v>1054</v>
      </c>
      <c r="U34" s="10">
        <v>1210</v>
      </c>
      <c r="V34" s="9"/>
    </row>
    <row r="35" spans="1:22" x14ac:dyDescent="0.35">
      <c r="A35" s="9" t="s">
        <v>1087</v>
      </c>
      <c r="B35" s="9" t="s">
        <v>1054</v>
      </c>
      <c r="C35" s="10">
        <v>35</v>
      </c>
      <c r="D35" s="10">
        <v>125</v>
      </c>
      <c r="E35" s="9"/>
      <c r="F35" s="9"/>
      <c r="G35" s="9" t="s">
        <v>1088</v>
      </c>
      <c r="H35" s="9"/>
      <c r="I35" s="9"/>
      <c r="J35" s="9" t="s">
        <v>375</v>
      </c>
      <c r="K35" s="10">
        <v>125</v>
      </c>
      <c r="L35" s="9"/>
      <c r="M35" s="9"/>
      <c r="N35" s="9"/>
      <c r="S35" s="48" t="s">
        <v>356</v>
      </c>
      <c r="T35" s="48" t="s">
        <v>1054</v>
      </c>
      <c r="U35" s="55">
        <v>140</v>
      </c>
      <c r="V35" s="48" t="s">
        <v>92</v>
      </c>
    </row>
    <row r="36" spans="1:22" x14ac:dyDescent="0.35">
      <c r="A36" s="9" t="s">
        <v>1089</v>
      </c>
      <c r="B36" s="9" t="s">
        <v>1054</v>
      </c>
      <c r="C36" s="10">
        <v>35</v>
      </c>
      <c r="D36" s="10">
        <v>0</v>
      </c>
      <c r="E36" s="9" t="s">
        <v>68</v>
      </c>
      <c r="F36" s="9" t="s">
        <v>421</v>
      </c>
      <c r="G36" s="9" t="s">
        <v>1090</v>
      </c>
      <c r="H36" s="9"/>
      <c r="I36" s="9"/>
      <c r="J36" s="9"/>
      <c r="K36" s="10"/>
      <c r="L36" s="9" t="s">
        <v>1091</v>
      </c>
      <c r="M36" s="9"/>
      <c r="N36" s="9"/>
      <c r="S36" s="9" t="s">
        <v>377</v>
      </c>
      <c r="T36" s="9" t="s">
        <v>1054</v>
      </c>
      <c r="U36" s="10">
        <v>140</v>
      </c>
      <c r="V36" s="9" t="s">
        <v>93</v>
      </c>
    </row>
    <row r="37" spans="1:22" ht="29" x14ac:dyDescent="0.35">
      <c r="A37" s="9" t="s">
        <v>552</v>
      </c>
      <c r="B37" s="9" t="s">
        <v>1054</v>
      </c>
      <c r="C37" s="10">
        <v>35</v>
      </c>
      <c r="D37" s="10">
        <v>70</v>
      </c>
      <c r="E37" s="9" t="s">
        <v>92</v>
      </c>
      <c r="F37" s="9" t="s">
        <v>172</v>
      </c>
      <c r="G37" s="9"/>
      <c r="H37" s="9"/>
      <c r="I37" s="9"/>
      <c r="J37" s="9" t="s">
        <v>172</v>
      </c>
      <c r="K37" s="10">
        <v>70</v>
      </c>
      <c r="L37" s="9" t="s">
        <v>554</v>
      </c>
      <c r="M37" s="9"/>
      <c r="N37" s="87" t="s">
        <v>555</v>
      </c>
      <c r="S37" s="9" t="s">
        <v>1022</v>
      </c>
      <c r="T37" s="9" t="s">
        <v>1054</v>
      </c>
      <c r="U37" s="10">
        <v>60</v>
      </c>
      <c r="V37" s="9" t="s">
        <v>76</v>
      </c>
    </row>
    <row r="38" spans="1:22" x14ac:dyDescent="0.35">
      <c r="A38" s="9" t="s">
        <v>1092</v>
      </c>
      <c r="B38" s="9" t="s">
        <v>1054</v>
      </c>
      <c r="C38" s="10">
        <v>35</v>
      </c>
      <c r="D38" s="10">
        <v>70</v>
      </c>
      <c r="E38" s="9"/>
      <c r="F38" s="9" t="s">
        <v>172</v>
      </c>
      <c r="G38" s="9"/>
      <c r="H38" s="9"/>
      <c r="I38" s="9"/>
      <c r="J38" s="9" t="s">
        <v>172</v>
      </c>
      <c r="K38" s="10">
        <v>70</v>
      </c>
      <c r="L38" s="9"/>
      <c r="M38" s="9"/>
      <c r="N38" s="9"/>
      <c r="S38" s="48" t="s">
        <v>485</v>
      </c>
      <c r="T38" s="48" t="s">
        <v>486</v>
      </c>
      <c r="U38" s="55">
        <v>1000</v>
      </c>
      <c r="V38" s="48" t="s">
        <v>92</v>
      </c>
    </row>
    <row r="39" spans="1:22" x14ac:dyDescent="0.35">
      <c r="A39" s="9" t="s">
        <v>1093</v>
      </c>
      <c r="B39" s="9" t="s">
        <v>1054</v>
      </c>
      <c r="C39" s="10">
        <v>35</v>
      </c>
      <c r="D39" s="10">
        <v>105</v>
      </c>
      <c r="E39" s="9" t="s">
        <v>76</v>
      </c>
      <c r="F39" s="9" t="s">
        <v>407</v>
      </c>
      <c r="G39" s="9" t="s">
        <v>1090</v>
      </c>
      <c r="H39" s="9"/>
      <c r="I39" s="9"/>
      <c r="J39" s="9" t="s">
        <v>837</v>
      </c>
      <c r="K39" s="10">
        <v>105</v>
      </c>
      <c r="L39" s="9" t="s">
        <v>1094</v>
      </c>
      <c r="M39" s="9"/>
      <c r="N39" s="86" t="s">
        <v>1095</v>
      </c>
      <c r="S39" s="9" t="s">
        <v>296</v>
      </c>
      <c r="T39" s="9" t="s">
        <v>1054</v>
      </c>
      <c r="U39" s="10">
        <v>70</v>
      </c>
      <c r="V39" s="9"/>
    </row>
    <row r="40" spans="1:22" x14ac:dyDescent="0.35">
      <c r="A40" s="9" t="s">
        <v>40</v>
      </c>
      <c r="B40" s="9" t="s">
        <v>1054</v>
      </c>
      <c r="C40" s="10">
        <v>35</v>
      </c>
      <c r="D40" s="10">
        <v>420</v>
      </c>
      <c r="E40" s="9"/>
      <c r="F40" s="9" t="s">
        <v>407</v>
      </c>
      <c r="G40" s="9"/>
      <c r="H40" s="9"/>
      <c r="I40" s="9"/>
      <c r="J40" s="9" t="s">
        <v>407</v>
      </c>
      <c r="K40" s="10">
        <v>420</v>
      </c>
      <c r="L40" s="9"/>
      <c r="M40" s="9"/>
      <c r="N40" s="9"/>
      <c r="S40" s="112" t="s">
        <v>235</v>
      </c>
      <c r="T40" s="112" t="s">
        <v>1054</v>
      </c>
      <c r="U40" s="113">
        <v>70</v>
      </c>
      <c r="V40" s="112"/>
    </row>
    <row r="41" spans="1:22" x14ac:dyDescent="0.35">
      <c r="A41" s="9" t="s">
        <v>1096</v>
      </c>
      <c r="B41" s="9" t="s">
        <v>1054</v>
      </c>
      <c r="C41" s="10">
        <v>35</v>
      </c>
      <c r="D41" s="10">
        <v>55</v>
      </c>
      <c r="E41" s="9"/>
      <c r="F41" s="9" t="s">
        <v>407</v>
      </c>
      <c r="G41" s="9"/>
      <c r="H41" s="9"/>
      <c r="I41" s="9"/>
      <c r="J41" s="9" t="s">
        <v>407</v>
      </c>
      <c r="K41" s="10">
        <v>55</v>
      </c>
      <c r="L41" s="9"/>
      <c r="M41" s="9"/>
      <c r="N41" s="9"/>
      <c r="S41" s="181" t="s">
        <v>405</v>
      </c>
      <c r="T41" s="181" t="s">
        <v>1054</v>
      </c>
      <c r="U41" s="182">
        <v>70</v>
      </c>
      <c r="V41" s="181"/>
    </row>
    <row r="42" spans="1:22" x14ac:dyDescent="0.35">
      <c r="A42" s="9" t="s">
        <v>1097</v>
      </c>
      <c r="B42" s="9" t="s">
        <v>1054</v>
      </c>
      <c r="C42" s="10">
        <v>35</v>
      </c>
      <c r="D42" s="10">
        <v>385</v>
      </c>
      <c r="E42" s="9" t="s">
        <v>92</v>
      </c>
      <c r="F42" s="9" t="s">
        <v>446</v>
      </c>
      <c r="G42" s="9"/>
      <c r="H42" s="9"/>
      <c r="I42" s="9"/>
      <c r="J42" s="9" t="s">
        <v>446</v>
      </c>
      <c r="K42" s="10">
        <v>385</v>
      </c>
      <c r="L42" s="9"/>
      <c r="M42" s="9"/>
      <c r="N42" s="9"/>
      <c r="S42" s="48" t="s">
        <v>1098</v>
      </c>
      <c r="T42" s="48" t="s">
        <v>1054</v>
      </c>
      <c r="U42" s="55">
        <v>315</v>
      </c>
      <c r="V42" s="48" t="s">
        <v>93</v>
      </c>
    </row>
    <row r="43" spans="1:22" x14ac:dyDescent="0.35">
      <c r="A43" s="9" t="s">
        <v>657</v>
      </c>
      <c r="B43" s="9" t="s">
        <v>1054</v>
      </c>
      <c r="C43" s="10">
        <v>35</v>
      </c>
      <c r="D43" s="10">
        <v>195</v>
      </c>
      <c r="E43" s="9" t="s">
        <v>92</v>
      </c>
      <c r="F43" s="9" t="s">
        <v>446</v>
      </c>
      <c r="G43" s="9"/>
      <c r="H43" s="9"/>
      <c r="I43" s="9"/>
      <c r="J43" s="9" t="s">
        <v>1079</v>
      </c>
      <c r="K43" s="10">
        <v>195</v>
      </c>
      <c r="L43" s="9"/>
      <c r="M43" s="9"/>
      <c r="N43" s="9"/>
      <c r="S43" s="112" t="s">
        <v>572</v>
      </c>
      <c r="T43" s="112" t="s">
        <v>1099</v>
      </c>
      <c r="U43" s="113">
        <v>2500</v>
      </c>
      <c r="V43" s="112" t="s">
        <v>93</v>
      </c>
    </row>
    <row r="44" spans="1:22" x14ac:dyDescent="0.35">
      <c r="A44" s="9" t="s">
        <v>1100</v>
      </c>
      <c r="B44" s="9" t="s">
        <v>1054</v>
      </c>
      <c r="C44" s="10">
        <v>35</v>
      </c>
      <c r="D44" s="10">
        <v>55</v>
      </c>
      <c r="E44" s="9"/>
      <c r="F44" s="9" t="s">
        <v>446</v>
      </c>
      <c r="G44" s="9"/>
      <c r="H44" s="9"/>
      <c r="I44" s="9"/>
      <c r="J44" s="9"/>
      <c r="K44" s="10"/>
      <c r="L44" s="9"/>
      <c r="M44" s="9"/>
      <c r="N44" s="9"/>
      <c r="S44" s="48" t="s">
        <v>822</v>
      </c>
      <c r="T44" s="48" t="s">
        <v>39</v>
      </c>
      <c r="U44" s="55">
        <v>1000</v>
      </c>
      <c r="V44" s="48" t="s">
        <v>92</v>
      </c>
    </row>
    <row r="45" spans="1:22" x14ac:dyDescent="0.35">
      <c r="A45" s="9" t="s">
        <v>405</v>
      </c>
      <c r="B45" s="9" t="s">
        <v>1054</v>
      </c>
      <c r="C45" s="10">
        <v>35</v>
      </c>
      <c r="D45" s="10">
        <v>0</v>
      </c>
      <c r="E45" s="9"/>
      <c r="F45" s="9"/>
      <c r="G45" s="9" t="s">
        <v>1101</v>
      </c>
      <c r="H45" s="9"/>
      <c r="I45" s="9"/>
      <c r="J45" s="9"/>
      <c r="K45" s="10"/>
      <c r="L45" s="9"/>
      <c r="M45" s="9"/>
      <c r="N45" s="9"/>
      <c r="S45" s="48" t="s">
        <v>1102</v>
      </c>
      <c r="T45" s="48" t="s">
        <v>1054</v>
      </c>
      <c r="U45" s="55">
        <v>105</v>
      </c>
      <c r="V45" s="48" t="s">
        <v>68</v>
      </c>
    </row>
    <row r="46" spans="1:22" ht="87" x14ac:dyDescent="0.35">
      <c r="A46" s="9" t="s">
        <v>1068</v>
      </c>
      <c r="B46" s="9" t="s">
        <v>1054</v>
      </c>
      <c r="C46" s="10">
        <v>35</v>
      </c>
      <c r="D46" s="10">
        <v>570</v>
      </c>
      <c r="E46" s="9" t="s">
        <v>68</v>
      </c>
      <c r="F46" s="9" t="s">
        <v>270</v>
      </c>
      <c r="G46" s="9" t="s">
        <v>1103</v>
      </c>
      <c r="H46" s="9"/>
      <c r="I46" s="9"/>
      <c r="J46" s="9" t="s">
        <v>438</v>
      </c>
      <c r="K46" s="10">
        <v>570</v>
      </c>
      <c r="L46" s="9" t="s">
        <v>1104</v>
      </c>
      <c r="M46" s="9"/>
      <c r="N46" s="87" t="s">
        <v>1105</v>
      </c>
      <c r="S46" s="9" t="s">
        <v>1106</v>
      </c>
      <c r="T46" s="9" t="s">
        <v>1054</v>
      </c>
      <c r="U46" s="10">
        <v>110</v>
      </c>
      <c r="V46" s="9" t="s">
        <v>93</v>
      </c>
    </row>
    <row r="47" spans="1:22" x14ac:dyDescent="0.35">
      <c r="A47" s="9" t="s">
        <v>268</v>
      </c>
      <c r="B47" s="9" t="s">
        <v>1054</v>
      </c>
      <c r="C47" s="10">
        <v>35</v>
      </c>
      <c r="D47" s="10">
        <v>70</v>
      </c>
      <c r="E47" s="9" t="s">
        <v>76</v>
      </c>
      <c r="F47" s="9" t="s">
        <v>270</v>
      </c>
      <c r="G47" s="9"/>
      <c r="H47" s="9"/>
      <c r="I47" s="9"/>
      <c r="J47" s="9"/>
      <c r="K47" s="10"/>
      <c r="L47" s="9" t="s">
        <v>296</v>
      </c>
      <c r="M47" s="9"/>
      <c r="N47" s="87" t="s">
        <v>297</v>
      </c>
      <c r="S47" s="9"/>
      <c r="T47" s="9"/>
      <c r="U47" s="10"/>
      <c r="V47" s="9"/>
    </row>
    <row r="48" spans="1:22" x14ac:dyDescent="0.35">
      <c r="A48" s="9"/>
      <c r="B48" s="9" t="s">
        <v>1054</v>
      </c>
      <c r="C48" s="10">
        <v>35</v>
      </c>
      <c r="D48" s="10"/>
      <c r="E48" s="9"/>
      <c r="F48" s="9"/>
      <c r="G48" s="9"/>
      <c r="H48" s="9"/>
      <c r="I48" s="9"/>
      <c r="J48" s="9"/>
      <c r="K48" s="10"/>
      <c r="L48" s="9"/>
      <c r="M48" s="9"/>
      <c r="N48" s="87"/>
      <c r="S48" s="48" t="s">
        <v>166</v>
      </c>
      <c r="T48" s="48" t="s">
        <v>1054</v>
      </c>
      <c r="U48" s="55">
        <v>450</v>
      </c>
      <c r="V48" s="48" t="s">
        <v>95</v>
      </c>
    </row>
    <row r="49" spans="1:22" ht="29" x14ac:dyDescent="0.35">
      <c r="A49" s="9" t="s">
        <v>705</v>
      </c>
      <c r="B49" s="9" t="s">
        <v>1054</v>
      </c>
      <c r="C49" s="10">
        <v>35</v>
      </c>
      <c r="D49" s="10">
        <v>70</v>
      </c>
      <c r="E49" s="9" t="s">
        <v>93</v>
      </c>
      <c r="F49" s="9" t="s">
        <v>65</v>
      </c>
      <c r="G49" s="9"/>
      <c r="H49" s="9"/>
      <c r="I49" s="9"/>
      <c r="J49" s="9"/>
      <c r="K49" s="10"/>
      <c r="L49" s="9" t="s">
        <v>1107</v>
      </c>
      <c r="M49" s="9"/>
      <c r="N49" s="87" t="s">
        <v>1108</v>
      </c>
      <c r="S49" s="48" t="s">
        <v>40</v>
      </c>
      <c r="T49" s="48" t="s">
        <v>39</v>
      </c>
      <c r="U49" s="55">
        <v>2500</v>
      </c>
      <c r="V49" s="48" t="s">
        <v>37</v>
      </c>
    </row>
    <row r="50" spans="1:22" x14ac:dyDescent="0.35">
      <c r="A50" s="9" t="s">
        <v>1109</v>
      </c>
      <c r="B50" s="9" t="s">
        <v>1054</v>
      </c>
      <c r="C50" s="10">
        <v>20</v>
      </c>
      <c r="D50" s="10">
        <v>20</v>
      </c>
      <c r="E50" s="9"/>
      <c r="F50" s="9"/>
      <c r="G50" s="9"/>
      <c r="H50" s="9"/>
      <c r="I50" s="9"/>
      <c r="J50" s="9"/>
      <c r="K50" s="10">
        <v>20</v>
      </c>
      <c r="L50" s="9"/>
      <c r="M50" s="9"/>
      <c r="N50" s="9"/>
      <c r="S50" s="48" t="s">
        <v>1110</v>
      </c>
      <c r="T50" s="48" t="s">
        <v>1054</v>
      </c>
      <c r="U50" s="55">
        <v>175</v>
      </c>
      <c r="V50" s="48" t="s">
        <v>93</v>
      </c>
    </row>
    <row r="51" spans="1:22" x14ac:dyDescent="0.35">
      <c r="A51" s="9" t="s">
        <v>317</v>
      </c>
      <c r="B51" s="9" t="s">
        <v>1054</v>
      </c>
      <c r="C51" s="10">
        <v>20</v>
      </c>
      <c r="D51" s="10">
        <v>40</v>
      </c>
      <c r="E51" s="9" t="s">
        <v>68</v>
      </c>
      <c r="F51" s="9"/>
      <c r="G51" s="9"/>
      <c r="H51" s="9"/>
      <c r="I51" s="9"/>
      <c r="J51" s="9"/>
      <c r="K51" s="10">
        <v>40</v>
      </c>
      <c r="L51" s="9"/>
      <c r="M51" s="9"/>
      <c r="N51" s="9"/>
      <c r="S51" s="48" t="s">
        <v>657</v>
      </c>
      <c r="T51" s="48" t="s">
        <v>109</v>
      </c>
      <c r="U51" s="55">
        <v>1000</v>
      </c>
      <c r="V51" s="48" t="s">
        <v>92</v>
      </c>
    </row>
    <row r="52" spans="1:22" x14ac:dyDescent="0.35">
      <c r="A52" s="9" t="s">
        <v>657</v>
      </c>
      <c r="B52" s="9" t="s">
        <v>1054</v>
      </c>
      <c r="C52" s="10">
        <v>20</v>
      </c>
      <c r="D52" s="10">
        <v>40</v>
      </c>
      <c r="E52" s="9" t="s">
        <v>92</v>
      </c>
      <c r="F52" s="9"/>
      <c r="G52" s="9"/>
      <c r="H52" s="9"/>
      <c r="I52" s="9"/>
      <c r="J52" s="9"/>
      <c r="K52" s="10">
        <v>40</v>
      </c>
      <c r="L52" s="9"/>
      <c r="M52" s="9"/>
      <c r="N52" s="9"/>
      <c r="S52" s="48" t="s">
        <v>657</v>
      </c>
      <c r="T52" s="48" t="s">
        <v>1054</v>
      </c>
      <c r="U52" s="55">
        <v>230</v>
      </c>
      <c r="V52" s="48" t="s">
        <v>93</v>
      </c>
    </row>
    <row r="53" spans="1:22" x14ac:dyDescent="0.35">
      <c r="A53" s="9" t="s">
        <v>1111</v>
      </c>
      <c r="B53" s="9" t="s">
        <v>1054</v>
      </c>
      <c r="C53" s="10">
        <v>20</v>
      </c>
      <c r="D53" s="10">
        <v>70</v>
      </c>
      <c r="E53" s="9"/>
      <c r="F53" s="9"/>
      <c r="G53" s="9"/>
      <c r="H53" s="9"/>
      <c r="I53" s="9"/>
      <c r="J53" s="9" t="s">
        <v>73</v>
      </c>
      <c r="K53" s="10">
        <v>70</v>
      </c>
      <c r="L53" s="9"/>
      <c r="M53" s="9"/>
      <c r="N53" s="9"/>
      <c r="S53" s="48" t="s">
        <v>552</v>
      </c>
      <c r="T53" s="48" t="s">
        <v>1054</v>
      </c>
      <c r="U53" s="55">
        <v>70</v>
      </c>
      <c r="V53" s="48" t="s">
        <v>93</v>
      </c>
    </row>
    <row r="54" spans="1:22" x14ac:dyDescent="0.35">
      <c r="A54" s="9" t="s">
        <v>526</v>
      </c>
      <c r="B54" s="9" t="s">
        <v>1054</v>
      </c>
      <c r="C54" s="10">
        <v>20</v>
      </c>
      <c r="D54" s="10">
        <v>80</v>
      </c>
      <c r="E54" s="9" t="s">
        <v>93</v>
      </c>
      <c r="F54" s="9" t="s">
        <v>527</v>
      </c>
      <c r="G54" s="9"/>
      <c r="H54" s="9"/>
      <c r="I54" s="9"/>
      <c r="J54" s="195">
        <v>45917</v>
      </c>
      <c r="K54" s="10">
        <v>80</v>
      </c>
      <c r="L54" s="9" t="s">
        <v>528</v>
      </c>
      <c r="M54" s="9"/>
      <c r="N54" s="92" t="s">
        <v>529</v>
      </c>
      <c r="S54" s="48" t="s">
        <v>1112</v>
      </c>
      <c r="T54" s="48" t="s">
        <v>1054</v>
      </c>
      <c r="U54" s="55">
        <v>210</v>
      </c>
      <c r="V54" s="48" t="s">
        <v>1113</v>
      </c>
    </row>
    <row r="55" spans="1:22" x14ac:dyDescent="0.35">
      <c r="A55" s="9" t="s">
        <v>132</v>
      </c>
      <c r="B55" s="9" t="s">
        <v>1054</v>
      </c>
      <c r="C55" s="10">
        <v>20</v>
      </c>
      <c r="D55" s="10">
        <v>40</v>
      </c>
      <c r="E55" s="9"/>
      <c r="F55" s="9"/>
      <c r="G55" s="9"/>
      <c r="H55" s="9"/>
      <c r="I55" s="9"/>
      <c r="J55" s="9" t="s">
        <v>208</v>
      </c>
      <c r="K55" s="10">
        <v>40</v>
      </c>
      <c r="L55" s="9"/>
      <c r="M55" s="9"/>
      <c r="N55" s="9"/>
    </row>
    <row r="56" spans="1:22" ht="29" x14ac:dyDescent="0.35">
      <c r="A56" s="9" t="s">
        <v>704</v>
      </c>
      <c r="B56" s="9" t="s">
        <v>1054</v>
      </c>
      <c r="C56" s="10">
        <v>20</v>
      </c>
      <c r="D56" s="10">
        <v>240</v>
      </c>
      <c r="E56" s="9" t="s">
        <v>92</v>
      </c>
      <c r="F56" s="9"/>
      <c r="G56" s="9"/>
      <c r="H56" s="9"/>
      <c r="I56" s="9"/>
      <c r="J56" s="9" t="s">
        <v>1114</v>
      </c>
      <c r="K56" s="10">
        <f>200+100</f>
        <v>300</v>
      </c>
      <c r="L56" s="9"/>
      <c r="M56" s="9"/>
      <c r="N56" s="9"/>
    </row>
    <row r="57" spans="1:22" x14ac:dyDescent="0.35">
      <c r="A57" s="9" t="s">
        <v>40</v>
      </c>
      <c r="B57" s="9" t="s">
        <v>1054</v>
      </c>
      <c r="C57" s="10">
        <v>20</v>
      </c>
      <c r="D57" s="10">
        <v>20</v>
      </c>
      <c r="E57" s="9"/>
      <c r="F57" s="9"/>
      <c r="G57" s="9"/>
      <c r="H57" s="9"/>
      <c r="I57" s="9"/>
      <c r="J57" s="9" t="s">
        <v>1115</v>
      </c>
      <c r="K57" s="10">
        <v>20</v>
      </c>
      <c r="L57" s="9"/>
      <c r="M57" s="9"/>
      <c r="N57" s="9"/>
    </row>
    <row r="58" spans="1:22" x14ac:dyDescent="0.35">
      <c r="A58" s="9" t="s">
        <v>1116</v>
      </c>
      <c r="B58" s="9" t="s">
        <v>1054</v>
      </c>
      <c r="C58" s="10">
        <v>20</v>
      </c>
      <c r="D58" s="10"/>
      <c r="E58" s="9"/>
      <c r="F58" s="9"/>
      <c r="G58" s="9"/>
      <c r="H58" s="9"/>
      <c r="I58" s="9"/>
      <c r="J58" s="9"/>
      <c r="K58" s="10"/>
      <c r="L58" s="9"/>
      <c r="M58" s="9"/>
      <c r="N58" s="92" t="s">
        <v>1117</v>
      </c>
    </row>
    <row r="59" spans="1:22" x14ac:dyDescent="0.35">
      <c r="A59" s="9" t="s">
        <v>1118</v>
      </c>
      <c r="B59" s="9" t="s">
        <v>1054</v>
      </c>
      <c r="C59" s="10">
        <v>20</v>
      </c>
      <c r="D59" s="10">
        <v>30</v>
      </c>
      <c r="E59" s="9"/>
      <c r="F59" s="9"/>
      <c r="G59" s="9"/>
      <c r="H59" s="9"/>
      <c r="I59" s="9"/>
      <c r="J59" s="9" t="s">
        <v>375</v>
      </c>
      <c r="K59" s="10">
        <v>30</v>
      </c>
      <c r="L59" s="9"/>
      <c r="M59" s="9"/>
      <c r="N59" s="9"/>
    </row>
    <row r="60" spans="1:22" x14ac:dyDescent="0.35">
      <c r="A60" s="9" t="s">
        <v>1119</v>
      </c>
      <c r="B60" s="9" t="s">
        <v>1054</v>
      </c>
      <c r="C60" s="10">
        <v>20</v>
      </c>
      <c r="D60" s="10">
        <v>40</v>
      </c>
      <c r="E60" s="9"/>
      <c r="F60" s="9"/>
      <c r="G60" s="9"/>
      <c r="H60" s="9"/>
      <c r="I60" s="9"/>
      <c r="J60" s="9" t="s">
        <v>375</v>
      </c>
      <c r="K60" s="10">
        <v>40</v>
      </c>
      <c r="L60" s="9"/>
      <c r="M60" s="9"/>
      <c r="N60" s="9"/>
    </row>
    <row r="61" spans="1:22" x14ac:dyDescent="0.35">
      <c r="A61" s="9" t="s">
        <v>1120</v>
      </c>
      <c r="B61" s="9" t="s">
        <v>1054</v>
      </c>
      <c r="C61" s="10">
        <v>20</v>
      </c>
      <c r="D61" s="10">
        <v>40</v>
      </c>
      <c r="E61" s="9"/>
      <c r="F61" s="9"/>
      <c r="G61" s="9"/>
      <c r="H61" s="9"/>
      <c r="I61" s="9"/>
      <c r="J61" s="9" t="s">
        <v>375</v>
      </c>
      <c r="K61" s="10">
        <v>40</v>
      </c>
      <c r="L61" s="9"/>
      <c r="M61" s="9"/>
      <c r="N61" s="9"/>
    </row>
    <row r="62" spans="1:22" x14ac:dyDescent="0.35">
      <c r="A62" s="9" t="s">
        <v>1121</v>
      </c>
      <c r="B62" s="9" t="s">
        <v>1054</v>
      </c>
      <c r="C62" s="10">
        <v>20</v>
      </c>
      <c r="D62" s="10">
        <v>40</v>
      </c>
      <c r="E62" s="9"/>
      <c r="F62" s="9"/>
      <c r="G62" s="9"/>
      <c r="H62" s="9"/>
      <c r="I62" s="9"/>
      <c r="J62" s="9" t="s">
        <v>83</v>
      </c>
      <c r="K62" s="10">
        <v>40</v>
      </c>
      <c r="L62" s="9"/>
      <c r="M62" s="9"/>
      <c r="N62" s="9"/>
    </row>
    <row r="63" spans="1:22" x14ac:dyDescent="0.35">
      <c r="A63" s="9" t="s">
        <v>1059</v>
      </c>
      <c r="B63" s="9" t="s">
        <v>1054</v>
      </c>
      <c r="C63" s="10">
        <v>20</v>
      </c>
      <c r="D63" s="10">
        <v>110</v>
      </c>
      <c r="E63" s="9" t="s">
        <v>93</v>
      </c>
      <c r="F63" s="9"/>
      <c r="G63" s="9"/>
      <c r="H63" s="9"/>
      <c r="I63" s="9"/>
      <c r="J63" s="9" t="s">
        <v>681</v>
      </c>
      <c r="K63" s="10">
        <v>110</v>
      </c>
      <c r="L63" s="9"/>
      <c r="M63" s="9"/>
      <c r="N63" s="81" t="s">
        <v>1117</v>
      </c>
    </row>
    <row r="64" spans="1:22" x14ac:dyDescent="0.35">
      <c r="A64" s="9" t="s">
        <v>1122</v>
      </c>
      <c r="B64" s="9" t="s">
        <v>1054</v>
      </c>
      <c r="C64" s="10">
        <v>20</v>
      </c>
      <c r="D64" s="10">
        <v>85</v>
      </c>
      <c r="E64" s="9" t="s">
        <v>76</v>
      </c>
      <c r="F64" s="9"/>
      <c r="G64" s="9"/>
      <c r="H64" s="9"/>
      <c r="I64" s="9"/>
      <c r="J64" s="9" t="s">
        <v>1123</v>
      </c>
      <c r="K64" s="10">
        <v>85</v>
      </c>
      <c r="L64" s="9"/>
      <c r="M64" s="9"/>
      <c r="N64" s="9"/>
    </row>
    <row r="65" spans="1:14" x14ac:dyDescent="0.35">
      <c r="A65" s="9" t="s">
        <v>79</v>
      </c>
      <c r="B65" s="9" t="s">
        <v>1054</v>
      </c>
      <c r="C65" s="10">
        <v>20</v>
      </c>
      <c r="D65" s="10">
        <v>410</v>
      </c>
      <c r="E65" s="9"/>
      <c r="F65" s="9"/>
      <c r="G65" s="9"/>
      <c r="H65" s="94" t="s">
        <v>27</v>
      </c>
      <c r="I65" s="9"/>
      <c r="J65" s="9"/>
      <c r="K65" s="10"/>
      <c r="L65" s="9"/>
      <c r="M65" s="9"/>
      <c r="N65" s="9"/>
    </row>
    <row r="66" spans="1:14" x14ac:dyDescent="0.35">
      <c r="A66" s="9" t="s">
        <v>1124</v>
      </c>
      <c r="B66" s="9" t="s">
        <v>1054</v>
      </c>
      <c r="C66" s="10">
        <v>20</v>
      </c>
      <c r="D66" s="10">
        <v>40</v>
      </c>
      <c r="E66" s="9" t="s">
        <v>93</v>
      </c>
      <c r="F66" s="9"/>
      <c r="G66" s="9"/>
      <c r="H66" s="9"/>
      <c r="I66" s="9"/>
      <c r="J66" s="9"/>
      <c r="K66" s="10"/>
      <c r="L66" s="9"/>
      <c r="M66" s="9"/>
      <c r="N66" s="188" t="s">
        <v>1125</v>
      </c>
    </row>
    <row r="67" spans="1:14" x14ac:dyDescent="0.35">
      <c r="A67" s="9" t="s">
        <v>1126</v>
      </c>
      <c r="B67" s="9" t="s">
        <v>1054</v>
      </c>
      <c r="C67" s="10">
        <v>20</v>
      </c>
      <c r="D67" s="10">
        <v>420</v>
      </c>
      <c r="E67" s="9"/>
      <c r="F67" s="9"/>
      <c r="G67" s="9"/>
      <c r="H67" s="9"/>
      <c r="I67" s="9"/>
      <c r="J67" s="9"/>
      <c r="K67" s="10"/>
      <c r="L67" s="9"/>
      <c r="M67" s="9"/>
      <c r="N67" s="9"/>
    </row>
    <row r="68" spans="1:14" x14ac:dyDescent="0.35">
      <c r="A68" s="9" t="s">
        <v>1127</v>
      </c>
      <c r="B68" s="9" t="s">
        <v>1054</v>
      </c>
      <c r="C68" s="10">
        <v>10</v>
      </c>
      <c r="D68" s="10">
        <v>140</v>
      </c>
      <c r="E68" s="9"/>
      <c r="F68" s="9"/>
      <c r="G68" s="9"/>
      <c r="H68" s="9"/>
      <c r="I68" s="9"/>
      <c r="J68" s="9"/>
      <c r="K68" s="10"/>
      <c r="L68" s="9"/>
      <c r="M68" s="9"/>
      <c r="N68" s="9"/>
    </row>
    <row r="69" spans="1:14" x14ac:dyDescent="0.35">
      <c r="A69" s="9" t="s">
        <v>1128</v>
      </c>
      <c r="B69" s="9" t="s">
        <v>1054</v>
      </c>
      <c r="C69" s="10">
        <v>15</v>
      </c>
      <c r="D69" s="10">
        <v>30</v>
      </c>
      <c r="E69" s="9"/>
      <c r="F69" s="9"/>
      <c r="G69" s="9"/>
      <c r="H69" s="9"/>
      <c r="I69" s="9"/>
      <c r="J69" s="9"/>
      <c r="K69" s="10"/>
      <c r="L69" s="9"/>
      <c r="M69" s="9"/>
      <c r="N69" s="9"/>
    </row>
    <row r="70" spans="1:14" x14ac:dyDescent="0.35">
      <c r="A70" s="9" t="s">
        <v>1129</v>
      </c>
      <c r="B70" s="9" t="s">
        <v>1054</v>
      </c>
      <c r="C70" s="10">
        <v>10</v>
      </c>
      <c r="D70" s="10">
        <v>10</v>
      </c>
      <c r="E70" s="9"/>
      <c r="F70" s="9"/>
      <c r="G70" s="9"/>
      <c r="H70" s="9"/>
      <c r="I70" s="9"/>
      <c r="J70" s="9"/>
      <c r="K70" s="10"/>
      <c r="L70" s="9"/>
      <c r="M70" s="9"/>
      <c r="N70" s="9"/>
    </row>
    <row r="71" spans="1:14" x14ac:dyDescent="0.35">
      <c r="A71" s="9"/>
      <c r="B71" s="9" t="s">
        <v>1054</v>
      </c>
      <c r="C71" s="10">
        <v>100</v>
      </c>
      <c r="D71" s="10">
        <v>100</v>
      </c>
      <c r="E71" s="9"/>
      <c r="F71" s="9"/>
      <c r="G71" s="9"/>
      <c r="H71" s="9"/>
      <c r="I71" s="9"/>
      <c r="J71" s="9"/>
      <c r="K71" s="10">
        <v>100</v>
      </c>
      <c r="L71" s="9"/>
      <c r="M71" s="9"/>
      <c r="N71" s="9"/>
    </row>
    <row r="72" spans="1:14" x14ac:dyDescent="0.35">
      <c r="K72" s="29">
        <f>SUM(K9:K71)</f>
        <v>43150</v>
      </c>
    </row>
    <row r="307" spans="5:5" x14ac:dyDescent="0.35">
      <c r="E307" s="5" t="s">
        <v>47</v>
      </c>
    </row>
    <row r="308" spans="5:5" x14ac:dyDescent="0.35">
      <c r="E308" s="5" t="s">
        <v>37</v>
      </c>
    </row>
    <row r="309" spans="5:5" x14ac:dyDescent="0.35">
      <c r="E309" s="5" t="s">
        <v>24</v>
      </c>
    </row>
    <row r="310" spans="5:5" x14ac:dyDescent="0.35">
      <c r="E310" s="5" t="s">
        <v>62</v>
      </c>
    </row>
    <row r="311" spans="5:5" x14ac:dyDescent="0.35">
      <c r="E311" s="5" t="s">
        <v>56</v>
      </c>
    </row>
    <row r="312" spans="5:5" x14ac:dyDescent="0.35">
      <c r="E312" s="5" t="s">
        <v>50</v>
      </c>
    </row>
    <row r="313" spans="5:5" x14ac:dyDescent="0.35">
      <c r="E313" s="5" t="s">
        <v>91</v>
      </c>
    </row>
    <row r="314" spans="5:5" x14ac:dyDescent="0.35">
      <c r="E314" s="5" t="s">
        <v>90</v>
      </c>
    </row>
    <row r="315" spans="5:5" x14ac:dyDescent="0.35">
      <c r="E315" s="5" t="s">
        <v>86</v>
      </c>
    </row>
    <row r="316" spans="5:5" x14ac:dyDescent="0.35">
      <c r="E316" s="5" t="s">
        <v>81</v>
      </c>
    </row>
    <row r="317" spans="5:5" x14ac:dyDescent="0.35">
      <c r="E317" s="5" t="s">
        <v>76</v>
      </c>
    </row>
    <row r="318" spans="5:5" x14ac:dyDescent="0.35">
      <c r="E318" s="5" t="s">
        <v>68</v>
      </c>
    </row>
    <row r="319" spans="5:5" x14ac:dyDescent="0.35">
      <c r="E319" s="5" t="s">
        <v>94</v>
      </c>
    </row>
    <row r="320" spans="5:5" x14ac:dyDescent="0.35">
      <c r="E320" s="5" t="s">
        <v>93</v>
      </c>
    </row>
    <row r="321" spans="5:5" x14ac:dyDescent="0.35">
      <c r="E321" s="5" t="s">
        <v>92</v>
      </c>
    </row>
    <row r="322" spans="5:5" x14ac:dyDescent="0.35">
      <c r="E322" s="5" t="s">
        <v>97</v>
      </c>
    </row>
    <row r="323" spans="5:5" x14ac:dyDescent="0.35">
      <c r="E323" s="5" t="s">
        <v>96</v>
      </c>
    </row>
    <row r="324" spans="5:5" x14ac:dyDescent="0.35">
      <c r="E324" s="5" t="s">
        <v>95</v>
      </c>
    </row>
  </sheetData>
  <sortState xmlns:xlrd2="http://schemas.microsoft.com/office/spreadsheetml/2017/richdata2" ref="S9:V54">
    <sortCondition ref="S9:S54"/>
  </sortState>
  <hyperlinks>
    <hyperlink ref="N11" r:id="rId2" display="mailto:jay@caldwellcares.com" xr:uid="{F1F63076-F20B-4289-A2DC-9830CCF9A4EE}"/>
    <hyperlink ref="N33" r:id="rId3" display="mailto:michellemallett@ottinsurance.com" xr:uid="{029ABD90-2616-4131-9675-8BF9B09938C8}"/>
    <hyperlink ref="N24" r:id="rId4" display="mailto:westhepestdetective@gmail.com" xr:uid="{6B99A0CA-6C7D-4473-97B6-7930FB90D1ED}"/>
    <hyperlink ref="N15" r:id="rId5" display="mailto:ryan@rockcityoutfitters.com" xr:uid="{124E488F-F2BF-4E88-B5D5-43039E0018E4}"/>
    <hyperlink ref="N32" r:id="rId6" display="mailto:cpledger@trinitydevelopmentinc.com" xr:uid="{91DB7F27-C0D6-469B-B557-937FA422169C}"/>
    <hyperlink ref="N26" r:id="rId7" display="mailto:adam@cousinsfurniture.com" xr:uid="{9C0951CE-6BBF-4C09-BB95-0A0EB2AEEB0E}"/>
    <hyperlink ref="N23" r:id="rId8" display="mailto:idismuke@wacotitle.com" xr:uid="{F2B735D2-03F8-49CB-BE9C-99A583B2F5A4}"/>
    <hyperlink ref="N31" r:id="rId9" display="mailto:cwinter.westport@conwaycorp.net" xr:uid="{0948FD79-13F3-49AE-80F2-1BFB5445712D}"/>
    <hyperlink ref="N39" r:id="rId10" display="mailto:alexanderlynbusiness@gmail.com" xr:uid="{CF1439EF-BA1B-476C-BCE3-497480BC6947}"/>
    <hyperlink ref="N46" r:id="rId11" display="mailto:greg@customglass501.com" xr:uid="{DACBDC7A-E794-4C54-B32A-C70A61A30AFC}"/>
    <hyperlink ref="N47" r:id="rId12" display="mailto:scott@excap.com" xr:uid="{6B5156D9-1A87-4CF6-81EE-A4F6E4AA83C4}"/>
    <hyperlink ref="N49" r:id="rId13" display="mailto:joey.tanthaphengsai@verizonwireless.com" xr:uid="{80CFDDC5-8BA2-4251-B208-973AE3859CEE}"/>
    <hyperlink ref="N54" r:id="rId14" display="mailto:bcardin@prolandtitle.com" xr:uid="{7283E1E7-F577-4200-BDC5-3AC9716BB74C}"/>
    <hyperlink ref="N58" r:id="rId15" display="mailto:belinda.boyd@apmarkansas.net" xr:uid="{806738D4-AE6C-4512-B994-C8CDF043D538}"/>
    <hyperlink ref="N63" r:id="rId16" display="mailto:belinda.boyd@apmarkansas.net" xr:uid="{8D25B740-0626-4816-A0BF-3514EA315DAE}"/>
    <hyperlink ref="N37" r:id="rId17" display="mailto:zack@windowdepotar.com" xr:uid="{9A5FDA18-6276-4633-932A-AF5648A0DC5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BAD03-341F-4F2F-BF55-7CDE183694A2}">
  <sheetPr>
    <pageSetUpPr fitToPage="1"/>
  </sheetPr>
  <dimension ref="A1:Q318"/>
  <sheetViews>
    <sheetView workbookViewId="0">
      <pane ySplit="8" topLeftCell="A101" activePane="bottomLeft" state="frozen"/>
      <selection pane="bottomLeft" activeCell="D121" sqref="D121"/>
    </sheetView>
  </sheetViews>
  <sheetFormatPr defaultColWidth="43.453125" defaultRowHeight="14.5" x14ac:dyDescent="0.35"/>
  <cols>
    <col min="1" max="1" width="43.453125" style="23"/>
    <col min="2" max="2" width="21.7265625" style="23" bestFit="1" customWidth="1"/>
    <col min="3" max="3" width="11.1796875" style="23" bestFit="1" customWidth="1"/>
    <col min="4" max="4" width="15.81640625" style="23" bestFit="1" customWidth="1"/>
    <col min="5" max="5" width="8.7265625" style="23" bestFit="1" customWidth="1"/>
    <col min="6" max="6" width="11.1796875" style="23" bestFit="1" customWidth="1"/>
    <col min="7" max="7" width="54" style="23" bestFit="1" customWidth="1"/>
    <col min="8" max="8" width="16.26953125" style="148" bestFit="1" customWidth="1"/>
    <col min="9" max="9" width="10.1796875" bestFit="1" customWidth="1"/>
    <col min="10" max="10" width="10.26953125" style="23" bestFit="1" customWidth="1"/>
    <col min="11" max="11" width="14.453125" style="23" bestFit="1" customWidth="1"/>
    <col min="12" max="12" width="30.453125" style="23" customWidth="1"/>
    <col min="13" max="13" width="7.54296875" style="23" bestFit="1" customWidth="1"/>
    <col min="14" max="14" width="43.1796875" style="23" bestFit="1" customWidth="1"/>
    <col min="15" max="15" width="13.453125" style="23" customWidth="1"/>
    <col min="16" max="16" width="11" style="23" bestFit="1" customWidth="1"/>
    <col min="17" max="17" width="10.1796875" style="23" bestFit="1" customWidth="1"/>
    <col min="18" max="16384" width="43.453125" style="23"/>
  </cols>
  <sheetData>
    <row r="1" spans="1:17" x14ac:dyDescent="0.35">
      <c r="A1" s="22" t="s">
        <v>1130</v>
      </c>
      <c r="B1" s="14">
        <v>2025</v>
      </c>
    </row>
    <row r="2" spans="1:17" x14ac:dyDescent="0.35">
      <c r="A2" s="24" t="s">
        <v>1</v>
      </c>
      <c r="B2" s="7">
        <f>SUM(D9:D117)</f>
        <v>171850</v>
      </c>
      <c r="K2" s="149" t="s">
        <v>2</v>
      </c>
    </row>
    <row r="3" spans="1:17" x14ac:dyDescent="0.35">
      <c r="A3" s="24" t="s">
        <v>3</v>
      </c>
      <c r="B3" s="7">
        <v>173000</v>
      </c>
      <c r="K3" s="7">
        <f>MIN(K119-B2)</f>
        <v>-3350</v>
      </c>
    </row>
    <row r="4" spans="1:17" x14ac:dyDescent="0.35">
      <c r="A4" s="24" t="s">
        <v>4</v>
      </c>
      <c r="B4" s="7">
        <f>MIN(B2-B3)</f>
        <v>-1150</v>
      </c>
      <c r="K4" s="42">
        <f>K119/B2</f>
        <v>0.98050625545533898</v>
      </c>
    </row>
    <row r="5" spans="1:17" x14ac:dyDescent="0.35">
      <c r="A5" s="24" t="s">
        <v>5</v>
      </c>
      <c r="B5" s="7">
        <v>173000</v>
      </c>
    </row>
    <row r="6" spans="1:17" x14ac:dyDescent="0.35">
      <c r="A6" s="24" t="s">
        <v>4</v>
      </c>
      <c r="B6" s="7">
        <f>MIN(B2-B5)</f>
        <v>-1150</v>
      </c>
    </row>
    <row r="8" spans="1:17" x14ac:dyDescent="0.35">
      <c r="A8" s="150" t="s">
        <v>6</v>
      </c>
      <c r="B8" s="150" t="s">
        <v>1131</v>
      </c>
      <c r="C8" s="150" t="s">
        <v>8</v>
      </c>
      <c r="D8" s="150" t="s">
        <v>9</v>
      </c>
      <c r="E8" s="150" t="s">
        <v>10</v>
      </c>
      <c r="F8" s="150" t="s">
        <v>11</v>
      </c>
      <c r="G8" s="150" t="s">
        <v>12</v>
      </c>
      <c r="H8" s="151" t="s">
        <v>13</v>
      </c>
      <c r="I8" s="150" t="s">
        <v>14</v>
      </c>
      <c r="J8" s="150" t="s">
        <v>15</v>
      </c>
      <c r="K8" s="150" t="s">
        <v>16</v>
      </c>
      <c r="L8" s="150" t="s">
        <v>17</v>
      </c>
      <c r="M8" s="150" t="s">
        <v>18</v>
      </c>
      <c r="N8" s="150" t="s">
        <v>19</v>
      </c>
      <c r="P8" s="152" t="s">
        <v>10</v>
      </c>
      <c r="Q8" s="152" t="s">
        <v>20</v>
      </c>
    </row>
    <row r="9" spans="1:17" ht="29" x14ac:dyDescent="0.35">
      <c r="A9" s="153" t="s">
        <v>31</v>
      </c>
      <c r="B9" s="153" t="s">
        <v>1132</v>
      </c>
      <c r="C9" s="170">
        <v>3000</v>
      </c>
      <c r="D9" s="10">
        <v>3000</v>
      </c>
      <c r="E9" s="27" t="s">
        <v>37</v>
      </c>
      <c r="F9" s="27" t="s">
        <v>33</v>
      </c>
      <c r="G9" s="27"/>
      <c r="H9" s="154"/>
      <c r="I9" s="34"/>
      <c r="J9" s="195" t="s">
        <v>107</v>
      </c>
      <c r="K9" s="10">
        <v>3000</v>
      </c>
      <c r="L9" s="27" t="s">
        <v>35</v>
      </c>
      <c r="M9" s="27"/>
      <c r="N9" s="155" t="s">
        <v>36</v>
      </c>
      <c r="P9" s="156" t="s">
        <v>24</v>
      </c>
      <c r="Q9" s="27">
        <v>21500</v>
      </c>
    </row>
    <row r="10" spans="1:17" x14ac:dyDescent="0.35">
      <c r="A10" s="153" t="s">
        <v>1133</v>
      </c>
      <c r="B10" s="153" t="s">
        <v>1134</v>
      </c>
      <c r="C10" s="170">
        <v>1500</v>
      </c>
      <c r="D10" s="10"/>
      <c r="E10" s="27"/>
      <c r="F10" s="27"/>
      <c r="G10" s="27"/>
      <c r="H10" s="154"/>
      <c r="I10" s="34"/>
      <c r="J10" s="195"/>
      <c r="K10" s="10"/>
      <c r="L10" s="27"/>
      <c r="M10" s="27"/>
      <c r="N10" s="27"/>
      <c r="P10" s="156" t="s">
        <v>37</v>
      </c>
      <c r="Q10" s="27">
        <v>37350</v>
      </c>
    </row>
    <row r="11" spans="1:17" x14ac:dyDescent="0.35">
      <c r="A11" s="153" t="s">
        <v>108</v>
      </c>
      <c r="B11" s="153" t="s">
        <v>1134</v>
      </c>
      <c r="C11" s="170">
        <v>1500</v>
      </c>
      <c r="D11" s="10">
        <v>1500</v>
      </c>
      <c r="E11" s="27" t="s">
        <v>96</v>
      </c>
      <c r="F11" s="27" t="s">
        <v>318</v>
      </c>
      <c r="G11" s="27"/>
      <c r="H11" s="157" t="s">
        <v>27</v>
      </c>
      <c r="I11" s="34"/>
      <c r="J11" s="195" t="s">
        <v>319</v>
      </c>
      <c r="K11" s="10">
        <v>1500</v>
      </c>
      <c r="L11" s="27" t="s">
        <v>1135</v>
      </c>
      <c r="M11" s="27"/>
      <c r="N11" s="27" t="s">
        <v>1136</v>
      </c>
      <c r="P11" s="156" t="s">
        <v>47</v>
      </c>
      <c r="Q11" s="27"/>
    </row>
    <row r="12" spans="1:17" x14ac:dyDescent="0.35">
      <c r="A12" s="153" t="s">
        <v>1137</v>
      </c>
      <c r="B12" s="153" t="s">
        <v>1132</v>
      </c>
      <c r="C12" s="170">
        <v>3000</v>
      </c>
      <c r="D12" s="10">
        <v>3000</v>
      </c>
      <c r="E12" s="27" t="s">
        <v>37</v>
      </c>
      <c r="F12" s="27" t="s">
        <v>347</v>
      </c>
      <c r="G12" s="27"/>
      <c r="H12" s="94" t="s">
        <v>27</v>
      </c>
      <c r="I12" s="34"/>
      <c r="J12" s="195" t="s">
        <v>407</v>
      </c>
      <c r="K12" s="10">
        <v>3000</v>
      </c>
      <c r="L12" s="27" t="s">
        <v>257</v>
      </c>
      <c r="M12" s="27"/>
      <c r="N12" s="155" t="s">
        <v>258</v>
      </c>
      <c r="P12" s="156" t="s">
        <v>50</v>
      </c>
      <c r="Q12" s="27">
        <v>6000</v>
      </c>
    </row>
    <row r="13" spans="1:17" x14ac:dyDescent="0.35">
      <c r="A13" s="27" t="s">
        <v>129</v>
      </c>
      <c r="B13" s="27" t="s">
        <v>1134</v>
      </c>
      <c r="C13" s="170">
        <v>1500</v>
      </c>
      <c r="D13" s="10">
        <v>1500</v>
      </c>
      <c r="E13" s="27" t="s">
        <v>90</v>
      </c>
      <c r="F13" s="27" t="s">
        <v>658</v>
      </c>
      <c r="G13" s="27"/>
      <c r="H13" s="154"/>
      <c r="I13" s="34"/>
      <c r="J13" s="195" t="s">
        <v>658</v>
      </c>
      <c r="K13" s="10">
        <v>1500</v>
      </c>
      <c r="L13" s="27"/>
      <c r="M13" s="27"/>
      <c r="N13" s="27"/>
      <c r="P13" s="156" t="s">
        <v>56</v>
      </c>
      <c r="Q13" s="27">
        <v>7500</v>
      </c>
    </row>
    <row r="14" spans="1:17" x14ac:dyDescent="0.35">
      <c r="A14" s="153" t="s">
        <v>634</v>
      </c>
      <c r="B14" s="153" t="s">
        <v>1134</v>
      </c>
      <c r="C14" s="170">
        <v>1500</v>
      </c>
      <c r="D14" s="10">
        <v>1500</v>
      </c>
      <c r="E14" s="27" t="s">
        <v>92</v>
      </c>
      <c r="F14" s="27" t="s">
        <v>83</v>
      </c>
      <c r="G14" s="27"/>
      <c r="H14" s="154"/>
      <c r="I14" s="34"/>
      <c r="J14" s="195" t="s">
        <v>83</v>
      </c>
      <c r="K14" s="10">
        <v>1500</v>
      </c>
      <c r="L14" s="27"/>
      <c r="M14" s="27"/>
      <c r="N14" s="27"/>
      <c r="P14" s="156" t="s">
        <v>62</v>
      </c>
      <c r="Q14" s="27"/>
    </row>
    <row r="15" spans="1:17" x14ac:dyDescent="0.35">
      <c r="A15" s="27" t="s">
        <v>293</v>
      </c>
      <c r="B15" s="27" t="s">
        <v>1134</v>
      </c>
      <c r="C15" s="170">
        <v>1500</v>
      </c>
      <c r="D15" s="10">
        <v>1500</v>
      </c>
      <c r="E15" s="27" t="s">
        <v>90</v>
      </c>
      <c r="F15" s="27" t="s">
        <v>290</v>
      </c>
      <c r="G15" s="27"/>
      <c r="H15" s="154"/>
      <c r="I15" s="34"/>
      <c r="J15" s="195">
        <v>45919</v>
      </c>
      <c r="K15" s="10">
        <v>1500</v>
      </c>
      <c r="L15" s="27" t="s">
        <v>1138</v>
      </c>
      <c r="M15" s="27"/>
      <c r="N15" s="92" t="s">
        <v>1139</v>
      </c>
      <c r="P15" s="156" t="s">
        <v>68</v>
      </c>
      <c r="Q15" s="27"/>
    </row>
    <row r="16" spans="1:17" x14ac:dyDescent="0.35">
      <c r="A16" s="153" t="s">
        <v>1140</v>
      </c>
      <c r="B16" s="153" t="s">
        <v>1132</v>
      </c>
      <c r="C16" s="170">
        <v>3000</v>
      </c>
      <c r="D16" s="10">
        <v>1500</v>
      </c>
      <c r="E16" s="27" t="s">
        <v>86</v>
      </c>
      <c r="F16" s="27" t="s">
        <v>142</v>
      </c>
      <c r="G16" s="27"/>
      <c r="H16" s="154"/>
      <c r="I16" s="34"/>
      <c r="J16" s="195" t="s">
        <v>477</v>
      </c>
      <c r="K16" s="10">
        <v>1500</v>
      </c>
      <c r="L16" s="27" t="s">
        <v>144</v>
      </c>
      <c r="M16" s="27"/>
      <c r="N16" s="27"/>
      <c r="P16" s="156" t="s">
        <v>76</v>
      </c>
      <c r="Q16" s="27">
        <v>1500</v>
      </c>
    </row>
    <row r="17" spans="1:17" x14ac:dyDescent="0.35">
      <c r="A17" s="27" t="s">
        <v>137</v>
      </c>
      <c r="B17" s="27" t="s">
        <v>1134</v>
      </c>
      <c r="C17" s="170">
        <v>1500</v>
      </c>
      <c r="D17" s="10">
        <v>1500</v>
      </c>
      <c r="E17" s="27" t="s">
        <v>96</v>
      </c>
      <c r="F17" s="27" t="s">
        <v>25</v>
      </c>
      <c r="G17" s="27"/>
      <c r="H17" s="154"/>
      <c r="I17" s="34"/>
      <c r="J17" s="195" t="s">
        <v>1141</v>
      </c>
      <c r="K17" s="10">
        <v>1500</v>
      </c>
      <c r="L17" s="27" t="s">
        <v>382</v>
      </c>
      <c r="M17" s="27"/>
      <c r="N17" s="155" t="s">
        <v>581</v>
      </c>
      <c r="P17" s="156" t="s">
        <v>81</v>
      </c>
      <c r="Q17" s="27"/>
    </row>
    <row r="18" spans="1:17" x14ac:dyDescent="0.35">
      <c r="A18" s="153" t="s">
        <v>457</v>
      </c>
      <c r="B18" s="153" t="s">
        <v>1134</v>
      </c>
      <c r="C18" s="170">
        <v>1500</v>
      </c>
      <c r="D18" s="10">
        <v>1350</v>
      </c>
      <c r="E18" s="27" t="s">
        <v>37</v>
      </c>
      <c r="F18" s="27" t="s">
        <v>25</v>
      </c>
      <c r="G18" s="27"/>
      <c r="H18" s="157" t="s">
        <v>27</v>
      </c>
      <c r="I18" s="34"/>
      <c r="J18" s="195" t="s">
        <v>458</v>
      </c>
      <c r="K18" s="10">
        <v>1350</v>
      </c>
      <c r="L18" s="27" t="s">
        <v>459</v>
      </c>
      <c r="M18" s="27"/>
      <c r="N18" s="27" t="s">
        <v>460</v>
      </c>
      <c r="P18" s="156" t="s">
        <v>86</v>
      </c>
      <c r="Q18" s="27">
        <v>7500</v>
      </c>
    </row>
    <row r="19" spans="1:17" x14ac:dyDescent="0.35">
      <c r="A19" s="153" t="s">
        <v>1142</v>
      </c>
      <c r="B19" s="153" t="s">
        <v>1134</v>
      </c>
      <c r="C19" s="170">
        <v>1500</v>
      </c>
      <c r="D19" s="10">
        <v>1500</v>
      </c>
      <c r="E19" s="27"/>
      <c r="F19" s="27"/>
      <c r="G19" s="27"/>
      <c r="H19" s="154"/>
      <c r="I19" s="34"/>
      <c r="J19" s="195" t="s">
        <v>1143</v>
      </c>
      <c r="K19" s="10">
        <v>1500</v>
      </c>
      <c r="L19" s="27"/>
      <c r="M19" s="27"/>
      <c r="N19" s="27"/>
      <c r="P19" s="156" t="s">
        <v>90</v>
      </c>
      <c r="Q19" s="27">
        <v>12000</v>
      </c>
    </row>
    <row r="20" spans="1:17" x14ac:dyDescent="0.35">
      <c r="A20" s="153" t="s">
        <v>265</v>
      </c>
      <c r="B20" s="153" t="s">
        <v>1134</v>
      </c>
      <c r="C20" s="170">
        <v>1500</v>
      </c>
      <c r="D20" s="10">
        <v>1500</v>
      </c>
      <c r="E20" s="27" t="s">
        <v>96</v>
      </c>
      <c r="F20" s="27" t="s">
        <v>215</v>
      </c>
      <c r="G20" s="27"/>
      <c r="H20" s="154"/>
      <c r="I20" s="34"/>
      <c r="J20" s="195" t="s">
        <v>1141</v>
      </c>
      <c r="K20" s="10">
        <v>1500</v>
      </c>
      <c r="L20" s="27" t="s">
        <v>1144</v>
      </c>
      <c r="M20" s="27"/>
      <c r="N20" s="155" t="s">
        <v>1145</v>
      </c>
      <c r="P20" s="156" t="s">
        <v>91</v>
      </c>
      <c r="Q20" s="27"/>
    </row>
    <row r="21" spans="1:17" x14ac:dyDescent="0.35">
      <c r="A21" s="153" t="s">
        <v>140</v>
      </c>
      <c r="B21" s="153" t="s">
        <v>1132</v>
      </c>
      <c r="C21" s="170">
        <v>3000</v>
      </c>
      <c r="D21" s="10">
        <v>3000</v>
      </c>
      <c r="E21" s="27"/>
      <c r="F21" s="27"/>
      <c r="G21" s="27"/>
      <c r="H21" s="154"/>
      <c r="I21" s="34"/>
      <c r="J21" s="195">
        <v>45923</v>
      </c>
      <c r="K21" s="10">
        <v>3000</v>
      </c>
      <c r="L21" s="27"/>
      <c r="M21" s="27"/>
      <c r="N21" s="27"/>
      <c r="P21" s="156" t="s">
        <v>92</v>
      </c>
      <c r="Q21" s="27">
        <v>1500</v>
      </c>
    </row>
    <row r="22" spans="1:17" x14ac:dyDescent="0.35">
      <c r="A22" s="153" t="s">
        <v>338</v>
      </c>
      <c r="B22" s="153" t="s">
        <v>1134</v>
      </c>
      <c r="C22" s="170">
        <v>1500</v>
      </c>
      <c r="D22" s="10">
        <v>1500</v>
      </c>
      <c r="E22" s="27" t="s">
        <v>96</v>
      </c>
      <c r="F22" s="27" t="s">
        <v>103</v>
      </c>
      <c r="G22" s="27"/>
      <c r="H22" s="154"/>
      <c r="I22" s="34"/>
      <c r="J22" s="195" t="s">
        <v>651</v>
      </c>
      <c r="K22" s="10">
        <v>1500</v>
      </c>
      <c r="L22" s="27" t="s">
        <v>1146</v>
      </c>
      <c r="M22" s="27"/>
      <c r="N22" s="27" t="s">
        <v>1147</v>
      </c>
      <c r="P22" s="156" t="s">
        <v>93</v>
      </c>
      <c r="Q22" s="27">
        <v>7500</v>
      </c>
    </row>
    <row r="23" spans="1:17" x14ac:dyDescent="0.35">
      <c r="A23" s="153" t="s">
        <v>170</v>
      </c>
      <c r="B23" s="153" t="s">
        <v>1134</v>
      </c>
      <c r="C23" s="170">
        <v>1500</v>
      </c>
      <c r="D23" s="10">
        <v>1500</v>
      </c>
      <c r="E23" s="27" t="s">
        <v>37</v>
      </c>
      <c r="F23" s="27" t="s">
        <v>227</v>
      </c>
      <c r="G23" s="27"/>
      <c r="H23" s="154"/>
      <c r="I23" s="34"/>
      <c r="J23" s="195">
        <v>45943</v>
      </c>
      <c r="K23" s="10">
        <v>1500</v>
      </c>
      <c r="L23" s="27" t="s">
        <v>1148</v>
      </c>
      <c r="M23" s="27"/>
      <c r="N23" s="155" t="s">
        <v>1149</v>
      </c>
      <c r="P23" s="156" t="s">
        <v>94</v>
      </c>
      <c r="Q23" s="27"/>
    </row>
    <row r="24" spans="1:17" x14ac:dyDescent="0.35">
      <c r="A24" s="153" t="s">
        <v>175</v>
      </c>
      <c r="B24" s="153" t="s">
        <v>1134</v>
      </c>
      <c r="C24" s="170">
        <v>1500</v>
      </c>
      <c r="D24" s="10">
        <v>1500</v>
      </c>
      <c r="E24" s="27" t="s">
        <v>96</v>
      </c>
      <c r="F24" s="27" t="s">
        <v>1070</v>
      </c>
      <c r="G24" s="27"/>
      <c r="H24" s="154"/>
      <c r="I24" s="34"/>
      <c r="J24" s="195" t="s">
        <v>421</v>
      </c>
      <c r="K24" s="10">
        <v>1500</v>
      </c>
      <c r="L24" s="27" t="s">
        <v>1072</v>
      </c>
      <c r="M24" s="27"/>
      <c r="N24" s="155" t="s">
        <v>1073</v>
      </c>
      <c r="P24" s="156" t="s">
        <v>95</v>
      </c>
      <c r="Q24" s="27">
        <v>10500</v>
      </c>
    </row>
    <row r="25" spans="1:17" x14ac:dyDescent="0.35">
      <c r="A25" s="153"/>
      <c r="B25" s="153" t="s">
        <v>1134</v>
      </c>
      <c r="C25" s="170">
        <v>1500</v>
      </c>
      <c r="D25" s="10"/>
      <c r="E25" s="27"/>
      <c r="F25" s="27"/>
      <c r="G25" s="27"/>
      <c r="H25" s="154"/>
      <c r="I25" s="34"/>
      <c r="J25" s="195"/>
      <c r="K25" s="10"/>
      <c r="L25" s="27"/>
      <c r="M25" s="27"/>
      <c r="N25" s="27"/>
      <c r="P25" s="156" t="s">
        <v>96</v>
      </c>
      <c r="Q25" s="27">
        <v>31500</v>
      </c>
    </row>
    <row r="26" spans="1:17" ht="72.5" x14ac:dyDescent="0.35">
      <c r="A26" s="27" t="s">
        <v>176</v>
      </c>
      <c r="B26" s="27" t="s">
        <v>1132</v>
      </c>
      <c r="C26" s="10">
        <v>3000</v>
      </c>
      <c r="D26" s="10">
        <v>3000</v>
      </c>
      <c r="E26" s="27" t="s">
        <v>56</v>
      </c>
      <c r="F26" s="27"/>
      <c r="G26" s="27" t="s">
        <v>177</v>
      </c>
      <c r="H26" s="154"/>
      <c r="I26" s="34"/>
      <c r="J26" s="195" t="s">
        <v>128</v>
      </c>
      <c r="K26" s="10">
        <v>3000</v>
      </c>
      <c r="L26" s="27" t="s">
        <v>178</v>
      </c>
      <c r="M26" s="27"/>
      <c r="N26" s="87" t="s">
        <v>179</v>
      </c>
      <c r="P26" s="156" t="s">
        <v>97</v>
      </c>
      <c r="Q26" s="27">
        <v>5000</v>
      </c>
    </row>
    <row r="27" spans="1:17" x14ac:dyDescent="0.35">
      <c r="A27" s="153" t="s">
        <v>193</v>
      </c>
      <c r="B27" s="153" t="s">
        <v>1134</v>
      </c>
      <c r="C27" s="170">
        <v>1500</v>
      </c>
      <c r="D27" s="10">
        <v>1500</v>
      </c>
      <c r="E27" s="27" t="s">
        <v>24</v>
      </c>
      <c r="F27" s="27"/>
      <c r="G27" s="27"/>
      <c r="H27" s="154"/>
      <c r="I27" s="34"/>
      <c r="J27" s="195" t="s">
        <v>115</v>
      </c>
      <c r="K27" s="10">
        <v>1500</v>
      </c>
      <c r="L27" s="27"/>
      <c r="M27" s="27"/>
      <c r="N27" s="27"/>
      <c r="P27" s="156" t="s">
        <v>98</v>
      </c>
      <c r="Q27" s="27">
        <v>13500</v>
      </c>
    </row>
    <row r="28" spans="1:17" x14ac:dyDescent="0.35">
      <c r="A28" s="27" t="s">
        <v>198</v>
      </c>
      <c r="B28" s="27" t="s">
        <v>1134</v>
      </c>
      <c r="C28" s="170">
        <v>1500</v>
      </c>
      <c r="D28" s="10">
        <v>1500</v>
      </c>
      <c r="E28" s="27" t="s">
        <v>96</v>
      </c>
      <c r="F28" s="27" t="s">
        <v>142</v>
      </c>
      <c r="G28" s="27"/>
      <c r="H28" s="154"/>
      <c r="I28" s="34"/>
      <c r="J28" s="195" t="s">
        <v>244</v>
      </c>
      <c r="K28" s="10">
        <v>1500</v>
      </c>
      <c r="L28" s="27" t="s">
        <v>240</v>
      </c>
      <c r="M28" s="27"/>
      <c r="N28" s="155" t="s">
        <v>241</v>
      </c>
      <c r="P28" s="159" t="s">
        <v>99</v>
      </c>
      <c r="Q28" s="152">
        <v>162850</v>
      </c>
    </row>
    <row r="29" spans="1:17" x14ac:dyDescent="0.35">
      <c r="A29" s="153"/>
      <c r="B29" s="153" t="s">
        <v>1134</v>
      </c>
      <c r="C29" s="170">
        <v>1500</v>
      </c>
      <c r="D29" s="10"/>
      <c r="E29" s="27"/>
      <c r="F29" s="27"/>
      <c r="G29" s="27"/>
      <c r="H29" s="154"/>
      <c r="I29" s="34"/>
      <c r="J29" s="195"/>
      <c r="K29" s="10"/>
      <c r="L29" s="27"/>
      <c r="M29" s="27"/>
      <c r="N29" s="27"/>
    </row>
    <row r="30" spans="1:17" x14ac:dyDescent="0.35">
      <c r="A30" s="153" t="s">
        <v>1150</v>
      </c>
      <c r="B30" s="153" t="s">
        <v>1134</v>
      </c>
      <c r="C30" s="170">
        <v>1500</v>
      </c>
      <c r="D30" s="10">
        <v>1500</v>
      </c>
      <c r="E30" s="27" t="s">
        <v>96</v>
      </c>
      <c r="F30" s="27" t="s">
        <v>418</v>
      </c>
      <c r="G30" s="27"/>
      <c r="H30" s="154"/>
      <c r="I30" s="34"/>
      <c r="J30" s="195" t="s">
        <v>446</v>
      </c>
      <c r="K30" s="10">
        <v>1500</v>
      </c>
      <c r="L30" s="27" t="s">
        <v>447</v>
      </c>
      <c r="M30" s="27"/>
      <c r="N30" s="92" t="s">
        <v>1151</v>
      </c>
    </row>
    <row r="31" spans="1:17" x14ac:dyDescent="0.35">
      <c r="A31" s="153" t="s">
        <v>38</v>
      </c>
      <c r="B31" s="153" t="s">
        <v>1152</v>
      </c>
      <c r="C31" s="170">
        <v>100000</v>
      </c>
      <c r="D31" s="10">
        <v>0</v>
      </c>
      <c r="E31" s="27"/>
      <c r="F31" s="27"/>
      <c r="G31" s="27" t="s">
        <v>1153</v>
      </c>
      <c r="H31" s="154"/>
      <c r="I31" s="34"/>
      <c r="J31" s="195"/>
      <c r="K31" s="10">
        <v>0</v>
      </c>
      <c r="L31" s="27" t="s">
        <v>1154</v>
      </c>
      <c r="M31" s="27"/>
      <c r="N31" s="27"/>
    </row>
    <row r="32" spans="1:17" ht="29" x14ac:dyDescent="0.35">
      <c r="A32" s="153" t="s">
        <v>48</v>
      </c>
      <c r="B32" s="153" t="s">
        <v>1132</v>
      </c>
      <c r="C32" s="170">
        <v>3000</v>
      </c>
      <c r="D32" s="10">
        <v>3000</v>
      </c>
      <c r="E32" s="27" t="s">
        <v>24</v>
      </c>
      <c r="F32" s="27" t="s">
        <v>64</v>
      </c>
      <c r="G32" s="27"/>
      <c r="H32" s="154"/>
      <c r="I32" s="34"/>
      <c r="J32" s="195" t="s">
        <v>115</v>
      </c>
      <c r="K32" s="10">
        <v>3000</v>
      </c>
      <c r="L32" s="27" t="s">
        <v>1155</v>
      </c>
      <c r="M32" s="27"/>
      <c r="N32" s="27" t="s">
        <v>1156</v>
      </c>
    </row>
    <row r="33" spans="1:14" x14ac:dyDescent="0.35">
      <c r="A33" s="23" t="s">
        <v>218</v>
      </c>
      <c r="B33" s="23" t="s">
        <v>1134</v>
      </c>
      <c r="C33" s="23">
        <v>1500</v>
      </c>
      <c r="D33" s="23">
        <v>1500</v>
      </c>
      <c r="E33" s="23" t="s">
        <v>24</v>
      </c>
      <c r="K33" s="23">
        <v>1500</v>
      </c>
    </row>
    <row r="34" spans="1:14" ht="29" x14ac:dyDescent="0.35">
      <c r="A34" s="153" t="s">
        <v>1157</v>
      </c>
      <c r="B34" s="153" t="s">
        <v>1134</v>
      </c>
      <c r="C34" s="170">
        <v>1500</v>
      </c>
      <c r="D34" s="10">
        <v>1500</v>
      </c>
      <c r="E34" s="27" t="s">
        <v>37</v>
      </c>
      <c r="F34" s="27" t="s">
        <v>287</v>
      </c>
      <c r="G34" s="27"/>
      <c r="H34" s="154"/>
      <c r="I34" s="34"/>
      <c r="J34" s="195">
        <v>45831</v>
      </c>
      <c r="K34" s="10">
        <v>1500</v>
      </c>
      <c r="L34" s="27" t="s">
        <v>1158</v>
      </c>
      <c r="M34" s="27"/>
      <c r="N34" s="27" t="s">
        <v>1159</v>
      </c>
    </row>
    <row r="35" spans="1:14" x14ac:dyDescent="0.35">
      <c r="A35" s="153" t="s">
        <v>226</v>
      </c>
      <c r="B35" s="153" t="s">
        <v>1134</v>
      </c>
      <c r="C35" s="170">
        <v>1500</v>
      </c>
      <c r="D35" s="10">
        <v>1500</v>
      </c>
      <c r="E35" s="27" t="s">
        <v>37</v>
      </c>
      <c r="F35" s="27" t="s">
        <v>107</v>
      </c>
      <c r="G35" s="27"/>
      <c r="H35" s="154"/>
      <c r="I35" s="34"/>
      <c r="J35" s="195" t="s">
        <v>107</v>
      </c>
      <c r="K35" s="10">
        <v>1500</v>
      </c>
      <c r="L35" s="27"/>
      <c r="M35" s="27"/>
      <c r="N35" s="27"/>
    </row>
    <row r="36" spans="1:14" x14ac:dyDescent="0.35">
      <c r="A36" s="153" t="s">
        <v>51</v>
      </c>
      <c r="B36" s="153" t="s">
        <v>1134</v>
      </c>
      <c r="C36" s="170">
        <v>1500</v>
      </c>
      <c r="D36" s="10">
        <v>1500</v>
      </c>
      <c r="E36" s="27" t="s">
        <v>37</v>
      </c>
      <c r="F36" s="27" t="s">
        <v>78</v>
      </c>
      <c r="G36" s="27"/>
      <c r="H36" s="157" t="s">
        <v>27</v>
      </c>
      <c r="I36" s="34"/>
      <c r="J36" s="195">
        <v>45944</v>
      </c>
      <c r="K36" s="10">
        <v>1500</v>
      </c>
      <c r="L36" s="27" t="s">
        <v>79</v>
      </c>
      <c r="M36" s="27"/>
      <c r="N36" s="27" t="s">
        <v>80</v>
      </c>
    </row>
    <row r="37" spans="1:14" x14ac:dyDescent="0.35">
      <c r="A37" s="153" t="s">
        <v>239</v>
      </c>
      <c r="B37" s="153" t="s">
        <v>1134</v>
      </c>
      <c r="C37" s="170">
        <v>1500</v>
      </c>
      <c r="D37" s="10"/>
      <c r="E37" s="27"/>
      <c r="F37" s="27"/>
      <c r="G37" s="27"/>
      <c r="H37" s="154"/>
      <c r="I37" s="34"/>
      <c r="J37" s="195"/>
      <c r="K37" s="10"/>
      <c r="L37" s="27"/>
      <c r="M37" s="27"/>
      <c r="N37" s="27"/>
    </row>
    <row r="38" spans="1:14" x14ac:dyDescent="0.35">
      <c r="A38" s="153" t="s">
        <v>835</v>
      </c>
      <c r="B38" s="153" t="s">
        <v>1134</v>
      </c>
      <c r="C38" s="170">
        <v>1500</v>
      </c>
      <c r="D38" s="10"/>
      <c r="E38" s="27"/>
      <c r="F38" s="27"/>
      <c r="G38" s="27"/>
      <c r="H38" s="154"/>
      <c r="I38" s="34"/>
      <c r="J38" s="195"/>
      <c r="K38" s="10"/>
      <c r="L38" s="27"/>
      <c r="M38" s="27"/>
      <c r="N38" s="27"/>
    </row>
    <row r="39" spans="1:14" x14ac:dyDescent="0.35">
      <c r="A39" s="153" t="s">
        <v>242</v>
      </c>
      <c r="B39" s="153" t="s">
        <v>1134</v>
      </c>
      <c r="C39" s="170">
        <v>1500</v>
      </c>
      <c r="D39" s="10">
        <v>1500</v>
      </c>
      <c r="E39" s="27" t="s">
        <v>86</v>
      </c>
      <c r="F39" s="27" t="s">
        <v>25</v>
      </c>
      <c r="G39" s="27"/>
      <c r="H39" s="154"/>
      <c r="I39" s="34"/>
      <c r="J39" s="195"/>
      <c r="K39" s="10"/>
      <c r="L39" s="27" t="s">
        <v>463</v>
      </c>
      <c r="M39" s="27"/>
      <c r="N39" s="158" t="s">
        <v>464</v>
      </c>
    </row>
    <row r="40" spans="1:14" x14ac:dyDescent="0.35">
      <c r="A40" s="27" t="s">
        <v>260</v>
      </c>
      <c r="B40" s="27" t="s">
        <v>1134</v>
      </c>
      <c r="C40" s="170">
        <v>1500</v>
      </c>
      <c r="D40" s="10">
        <v>1500</v>
      </c>
      <c r="E40" s="27" t="s">
        <v>50</v>
      </c>
      <c r="F40" s="27" t="s">
        <v>261</v>
      </c>
      <c r="G40" s="27"/>
      <c r="H40" s="157" t="s">
        <v>27</v>
      </c>
      <c r="I40" s="34"/>
      <c r="J40" s="195" t="s">
        <v>83</v>
      </c>
      <c r="K40" s="10">
        <v>1500</v>
      </c>
      <c r="L40" s="27" t="s">
        <v>262</v>
      </c>
      <c r="M40" s="27"/>
      <c r="N40" s="27" t="s">
        <v>263</v>
      </c>
    </row>
    <row r="41" spans="1:14" x14ac:dyDescent="0.35">
      <c r="A41" s="27" t="s">
        <v>1160</v>
      </c>
      <c r="B41" s="27" t="s">
        <v>1134</v>
      </c>
      <c r="C41" s="170">
        <v>1500</v>
      </c>
      <c r="D41" s="10"/>
      <c r="E41" s="27"/>
      <c r="F41" s="27"/>
      <c r="G41" s="27"/>
      <c r="H41" s="154"/>
      <c r="I41" s="34"/>
      <c r="J41" s="195"/>
      <c r="K41" s="10"/>
      <c r="L41" s="27"/>
      <c r="M41" s="27"/>
      <c r="N41" s="27"/>
    </row>
    <row r="42" spans="1:14" x14ac:dyDescent="0.35">
      <c r="A42" s="153" t="s">
        <v>1161</v>
      </c>
      <c r="B42" s="153" t="s">
        <v>1132</v>
      </c>
      <c r="C42" s="170">
        <v>3000</v>
      </c>
      <c r="D42" s="10">
        <v>3000</v>
      </c>
      <c r="E42" s="27" t="s">
        <v>24</v>
      </c>
      <c r="F42" s="27" t="s">
        <v>147</v>
      </c>
      <c r="G42" s="27"/>
      <c r="H42" s="154"/>
      <c r="I42" s="34"/>
      <c r="J42" s="195">
        <v>45733</v>
      </c>
      <c r="K42" s="10">
        <v>3000</v>
      </c>
      <c r="L42" s="27" t="s">
        <v>245</v>
      </c>
      <c r="M42" s="27"/>
      <c r="N42" s="27" t="s">
        <v>246</v>
      </c>
    </row>
    <row r="43" spans="1:14" x14ac:dyDescent="0.35">
      <c r="A43" s="153" t="s">
        <v>130</v>
      </c>
      <c r="B43" s="153" t="s">
        <v>1134</v>
      </c>
      <c r="C43" s="170">
        <v>1500</v>
      </c>
      <c r="D43" s="10">
        <v>1500</v>
      </c>
      <c r="E43" s="27" t="s">
        <v>50</v>
      </c>
      <c r="F43" s="27" t="s">
        <v>244</v>
      </c>
      <c r="G43" s="27"/>
      <c r="H43" s="154"/>
      <c r="I43" s="34"/>
      <c r="J43" s="195" t="s">
        <v>244</v>
      </c>
      <c r="K43" s="10">
        <v>1500</v>
      </c>
      <c r="L43" s="27" t="s">
        <v>512</v>
      </c>
      <c r="M43" s="27"/>
      <c r="N43" s="27" t="s">
        <v>513</v>
      </c>
    </row>
    <row r="44" spans="1:14" x14ac:dyDescent="0.35">
      <c r="A44" s="153" t="s">
        <v>259</v>
      </c>
      <c r="B44" s="153" t="s">
        <v>1134</v>
      </c>
      <c r="C44" s="170">
        <v>1500</v>
      </c>
      <c r="D44" s="10">
        <v>1500</v>
      </c>
      <c r="E44" s="27" t="s">
        <v>96</v>
      </c>
      <c r="F44" s="27" t="s">
        <v>1162</v>
      </c>
      <c r="G44" s="27"/>
      <c r="H44" s="157" t="s">
        <v>27</v>
      </c>
      <c r="I44" s="34"/>
      <c r="J44" s="195">
        <v>45954</v>
      </c>
      <c r="K44" s="10">
        <v>1500</v>
      </c>
      <c r="L44" s="27" t="s">
        <v>105</v>
      </c>
      <c r="M44" s="27"/>
      <c r="N44" s="155" t="s">
        <v>1163</v>
      </c>
    </row>
    <row r="45" spans="1:14" x14ac:dyDescent="0.35">
      <c r="A45" s="153" t="s">
        <v>1164</v>
      </c>
      <c r="B45" s="153" t="s">
        <v>1134</v>
      </c>
      <c r="C45" s="170">
        <v>1500</v>
      </c>
      <c r="D45" s="10">
        <v>1500</v>
      </c>
      <c r="E45" s="27" t="s">
        <v>96</v>
      </c>
      <c r="F45" s="27" t="s">
        <v>125</v>
      </c>
      <c r="G45" s="27"/>
      <c r="H45" s="154"/>
      <c r="I45" s="34"/>
      <c r="J45" s="195" t="s">
        <v>125</v>
      </c>
      <c r="K45" s="10">
        <v>1500</v>
      </c>
      <c r="L45" s="27"/>
      <c r="M45" s="27"/>
      <c r="N45" s="27"/>
    </row>
    <row r="46" spans="1:14" x14ac:dyDescent="0.35">
      <c r="A46" s="153" t="s">
        <v>273</v>
      </c>
      <c r="B46" s="153" t="s">
        <v>1134</v>
      </c>
      <c r="C46" s="170">
        <v>1500</v>
      </c>
      <c r="D46" s="10"/>
      <c r="E46" s="27"/>
      <c r="F46" s="27"/>
      <c r="G46" s="27"/>
      <c r="H46" s="154"/>
      <c r="I46" s="34"/>
      <c r="J46" s="195"/>
      <c r="K46" s="10"/>
      <c r="L46" s="27"/>
      <c r="M46" s="27"/>
      <c r="N46" s="27"/>
    </row>
    <row r="47" spans="1:14" ht="43.5" x14ac:dyDescent="0.35">
      <c r="A47" s="153" t="s">
        <v>276</v>
      </c>
      <c r="B47" s="153" t="s">
        <v>1134</v>
      </c>
      <c r="C47" s="170">
        <v>1500</v>
      </c>
      <c r="D47" s="10">
        <v>1500</v>
      </c>
      <c r="E47" s="27" t="s">
        <v>76</v>
      </c>
      <c r="F47" s="27" t="s">
        <v>492</v>
      </c>
      <c r="G47" s="27"/>
      <c r="H47" s="154"/>
      <c r="I47" s="34"/>
      <c r="J47" s="195" t="s">
        <v>418</v>
      </c>
      <c r="K47" s="10">
        <v>1500</v>
      </c>
      <c r="L47" s="27" t="s">
        <v>278</v>
      </c>
      <c r="M47" s="27"/>
      <c r="N47" s="27" t="s">
        <v>294</v>
      </c>
    </row>
    <row r="48" spans="1:14" x14ac:dyDescent="0.35">
      <c r="A48" s="153" t="s">
        <v>1165</v>
      </c>
      <c r="B48" s="153" t="s">
        <v>1134</v>
      </c>
      <c r="C48" s="170">
        <v>1500</v>
      </c>
      <c r="D48" s="10">
        <v>1500</v>
      </c>
      <c r="E48" s="27"/>
      <c r="F48" s="27"/>
      <c r="G48" s="27"/>
      <c r="H48" s="154"/>
      <c r="I48" s="34"/>
      <c r="J48" s="195" t="s">
        <v>418</v>
      </c>
      <c r="K48" s="10">
        <v>1500</v>
      </c>
      <c r="L48" s="27"/>
      <c r="M48" s="27"/>
      <c r="N48" s="27"/>
    </row>
    <row r="49" spans="1:14" x14ac:dyDescent="0.35">
      <c r="A49" s="153" t="s">
        <v>285</v>
      </c>
      <c r="B49" s="153" t="s">
        <v>1132</v>
      </c>
      <c r="C49" s="170">
        <v>3000</v>
      </c>
      <c r="D49" s="10">
        <v>1500</v>
      </c>
      <c r="E49" s="27" t="s">
        <v>95</v>
      </c>
      <c r="F49" s="27" t="s">
        <v>303</v>
      </c>
      <c r="G49" s="27"/>
      <c r="H49" s="160" t="s">
        <v>27</v>
      </c>
      <c r="I49" s="34"/>
      <c r="J49" s="195" t="s">
        <v>304</v>
      </c>
      <c r="K49" s="10">
        <v>1500</v>
      </c>
      <c r="L49" s="27" t="s">
        <v>1166</v>
      </c>
      <c r="M49" s="27"/>
      <c r="N49" s="27" t="s">
        <v>1167</v>
      </c>
    </row>
    <row r="50" spans="1:14" ht="29" x14ac:dyDescent="0.35">
      <c r="A50" s="153" t="s">
        <v>288</v>
      </c>
      <c r="B50" s="153" t="s">
        <v>1134</v>
      </c>
      <c r="C50" s="170">
        <v>1500</v>
      </c>
      <c r="D50" s="10">
        <v>1500</v>
      </c>
      <c r="E50" s="27" t="s">
        <v>37</v>
      </c>
      <c r="F50" s="27"/>
      <c r="G50" s="27"/>
      <c r="H50" s="154"/>
      <c r="I50" s="34"/>
      <c r="J50" s="195" t="s">
        <v>299</v>
      </c>
      <c r="K50" s="10">
        <v>1500</v>
      </c>
      <c r="L50" s="9" t="s">
        <v>827</v>
      </c>
      <c r="M50" s="9"/>
      <c r="N50" s="87" t="s">
        <v>828</v>
      </c>
    </row>
    <row r="51" spans="1:14" x14ac:dyDescent="0.35">
      <c r="A51" s="153" t="s">
        <v>110</v>
      </c>
      <c r="B51" s="153" t="s">
        <v>1152</v>
      </c>
      <c r="C51" s="170">
        <v>5000</v>
      </c>
      <c r="D51" s="10">
        <v>5000</v>
      </c>
      <c r="E51" s="27" t="s">
        <v>24</v>
      </c>
      <c r="F51" s="27"/>
      <c r="G51" s="27" t="s">
        <v>1168</v>
      </c>
      <c r="H51" s="154"/>
      <c r="I51" s="34"/>
      <c r="J51" s="195" t="s">
        <v>1169</v>
      </c>
      <c r="K51" s="10">
        <v>2500</v>
      </c>
      <c r="L51" s="27"/>
      <c r="M51" s="27"/>
      <c r="N51" s="27"/>
    </row>
    <row r="52" spans="1:14" x14ac:dyDescent="0.35">
      <c r="A52" s="28"/>
      <c r="B52" s="28"/>
      <c r="C52" s="28"/>
      <c r="D52" s="28"/>
      <c r="E52" s="28"/>
      <c r="F52" s="28"/>
      <c r="G52" s="28"/>
      <c r="H52" s="235"/>
      <c r="I52" s="33"/>
      <c r="J52" s="267" t="s">
        <v>1115</v>
      </c>
      <c r="K52" s="23">
        <v>2500</v>
      </c>
      <c r="L52" s="28"/>
      <c r="M52" s="28"/>
      <c r="N52" s="28"/>
    </row>
    <row r="53" spans="1:14" ht="29" x14ac:dyDescent="0.35">
      <c r="A53" s="153" t="s">
        <v>248</v>
      </c>
      <c r="B53" s="153" t="s">
        <v>1132</v>
      </c>
      <c r="C53" s="170">
        <v>3000</v>
      </c>
      <c r="D53" s="10">
        <v>3000</v>
      </c>
      <c r="E53" s="27" t="s">
        <v>24</v>
      </c>
      <c r="F53" s="27" t="s">
        <v>147</v>
      </c>
      <c r="G53" s="27"/>
      <c r="H53" s="154"/>
      <c r="I53" s="34"/>
      <c r="J53" s="195">
        <v>45947</v>
      </c>
      <c r="K53" s="10">
        <v>3000</v>
      </c>
      <c r="L53" s="27" t="s">
        <v>249</v>
      </c>
      <c r="M53" s="27"/>
      <c r="N53" s="27" t="s">
        <v>250</v>
      </c>
    </row>
    <row r="54" spans="1:14" x14ac:dyDescent="0.35">
      <c r="A54" s="153" t="s">
        <v>298</v>
      </c>
      <c r="B54" s="153" t="s">
        <v>1134</v>
      </c>
      <c r="C54" s="170">
        <v>1500</v>
      </c>
      <c r="D54" s="10">
        <v>1500</v>
      </c>
      <c r="E54" s="27" t="s">
        <v>37</v>
      </c>
      <c r="F54" s="27" t="s">
        <v>25</v>
      </c>
      <c r="G54" s="27"/>
      <c r="H54" s="154"/>
      <c r="I54" s="34"/>
      <c r="J54" s="195">
        <v>45908</v>
      </c>
      <c r="K54" s="10">
        <v>1500</v>
      </c>
      <c r="L54" s="27" t="s">
        <v>461</v>
      </c>
      <c r="M54" s="27"/>
      <c r="N54" s="27" t="s">
        <v>462</v>
      </c>
    </row>
    <row r="55" spans="1:14" x14ac:dyDescent="0.35">
      <c r="A55" s="27" t="s">
        <v>1170</v>
      </c>
      <c r="B55" s="27" t="s">
        <v>1134</v>
      </c>
      <c r="C55" s="10">
        <v>1500</v>
      </c>
      <c r="D55" s="10">
        <v>1500</v>
      </c>
      <c r="E55" s="27" t="s">
        <v>93</v>
      </c>
      <c r="F55" s="27" t="s">
        <v>771</v>
      </c>
      <c r="G55" s="27"/>
      <c r="H55" s="157" t="s">
        <v>27</v>
      </c>
      <c r="I55" s="34"/>
      <c r="J55" s="195">
        <v>45908</v>
      </c>
      <c r="K55" s="27">
        <f>892+608</f>
        <v>1500</v>
      </c>
      <c r="L55" s="27" t="s">
        <v>1171</v>
      </c>
      <c r="M55" s="27"/>
      <c r="N55" s="101" t="s">
        <v>1172</v>
      </c>
    </row>
    <row r="56" spans="1:14" x14ac:dyDescent="0.35">
      <c r="A56" s="153" t="s">
        <v>160</v>
      </c>
      <c r="B56" s="153" t="s">
        <v>1132</v>
      </c>
      <c r="C56" s="170">
        <v>3000</v>
      </c>
      <c r="D56" s="10">
        <v>3000</v>
      </c>
      <c r="E56" s="27" t="s">
        <v>86</v>
      </c>
      <c r="F56" s="27" t="s">
        <v>161</v>
      </c>
      <c r="G56" s="27"/>
      <c r="H56" s="154"/>
      <c r="I56" s="34"/>
      <c r="J56" s="195" t="s">
        <v>418</v>
      </c>
      <c r="K56" s="10">
        <v>3000</v>
      </c>
      <c r="L56" s="27" t="s">
        <v>163</v>
      </c>
      <c r="M56" s="27"/>
      <c r="N56" s="155" t="s">
        <v>164</v>
      </c>
    </row>
    <row r="57" spans="1:14" x14ac:dyDescent="0.35">
      <c r="A57" s="153" t="s">
        <v>57</v>
      </c>
      <c r="B57" s="153" t="s">
        <v>1134</v>
      </c>
      <c r="C57" s="170">
        <v>1500</v>
      </c>
      <c r="D57" s="10">
        <v>1500</v>
      </c>
      <c r="E57" s="27" t="s">
        <v>37</v>
      </c>
      <c r="F57" s="27" t="s">
        <v>58</v>
      </c>
      <c r="G57" s="27"/>
      <c r="H57" s="157" t="s">
        <v>27</v>
      </c>
      <c r="I57" s="34"/>
      <c r="J57" s="195" t="s">
        <v>136</v>
      </c>
      <c r="K57" s="10">
        <v>1500</v>
      </c>
      <c r="L57" s="27" t="s">
        <v>60</v>
      </c>
      <c r="M57" s="27"/>
      <c r="N57" s="27" t="s">
        <v>61</v>
      </c>
    </row>
    <row r="58" spans="1:14" x14ac:dyDescent="0.35">
      <c r="A58" s="153" t="s">
        <v>313</v>
      </c>
      <c r="B58" s="153" t="s">
        <v>1134</v>
      </c>
      <c r="C58" s="170">
        <v>1500</v>
      </c>
      <c r="D58" s="10">
        <v>1500</v>
      </c>
      <c r="E58" s="27" t="s">
        <v>96</v>
      </c>
      <c r="F58" s="27" t="s">
        <v>643</v>
      </c>
      <c r="G58" s="27"/>
      <c r="H58" s="157" t="s">
        <v>27</v>
      </c>
      <c r="I58" s="34"/>
      <c r="J58" s="195" t="s">
        <v>290</v>
      </c>
      <c r="K58" s="10">
        <v>1500</v>
      </c>
      <c r="L58" s="27" t="s">
        <v>1173</v>
      </c>
      <c r="M58" s="27"/>
      <c r="N58" s="27" t="s">
        <v>1174</v>
      </c>
    </row>
    <row r="59" spans="1:14" x14ac:dyDescent="0.35">
      <c r="A59" s="27" t="s">
        <v>406</v>
      </c>
      <c r="B59" s="27" t="s">
        <v>1134</v>
      </c>
      <c r="C59" s="170">
        <v>1500</v>
      </c>
      <c r="D59" s="10">
        <v>1500</v>
      </c>
      <c r="E59" s="27" t="s">
        <v>96</v>
      </c>
      <c r="F59" s="27" t="s">
        <v>88</v>
      </c>
      <c r="G59" s="27"/>
      <c r="H59" s="154"/>
      <c r="I59" s="34"/>
      <c r="J59" s="195" t="s">
        <v>162</v>
      </c>
      <c r="K59" s="10">
        <v>1500</v>
      </c>
      <c r="L59" s="27" t="s">
        <v>405</v>
      </c>
      <c r="M59" s="27"/>
      <c r="N59" s="27"/>
    </row>
    <row r="60" spans="1:14" x14ac:dyDescent="0.35">
      <c r="A60" s="27" t="s">
        <v>1175</v>
      </c>
      <c r="B60" s="27" t="s">
        <v>1134</v>
      </c>
      <c r="C60" s="27">
        <v>1500</v>
      </c>
      <c r="D60" s="27">
        <v>1500</v>
      </c>
      <c r="E60" s="27" t="s">
        <v>56</v>
      </c>
      <c r="F60" s="27" t="s">
        <v>1176</v>
      </c>
      <c r="G60" s="27" t="s">
        <v>1177</v>
      </c>
      <c r="H60" s="154"/>
      <c r="I60" s="34"/>
      <c r="J60" s="195">
        <v>45926</v>
      </c>
      <c r="K60" s="27">
        <v>1500</v>
      </c>
      <c r="L60" s="27" t="s">
        <v>1178</v>
      </c>
      <c r="M60" s="27"/>
      <c r="N60" s="101" t="s">
        <v>1179</v>
      </c>
    </row>
    <row r="61" spans="1:14" x14ac:dyDescent="0.35">
      <c r="A61" s="153" t="s">
        <v>1180</v>
      </c>
      <c r="B61" s="153" t="s">
        <v>1134</v>
      </c>
      <c r="C61" s="170">
        <v>1500</v>
      </c>
      <c r="D61" s="10">
        <v>1500</v>
      </c>
      <c r="E61" s="27" t="s">
        <v>93</v>
      </c>
      <c r="F61" s="27" t="s">
        <v>208</v>
      </c>
      <c r="G61" s="27"/>
      <c r="H61" s="154"/>
      <c r="I61" s="34"/>
      <c r="J61" s="195">
        <v>45880</v>
      </c>
      <c r="K61" s="10">
        <v>1500</v>
      </c>
      <c r="L61" s="27" t="s">
        <v>797</v>
      </c>
      <c r="M61" s="27"/>
      <c r="N61" s="92" t="s">
        <v>798</v>
      </c>
    </row>
    <row r="62" spans="1:14" x14ac:dyDescent="0.35">
      <c r="A62" s="27" t="s">
        <v>1181</v>
      </c>
      <c r="B62" s="27" t="s">
        <v>1134</v>
      </c>
      <c r="C62" s="170">
        <v>1500</v>
      </c>
      <c r="D62" s="10">
        <v>1500</v>
      </c>
      <c r="E62" s="27"/>
      <c r="F62" s="27" t="s">
        <v>107</v>
      </c>
      <c r="G62" s="27"/>
      <c r="H62" s="154"/>
      <c r="I62" s="34"/>
      <c r="J62" s="195" t="s">
        <v>107</v>
      </c>
      <c r="K62" s="10">
        <v>1500</v>
      </c>
      <c r="L62" s="27"/>
      <c r="M62" s="27"/>
      <c r="N62" s="27"/>
    </row>
    <row r="63" spans="1:14" x14ac:dyDescent="0.35">
      <c r="A63" s="153" t="s">
        <v>1182</v>
      </c>
      <c r="B63" s="153" t="s">
        <v>1134</v>
      </c>
      <c r="C63" s="170">
        <v>1500</v>
      </c>
      <c r="D63" s="10">
        <v>1500</v>
      </c>
      <c r="E63" s="27" t="s">
        <v>90</v>
      </c>
      <c r="F63" s="27" t="s">
        <v>1183</v>
      </c>
      <c r="G63" s="27"/>
      <c r="H63" s="154"/>
      <c r="I63" s="34"/>
      <c r="J63" s="195" t="s">
        <v>224</v>
      </c>
      <c r="K63" s="10">
        <v>1500</v>
      </c>
      <c r="L63" s="27" t="s">
        <v>1184</v>
      </c>
      <c r="M63" s="27"/>
      <c r="N63" s="27" t="s">
        <v>1185</v>
      </c>
    </row>
    <row r="64" spans="1:14" ht="29" x14ac:dyDescent="0.35">
      <c r="A64" s="153" t="s">
        <v>329</v>
      </c>
      <c r="B64" s="153" t="s">
        <v>1134</v>
      </c>
      <c r="C64" s="170">
        <v>1500</v>
      </c>
      <c r="D64" s="10">
        <v>1500</v>
      </c>
      <c r="E64" s="27" t="s">
        <v>95</v>
      </c>
      <c r="F64" s="27" t="s">
        <v>353</v>
      </c>
      <c r="G64" s="27"/>
      <c r="H64" s="157" t="s">
        <v>27</v>
      </c>
      <c r="I64" s="34"/>
      <c r="J64" s="195" t="s">
        <v>143</v>
      </c>
      <c r="K64" s="10">
        <v>1500</v>
      </c>
      <c r="L64" s="27" t="s">
        <v>371</v>
      </c>
      <c r="M64" s="27"/>
      <c r="N64" s="155" t="s">
        <v>372</v>
      </c>
    </row>
    <row r="65" spans="1:14" ht="29" x14ac:dyDescent="0.35">
      <c r="A65" s="153" t="s">
        <v>194</v>
      </c>
      <c r="B65" s="153" t="s">
        <v>1132</v>
      </c>
      <c r="C65" s="170">
        <v>3000</v>
      </c>
      <c r="D65" s="10">
        <v>3000</v>
      </c>
      <c r="E65" s="27" t="s">
        <v>56</v>
      </c>
      <c r="F65" s="27" t="s">
        <v>195</v>
      </c>
      <c r="G65" s="27"/>
      <c r="H65" s="157" t="s">
        <v>27</v>
      </c>
      <c r="I65" s="34"/>
      <c r="J65" s="195" t="s">
        <v>25</v>
      </c>
      <c r="K65" s="10">
        <v>3000</v>
      </c>
      <c r="L65" s="27" t="s">
        <v>196</v>
      </c>
      <c r="M65" s="27"/>
      <c r="N65" s="27" t="s">
        <v>197</v>
      </c>
    </row>
    <row r="66" spans="1:14" x14ac:dyDescent="0.35">
      <c r="A66" s="153" t="s">
        <v>1186</v>
      </c>
      <c r="B66" s="153" t="s">
        <v>1134</v>
      </c>
      <c r="C66" s="170">
        <v>1500</v>
      </c>
      <c r="D66" s="10">
        <v>1500</v>
      </c>
      <c r="E66" s="27"/>
      <c r="F66" s="27"/>
      <c r="G66" s="27"/>
      <c r="H66" s="154"/>
      <c r="I66" s="34"/>
      <c r="J66" s="195" t="s">
        <v>1187</v>
      </c>
      <c r="K66" s="10">
        <v>1500</v>
      </c>
      <c r="L66" s="27"/>
      <c r="M66" s="27"/>
      <c r="N66" s="27"/>
    </row>
    <row r="67" spans="1:14" x14ac:dyDescent="0.35">
      <c r="A67" s="153" t="s">
        <v>1188</v>
      </c>
      <c r="B67" s="153" t="s">
        <v>1134</v>
      </c>
      <c r="C67" s="170">
        <v>1500</v>
      </c>
      <c r="D67" s="10">
        <v>1500</v>
      </c>
      <c r="E67" s="27"/>
      <c r="F67" s="27"/>
      <c r="G67" s="27"/>
      <c r="H67" s="154"/>
      <c r="I67" s="34"/>
      <c r="J67" s="195">
        <v>45917</v>
      </c>
      <c r="K67" s="10">
        <v>1500</v>
      </c>
      <c r="L67" s="27"/>
      <c r="M67" s="27"/>
      <c r="N67" s="27"/>
    </row>
    <row r="68" spans="1:14" x14ac:dyDescent="0.35">
      <c r="A68" s="153" t="s">
        <v>1189</v>
      </c>
      <c r="B68" s="153" t="s">
        <v>1134</v>
      </c>
      <c r="C68" s="170">
        <v>1500</v>
      </c>
      <c r="D68" s="10">
        <v>1500</v>
      </c>
      <c r="E68" s="27"/>
      <c r="F68" s="27"/>
      <c r="G68" s="27"/>
      <c r="H68" s="154"/>
      <c r="I68" s="34"/>
      <c r="J68" s="195">
        <v>45925</v>
      </c>
      <c r="K68" s="10">
        <v>1500</v>
      </c>
      <c r="L68" s="27"/>
      <c r="M68" s="27"/>
      <c r="N68" s="27"/>
    </row>
    <row r="69" spans="1:14" x14ac:dyDescent="0.35">
      <c r="A69" s="27" t="s">
        <v>1190</v>
      </c>
      <c r="B69" s="27" t="s">
        <v>1134</v>
      </c>
      <c r="C69" s="27">
        <v>1500</v>
      </c>
      <c r="D69" s="27">
        <v>0</v>
      </c>
      <c r="E69" s="27"/>
      <c r="F69" s="27"/>
      <c r="G69" s="27" t="s">
        <v>1191</v>
      </c>
      <c r="H69" s="154"/>
      <c r="I69" s="34"/>
      <c r="J69" s="27"/>
      <c r="K69" s="27"/>
      <c r="L69" s="27"/>
      <c r="M69" s="27"/>
      <c r="N69" s="27"/>
    </row>
    <row r="70" spans="1:14" x14ac:dyDescent="0.35">
      <c r="A70" s="153" t="s">
        <v>1192</v>
      </c>
      <c r="B70" s="153" t="s">
        <v>1134</v>
      </c>
      <c r="C70" s="170">
        <v>1500</v>
      </c>
      <c r="D70" s="10">
        <v>1500</v>
      </c>
      <c r="E70" s="27" t="s">
        <v>96</v>
      </c>
      <c r="F70" s="27" t="s">
        <v>656</v>
      </c>
      <c r="G70" s="27"/>
      <c r="H70" s="154"/>
      <c r="I70" s="34"/>
      <c r="J70" s="195" t="s">
        <v>656</v>
      </c>
      <c r="K70" s="10">
        <v>1500</v>
      </c>
      <c r="L70" s="27"/>
      <c r="M70" s="27"/>
      <c r="N70" s="27"/>
    </row>
    <row r="71" spans="1:14" x14ac:dyDescent="0.35">
      <c r="A71" s="153" t="s">
        <v>1193</v>
      </c>
      <c r="B71" s="153" t="s">
        <v>1132</v>
      </c>
      <c r="C71" s="170">
        <v>3000</v>
      </c>
      <c r="D71" s="10">
        <v>3000</v>
      </c>
      <c r="E71" s="27" t="s">
        <v>37</v>
      </c>
      <c r="F71" s="27"/>
      <c r="G71" s="27"/>
      <c r="H71" s="154"/>
      <c r="I71" s="34"/>
      <c r="J71" s="195" t="s">
        <v>172</v>
      </c>
      <c r="K71" s="10">
        <v>3000</v>
      </c>
      <c r="L71" s="27"/>
      <c r="M71" s="27"/>
      <c r="N71" s="27"/>
    </row>
    <row r="72" spans="1:14" x14ac:dyDescent="0.35">
      <c r="A72" s="153" t="s">
        <v>279</v>
      </c>
      <c r="B72" s="153" t="s">
        <v>1134</v>
      </c>
      <c r="C72" s="170">
        <v>1500</v>
      </c>
      <c r="D72" s="10">
        <v>1500</v>
      </c>
      <c r="E72" s="27" t="s">
        <v>37</v>
      </c>
      <c r="F72" s="27" t="s">
        <v>418</v>
      </c>
      <c r="G72" s="27"/>
      <c r="H72" s="154"/>
      <c r="I72" s="34"/>
      <c r="J72" s="195" t="s">
        <v>172</v>
      </c>
      <c r="K72" s="10">
        <v>1500</v>
      </c>
      <c r="L72" s="27" t="s">
        <v>283</v>
      </c>
      <c r="M72" s="27"/>
      <c r="N72" s="27" t="s">
        <v>284</v>
      </c>
    </row>
    <row r="73" spans="1:14" x14ac:dyDescent="0.35">
      <c r="A73" s="153" t="s">
        <v>152</v>
      </c>
      <c r="B73" s="153" t="s">
        <v>1134</v>
      </c>
      <c r="C73" s="170">
        <v>1500</v>
      </c>
      <c r="D73" s="10">
        <v>1500</v>
      </c>
      <c r="E73" s="27" t="s">
        <v>96</v>
      </c>
      <c r="F73" s="27" t="s">
        <v>153</v>
      </c>
      <c r="G73" s="27"/>
      <c r="H73" s="157" t="s">
        <v>27</v>
      </c>
      <c r="I73" s="34"/>
      <c r="J73" s="195" t="s">
        <v>1194</v>
      </c>
      <c r="K73" s="10">
        <v>1500</v>
      </c>
      <c r="L73" s="27" t="s">
        <v>155</v>
      </c>
      <c r="M73" s="27"/>
      <c r="N73" s="155" t="s">
        <v>156</v>
      </c>
    </row>
    <row r="74" spans="1:14" x14ac:dyDescent="0.35">
      <c r="A74" s="153" t="s">
        <v>1195</v>
      </c>
      <c r="B74" s="153" t="s">
        <v>1134</v>
      </c>
      <c r="C74" s="170">
        <v>1500</v>
      </c>
      <c r="D74" s="10">
        <v>1500</v>
      </c>
      <c r="E74" s="27"/>
      <c r="F74" s="27"/>
      <c r="G74" s="27"/>
      <c r="H74" s="154"/>
      <c r="I74" s="34"/>
      <c r="J74" s="195" t="s">
        <v>128</v>
      </c>
      <c r="K74" s="10">
        <v>1500</v>
      </c>
      <c r="L74" s="27"/>
      <c r="M74" s="27"/>
      <c r="N74" s="27"/>
    </row>
    <row r="75" spans="1:14" x14ac:dyDescent="0.35">
      <c r="A75" s="153" t="s">
        <v>1196</v>
      </c>
      <c r="B75" s="153" t="s">
        <v>1134</v>
      </c>
      <c r="C75" s="170">
        <v>1500</v>
      </c>
      <c r="D75" s="10">
        <v>1500</v>
      </c>
      <c r="E75" s="27"/>
      <c r="F75" s="27"/>
      <c r="G75" s="27"/>
      <c r="H75" s="154"/>
      <c r="I75" s="34"/>
      <c r="J75" s="195" t="s">
        <v>125</v>
      </c>
      <c r="K75" s="10">
        <v>1500</v>
      </c>
      <c r="L75" s="27"/>
      <c r="M75" s="27"/>
    </row>
    <row r="76" spans="1:14" x14ac:dyDescent="0.35">
      <c r="A76" s="153" t="s">
        <v>841</v>
      </c>
      <c r="B76" s="153" t="s">
        <v>1134</v>
      </c>
      <c r="C76" s="170">
        <v>1500</v>
      </c>
      <c r="D76" s="10">
        <v>1500</v>
      </c>
      <c r="E76" s="27" t="s">
        <v>90</v>
      </c>
      <c r="F76" s="27" t="s">
        <v>121</v>
      </c>
      <c r="G76" s="27"/>
      <c r="H76" s="154"/>
      <c r="I76" s="34"/>
      <c r="J76" s="195">
        <v>45919</v>
      </c>
      <c r="K76" s="10">
        <v>1500</v>
      </c>
      <c r="L76" s="27" t="s">
        <v>844</v>
      </c>
      <c r="M76" s="27"/>
      <c r="N76" s="81" t="s">
        <v>845</v>
      </c>
    </row>
    <row r="77" spans="1:14" x14ac:dyDescent="0.35">
      <c r="A77" s="153" t="s">
        <v>200</v>
      </c>
      <c r="B77" s="153" t="s">
        <v>1134</v>
      </c>
      <c r="C77" s="170">
        <v>1500</v>
      </c>
      <c r="D77" s="10">
        <v>1500</v>
      </c>
      <c r="E77" s="27" t="s">
        <v>90</v>
      </c>
      <c r="F77" s="27" t="s">
        <v>202</v>
      </c>
      <c r="G77" s="27"/>
      <c r="H77" s="154"/>
      <c r="I77" s="34"/>
      <c r="J77" s="195">
        <v>45950</v>
      </c>
      <c r="K77" s="10">
        <v>1500</v>
      </c>
      <c r="L77" s="27"/>
      <c r="M77" s="27"/>
      <c r="N77" s="27"/>
    </row>
    <row r="78" spans="1:14" x14ac:dyDescent="0.35">
      <c r="A78" s="153" t="s">
        <v>1197</v>
      </c>
      <c r="B78" s="153" t="s">
        <v>1134</v>
      </c>
      <c r="C78" s="170">
        <v>1500</v>
      </c>
      <c r="D78" s="10">
        <v>1500</v>
      </c>
      <c r="E78" s="27"/>
      <c r="F78" s="27"/>
      <c r="G78" s="27"/>
      <c r="H78" s="154"/>
      <c r="I78" s="34"/>
      <c r="J78" s="195">
        <v>45846</v>
      </c>
      <c r="K78" s="10">
        <v>1500</v>
      </c>
      <c r="L78" s="27"/>
      <c r="M78" s="27"/>
      <c r="N78" s="27"/>
    </row>
    <row r="79" spans="1:14" x14ac:dyDescent="0.35">
      <c r="A79" s="153" t="s">
        <v>363</v>
      </c>
      <c r="B79" s="153" t="s">
        <v>1134</v>
      </c>
      <c r="C79" s="170">
        <v>1500</v>
      </c>
      <c r="D79" s="10">
        <v>1500</v>
      </c>
      <c r="E79" s="27" t="s">
        <v>96</v>
      </c>
      <c r="F79" s="27" t="s">
        <v>161</v>
      </c>
      <c r="G79" s="27"/>
      <c r="H79" s="154"/>
      <c r="I79" s="34"/>
      <c r="J79" s="195" t="s">
        <v>651</v>
      </c>
      <c r="K79" s="10">
        <v>1500</v>
      </c>
      <c r="L79" s="27" t="s">
        <v>1198</v>
      </c>
      <c r="M79" s="27"/>
      <c r="N79" s="27" t="s">
        <v>1199</v>
      </c>
    </row>
    <row r="80" spans="1:14" x14ac:dyDescent="0.35">
      <c r="A80" s="27" t="s">
        <v>677</v>
      </c>
      <c r="B80" s="27" t="s">
        <v>1134</v>
      </c>
      <c r="C80" s="170">
        <v>1500</v>
      </c>
      <c r="D80" s="10">
        <v>1500</v>
      </c>
      <c r="E80" s="27" t="s">
        <v>95</v>
      </c>
      <c r="F80" s="27" t="s">
        <v>143</v>
      </c>
      <c r="G80" s="27"/>
      <c r="H80" s="154"/>
      <c r="I80" s="34"/>
      <c r="J80" s="195" t="s">
        <v>143</v>
      </c>
      <c r="K80" s="10">
        <v>1500</v>
      </c>
      <c r="L80" s="27"/>
      <c r="M80" s="27"/>
      <c r="N80" s="27"/>
    </row>
    <row r="81" spans="1:14" x14ac:dyDescent="0.35">
      <c r="A81" s="27" t="s">
        <v>1200</v>
      </c>
      <c r="B81" s="27" t="s">
        <v>1134</v>
      </c>
      <c r="C81" s="10">
        <v>1500</v>
      </c>
      <c r="D81" s="10">
        <v>1500</v>
      </c>
      <c r="E81" s="27" t="s">
        <v>90</v>
      </c>
      <c r="F81" s="27" t="s">
        <v>1201</v>
      </c>
      <c r="G81" s="27"/>
      <c r="H81" s="154"/>
      <c r="I81" s="34"/>
      <c r="J81" s="195">
        <v>45916</v>
      </c>
      <c r="K81" s="27">
        <v>1500</v>
      </c>
      <c r="L81" s="27" t="s">
        <v>1202</v>
      </c>
      <c r="M81" s="27"/>
      <c r="N81" s="92" t="s">
        <v>1203</v>
      </c>
    </row>
    <row r="82" spans="1:14" x14ac:dyDescent="0.35">
      <c r="A82" s="153" t="s">
        <v>1204</v>
      </c>
      <c r="B82" s="153" t="s">
        <v>1134</v>
      </c>
      <c r="C82" s="170">
        <v>1500</v>
      </c>
      <c r="D82" s="10"/>
      <c r="E82" s="27"/>
      <c r="F82" s="27"/>
      <c r="G82" s="27"/>
      <c r="H82" s="154"/>
      <c r="I82" s="34"/>
      <c r="J82" s="195"/>
      <c r="K82" s="10"/>
      <c r="L82" s="27"/>
      <c r="M82" s="27"/>
      <c r="N82" s="27"/>
    </row>
    <row r="83" spans="1:14" x14ac:dyDescent="0.35">
      <c r="A83" s="153" t="s">
        <v>1205</v>
      </c>
      <c r="B83" s="153" t="s">
        <v>1134</v>
      </c>
      <c r="C83" s="170">
        <v>1500</v>
      </c>
      <c r="D83" s="113" t="s">
        <v>842</v>
      </c>
      <c r="E83" s="27"/>
      <c r="F83" s="27"/>
      <c r="G83" s="27"/>
      <c r="H83" s="154"/>
      <c r="I83" s="34"/>
      <c r="J83" s="195"/>
      <c r="K83" s="10"/>
      <c r="L83" s="27"/>
      <c r="M83" s="27"/>
      <c r="N83" s="27"/>
    </row>
    <row r="84" spans="1:14" x14ac:dyDescent="0.35">
      <c r="A84" s="153" t="s">
        <v>662</v>
      </c>
      <c r="B84" s="153" t="s">
        <v>1134</v>
      </c>
      <c r="C84" s="170">
        <v>1500</v>
      </c>
      <c r="D84" s="10">
        <v>1500</v>
      </c>
      <c r="E84" s="27" t="s">
        <v>93</v>
      </c>
      <c r="F84" s="27" t="s">
        <v>418</v>
      </c>
      <c r="G84" s="27"/>
      <c r="H84" s="154"/>
      <c r="I84" s="34"/>
      <c r="J84" s="195" t="s">
        <v>418</v>
      </c>
      <c r="K84" s="10">
        <v>1500</v>
      </c>
      <c r="L84" s="27"/>
      <c r="M84" s="27"/>
      <c r="N84" s="27"/>
    </row>
    <row r="85" spans="1:14" x14ac:dyDescent="0.35">
      <c r="A85" s="153" t="s">
        <v>146</v>
      </c>
      <c r="B85" s="153" t="s">
        <v>1132</v>
      </c>
      <c r="C85" s="170">
        <v>3000</v>
      </c>
      <c r="D85" s="10">
        <v>3000</v>
      </c>
      <c r="E85" s="27" t="s">
        <v>37</v>
      </c>
      <c r="F85" s="27" t="s">
        <v>147</v>
      </c>
      <c r="G85" s="27"/>
      <c r="H85" s="154"/>
      <c r="I85" s="34"/>
      <c r="J85" s="195" t="s">
        <v>148</v>
      </c>
      <c r="K85" s="10">
        <v>3000</v>
      </c>
      <c r="L85" s="27" t="s">
        <v>149</v>
      </c>
      <c r="M85" s="27"/>
      <c r="N85" s="27" t="s">
        <v>150</v>
      </c>
    </row>
    <row r="86" spans="1:14" x14ac:dyDescent="0.35">
      <c r="A86" s="153" t="s">
        <v>1206</v>
      </c>
      <c r="B86" s="153" t="s">
        <v>1134</v>
      </c>
      <c r="C86" s="170">
        <v>1500</v>
      </c>
      <c r="D86" s="10">
        <v>1500</v>
      </c>
      <c r="E86" s="27"/>
      <c r="F86" s="27"/>
      <c r="G86" s="27"/>
      <c r="H86" s="154"/>
      <c r="I86" s="34"/>
      <c r="J86" s="195">
        <v>45910</v>
      </c>
      <c r="K86" s="10">
        <v>1500</v>
      </c>
      <c r="L86" s="27"/>
      <c r="M86" s="27"/>
      <c r="N86" s="27"/>
    </row>
    <row r="87" spans="1:14" x14ac:dyDescent="0.35">
      <c r="A87" s="27" t="s">
        <v>1207</v>
      </c>
      <c r="B87" s="27" t="s">
        <v>1134</v>
      </c>
      <c r="C87" s="10">
        <v>1500</v>
      </c>
      <c r="D87" s="10">
        <v>1500</v>
      </c>
      <c r="E87" s="27" t="s">
        <v>96</v>
      </c>
      <c r="F87" s="27" t="s">
        <v>1115</v>
      </c>
      <c r="G87" s="27"/>
      <c r="H87" s="154"/>
      <c r="I87" s="34"/>
      <c r="J87" s="195" t="s">
        <v>656</v>
      </c>
      <c r="K87" s="27">
        <v>1500</v>
      </c>
      <c r="L87" s="27" t="s">
        <v>1208</v>
      </c>
      <c r="M87" s="27"/>
      <c r="N87" s="9" t="s">
        <v>1209</v>
      </c>
    </row>
    <row r="88" spans="1:14" x14ac:dyDescent="0.35">
      <c r="A88" s="27" t="s">
        <v>1210</v>
      </c>
      <c r="B88" s="27" t="s">
        <v>1132</v>
      </c>
      <c r="C88" s="170">
        <v>3000</v>
      </c>
      <c r="D88" s="10">
        <v>3000</v>
      </c>
      <c r="E88" s="27" t="s">
        <v>95</v>
      </c>
      <c r="F88" s="27" t="s">
        <v>1115</v>
      </c>
      <c r="G88" s="27"/>
      <c r="H88" s="154"/>
      <c r="I88" s="34"/>
      <c r="J88" s="195" t="s">
        <v>1115</v>
      </c>
      <c r="K88" s="10">
        <v>3000</v>
      </c>
      <c r="L88" s="27" t="s">
        <v>1211</v>
      </c>
      <c r="M88" s="27"/>
      <c r="N88" s="27"/>
    </row>
    <row r="89" spans="1:14" x14ac:dyDescent="0.35">
      <c r="A89" s="27" t="s">
        <v>1055</v>
      </c>
      <c r="B89" s="27" t="s">
        <v>1134</v>
      </c>
      <c r="C89" s="10">
        <v>1500</v>
      </c>
      <c r="D89" s="10">
        <v>1500</v>
      </c>
      <c r="E89" s="27" t="s">
        <v>37</v>
      </c>
      <c r="F89" s="27" t="s">
        <v>439</v>
      </c>
      <c r="G89" s="27"/>
      <c r="H89" s="157" t="s">
        <v>27</v>
      </c>
      <c r="I89" s="34"/>
      <c r="J89" s="195" t="s">
        <v>73</v>
      </c>
      <c r="K89" s="27">
        <v>1500</v>
      </c>
      <c r="L89" s="27" t="s">
        <v>1057</v>
      </c>
      <c r="M89" s="27"/>
      <c r="N89" s="27" t="s">
        <v>1058</v>
      </c>
    </row>
    <row r="90" spans="1:14" x14ac:dyDescent="0.35">
      <c r="A90" s="153" t="s">
        <v>1212</v>
      </c>
      <c r="B90" s="153" t="s">
        <v>1134</v>
      </c>
      <c r="C90" s="170">
        <v>1500</v>
      </c>
      <c r="D90" s="10">
        <v>1500</v>
      </c>
      <c r="E90" s="27"/>
      <c r="F90" s="27"/>
      <c r="G90" s="27"/>
      <c r="H90" s="154"/>
      <c r="I90" s="34"/>
      <c r="J90" s="195" t="s">
        <v>172</v>
      </c>
      <c r="K90" s="10">
        <v>1500</v>
      </c>
      <c r="L90" s="27"/>
      <c r="M90" s="27"/>
      <c r="N90" s="27"/>
    </row>
    <row r="91" spans="1:14" x14ac:dyDescent="0.35">
      <c r="A91" s="153" t="s">
        <v>1213</v>
      </c>
      <c r="B91" s="153" t="s">
        <v>1134</v>
      </c>
      <c r="C91" s="170">
        <v>1500</v>
      </c>
      <c r="D91" s="10">
        <v>1500</v>
      </c>
      <c r="E91" s="27"/>
      <c r="F91" s="27"/>
      <c r="G91" s="27"/>
      <c r="H91" s="154"/>
      <c r="I91" s="34"/>
      <c r="J91" s="195" t="s">
        <v>203</v>
      </c>
      <c r="K91" s="10">
        <v>1500</v>
      </c>
      <c r="L91" s="27"/>
      <c r="M91" s="27"/>
      <c r="N91" s="27"/>
    </row>
    <row r="92" spans="1:14" ht="29" x14ac:dyDescent="0.35">
      <c r="A92" s="27" t="s">
        <v>1214</v>
      </c>
      <c r="B92" s="153" t="s">
        <v>1132</v>
      </c>
      <c r="C92" s="170">
        <v>3000</v>
      </c>
      <c r="D92" s="10">
        <v>3000</v>
      </c>
      <c r="E92" s="27" t="s">
        <v>95</v>
      </c>
      <c r="F92" s="27" t="s">
        <v>83</v>
      </c>
      <c r="G92" s="27"/>
      <c r="H92" s="157" t="s">
        <v>27</v>
      </c>
      <c r="I92" s="34"/>
      <c r="J92" s="195" t="s">
        <v>651</v>
      </c>
      <c r="K92" s="10">
        <v>2650</v>
      </c>
      <c r="L92" s="27"/>
      <c r="M92" s="27"/>
      <c r="N92" s="27"/>
    </row>
    <row r="93" spans="1:14" x14ac:dyDescent="0.35">
      <c r="A93" s="27" t="s">
        <v>1215</v>
      </c>
      <c r="B93" s="27" t="s">
        <v>1134</v>
      </c>
      <c r="C93" s="10">
        <v>1500</v>
      </c>
      <c r="D93" s="10">
        <v>1500</v>
      </c>
      <c r="E93" s="27" t="s">
        <v>96</v>
      </c>
      <c r="F93" s="27" t="s">
        <v>261</v>
      </c>
      <c r="G93" s="27"/>
      <c r="H93" s="154"/>
      <c r="I93" s="34"/>
      <c r="J93" s="195">
        <v>45943</v>
      </c>
      <c r="K93" s="10">
        <v>1500</v>
      </c>
      <c r="L93" s="27" t="s">
        <v>1216</v>
      </c>
      <c r="M93" s="27"/>
      <c r="N93" s="27" t="s">
        <v>1217</v>
      </c>
    </row>
    <row r="94" spans="1:14" x14ac:dyDescent="0.35">
      <c r="A94" s="153" t="s">
        <v>232</v>
      </c>
      <c r="B94" s="153" t="s">
        <v>1134</v>
      </c>
      <c r="C94" s="170">
        <v>1500</v>
      </c>
      <c r="D94" s="10">
        <v>1500</v>
      </c>
      <c r="E94" s="27" t="s">
        <v>24</v>
      </c>
      <c r="F94" s="27" t="s">
        <v>42</v>
      </c>
      <c r="G94" s="27"/>
      <c r="H94" s="154"/>
      <c r="I94" s="34"/>
      <c r="J94" s="195" t="s">
        <v>446</v>
      </c>
      <c r="K94" s="10">
        <v>1500</v>
      </c>
      <c r="L94" s="27" t="s">
        <v>233</v>
      </c>
      <c r="M94" s="27"/>
      <c r="N94" s="27" t="s">
        <v>234</v>
      </c>
    </row>
    <row r="95" spans="1:14" x14ac:dyDescent="0.35">
      <c r="A95" s="153" t="s">
        <v>1218</v>
      </c>
      <c r="B95" s="153" t="s">
        <v>1132</v>
      </c>
      <c r="C95" s="170">
        <v>1500</v>
      </c>
      <c r="D95" s="10"/>
      <c r="E95" s="27"/>
      <c r="F95" s="27"/>
      <c r="G95" s="27"/>
      <c r="H95" s="154"/>
      <c r="I95" s="34"/>
      <c r="J95" s="195"/>
      <c r="K95" s="10"/>
      <c r="L95" s="27"/>
      <c r="M95" s="27"/>
      <c r="N95" s="27"/>
    </row>
    <row r="96" spans="1:14" x14ac:dyDescent="0.35">
      <c r="A96" s="153" t="s">
        <v>235</v>
      </c>
      <c r="B96" s="153" t="s">
        <v>1134</v>
      </c>
      <c r="C96" s="170">
        <v>1500</v>
      </c>
      <c r="D96" s="10">
        <v>1500</v>
      </c>
      <c r="E96" s="27" t="s">
        <v>24</v>
      </c>
      <c r="F96" s="27" t="s">
        <v>236</v>
      </c>
      <c r="G96" s="27"/>
      <c r="H96" s="154"/>
      <c r="I96" s="34"/>
      <c r="J96" s="195" t="s">
        <v>553</v>
      </c>
      <c r="K96" s="10">
        <v>1500</v>
      </c>
      <c r="L96" s="27" t="s">
        <v>237</v>
      </c>
      <c r="M96" s="27"/>
      <c r="N96" s="27" t="s">
        <v>238</v>
      </c>
    </row>
    <row r="97" spans="1:14" ht="29" x14ac:dyDescent="0.35">
      <c r="A97" s="27" t="s">
        <v>507</v>
      </c>
      <c r="B97" s="27" t="s">
        <v>1132</v>
      </c>
      <c r="C97" s="170">
        <v>3000</v>
      </c>
      <c r="D97" s="10">
        <v>3000</v>
      </c>
      <c r="E97" s="27" t="s">
        <v>50</v>
      </c>
      <c r="F97" s="27" t="s">
        <v>381</v>
      </c>
      <c r="G97" s="27"/>
      <c r="H97" s="157" t="s">
        <v>27</v>
      </c>
      <c r="I97" s="34"/>
      <c r="J97" s="195" t="s">
        <v>1219</v>
      </c>
      <c r="K97" s="10">
        <v>1956.25</v>
      </c>
      <c r="L97" s="27" t="s">
        <v>508</v>
      </c>
      <c r="M97" s="27"/>
      <c r="N97" s="27" t="s">
        <v>509</v>
      </c>
    </row>
    <row r="98" spans="1:14" x14ac:dyDescent="0.35">
      <c r="A98" s="28"/>
      <c r="B98" s="28"/>
      <c r="C98" s="28"/>
      <c r="D98" s="28"/>
      <c r="E98" s="28"/>
      <c r="F98" s="28"/>
      <c r="G98" s="28"/>
      <c r="H98" s="235"/>
      <c r="I98" s="33"/>
      <c r="J98" s="267" t="s">
        <v>635</v>
      </c>
      <c r="K98" s="21">
        <v>1043.75</v>
      </c>
      <c r="L98" s="28"/>
      <c r="M98" s="28"/>
      <c r="N98" s="28"/>
    </row>
    <row r="99" spans="1:14" x14ac:dyDescent="0.35">
      <c r="A99" s="153" t="s">
        <v>69</v>
      </c>
      <c r="B99" s="153" t="s">
        <v>1134</v>
      </c>
      <c r="C99" s="170">
        <v>1500</v>
      </c>
      <c r="D99" s="10">
        <v>1500</v>
      </c>
      <c r="E99" s="27" t="s">
        <v>24</v>
      </c>
      <c r="F99" s="27" t="s">
        <v>82</v>
      </c>
      <c r="G99" s="27"/>
      <c r="H99" s="154"/>
      <c r="I99" s="34"/>
      <c r="J99" s="195" t="s">
        <v>256</v>
      </c>
      <c r="K99" s="10">
        <v>1500</v>
      </c>
      <c r="L99" s="27" t="s">
        <v>84</v>
      </c>
      <c r="M99" s="27"/>
      <c r="N99" s="27"/>
    </row>
    <row r="100" spans="1:14" ht="29" x14ac:dyDescent="0.35">
      <c r="A100" s="153" t="s">
        <v>1220</v>
      </c>
      <c r="B100" s="153" t="s">
        <v>1134</v>
      </c>
      <c r="C100" s="170">
        <v>1500</v>
      </c>
      <c r="D100" s="10">
        <v>1500</v>
      </c>
      <c r="E100" s="27" t="s">
        <v>37</v>
      </c>
      <c r="F100" s="27" t="s">
        <v>418</v>
      </c>
      <c r="G100" s="27"/>
      <c r="H100" s="94" t="s">
        <v>27</v>
      </c>
      <c r="I100" s="34"/>
      <c r="J100" s="195" t="s">
        <v>148</v>
      </c>
      <c r="K100" s="10">
        <v>1500</v>
      </c>
      <c r="L100" s="9" t="s">
        <v>743</v>
      </c>
      <c r="M100" s="9"/>
      <c r="N100" s="9" t="s">
        <v>744</v>
      </c>
    </row>
    <row r="101" spans="1:14" ht="29" x14ac:dyDescent="0.35">
      <c r="A101" s="27" t="s">
        <v>395</v>
      </c>
      <c r="B101" s="27" t="s">
        <v>1134</v>
      </c>
      <c r="C101" s="10">
        <v>1500</v>
      </c>
      <c r="D101" s="10">
        <v>1500</v>
      </c>
      <c r="E101" s="27" t="s">
        <v>96</v>
      </c>
      <c r="F101" s="27" t="s">
        <v>161</v>
      </c>
      <c r="G101" s="27"/>
      <c r="H101" s="154"/>
      <c r="I101" s="34"/>
      <c r="J101" s="195" t="s">
        <v>651</v>
      </c>
      <c r="K101" s="10">
        <v>1500</v>
      </c>
      <c r="L101" s="27" t="s">
        <v>396</v>
      </c>
      <c r="M101" s="27"/>
      <c r="N101" s="155" t="s">
        <v>397</v>
      </c>
    </row>
    <row r="102" spans="1:14" x14ac:dyDescent="0.35">
      <c r="A102" s="153" t="s">
        <v>401</v>
      </c>
      <c r="B102" s="153" t="s">
        <v>1134</v>
      </c>
      <c r="C102" s="170">
        <v>1500</v>
      </c>
      <c r="D102" s="10">
        <v>1500</v>
      </c>
      <c r="E102" s="27" t="s">
        <v>37</v>
      </c>
      <c r="F102" s="27" t="s">
        <v>25</v>
      </c>
      <c r="G102" s="27"/>
      <c r="H102" s="157" t="s">
        <v>27</v>
      </c>
      <c r="I102" s="34"/>
      <c r="J102" s="195" t="s">
        <v>28</v>
      </c>
      <c r="K102" s="10">
        <v>1500</v>
      </c>
      <c r="L102" s="27" t="s">
        <v>29</v>
      </c>
      <c r="M102" s="27"/>
      <c r="N102" s="155" t="s">
        <v>30</v>
      </c>
    </row>
    <row r="103" spans="1:14" x14ac:dyDescent="0.35">
      <c r="A103" s="27" t="s">
        <v>1221</v>
      </c>
      <c r="B103" s="27" t="s">
        <v>1134</v>
      </c>
      <c r="C103" s="170">
        <v>1500</v>
      </c>
      <c r="D103" s="10">
        <v>1500</v>
      </c>
      <c r="E103" s="27" t="s">
        <v>90</v>
      </c>
      <c r="F103" s="27" t="s">
        <v>308</v>
      </c>
      <c r="G103" s="27" t="s">
        <v>1222</v>
      </c>
      <c r="H103" s="154"/>
      <c r="I103" s="34"/>
      <c r="J103" s="195" t="s">
        <v>310</v>
      </c>
      <c r="K103" s="10">
        <v>1500</v>
      </c>
      <c r="L103" s="27" t="s">
        <v>311</v>
      </c>
      <c r="M103" s="27"/>
      <c r="N103" s="27"/>
    </row>
    <row r="104" spans="1:14" x14ac:dyDescent="0.35">
      <c r="A104" s="153" t="s">
        <v>1040</v>
      </c>
      <c r="B104" s="153" t="s">
        <v>1134</v>
      </c>
      <c r="C104" s="170">
        <v>1500</v>
      </c>
      <c r="D104" s="10">
        <v>1500</v>
      </c>
      <c r="E104" s="27" t="s">
        <v>96</v>
      </c>
      <c r="F104" s="27" t="s">
        <v>418</v>
      </c>
      <c r="G104" s="27"/>
      <c r="H104" s="154"/>
      <c r="I104" s="34"/>
      <c r="J104" s="195" t="s">
        <v>418</v>
      </c>
      <c r="K104" s="10">
        <v>1500</v>
      </c>
      <c r="L104" s="27"/>
      <c r="M104" s="27"/>
      <c r="N104" s="27"/>
    </row>
    <row r="105" spans="1:14" x14ac:dyDescent="0.35">
      <c r="A105" s="153" t="s">
        <v>1223</v>
      </c>
      <c r="B105" s="153" t="s">
        <v>1134</v>
      </c>
      <c r="C105" s="170">
        <v>1500</v>
      </c>
      <c r="D105" s="10">
        <v>1500</v>
      </c>
      <c r="E105" s="27" t="s">
        <v>96</v>
      </c>
      <c r="F105" s="27" t="s">
        <v>28</v>
      </c>
      <c r="G105" s="27"/>
      <c r="H105" s="154"/>
      <c r="I105" s="34"/>
      <c r="J105" s="195" t="s">
        <v>1224</v>
      </c>
      <c r="K105" s="10">
        <v>1500</v>
      </c>
      <c r="L105" s="27" t="s">
        <v>1225</v>
      </c>
      <c r="M105" s="27"/>
      <c r="N105" s="155" t="s">
        <v>1226</v>
      </c>
    </row>
    <row r="106" spans="1:14" x14ac:dyDescent="0.35">
      <c r="A106" s="27"/>
      <c r="B106" s="27"/>
      <c r="C106" s="170"/>
      <c r="D106" s="10"/>
      <c r="E106" s="27"/>
      <c r="F106" s="27"/>
      <c r="G106" s="27"/>
      <c r="H106" s="154"/>
      <c r="I106" s="34"/>
      <c r="J106" s="195"/>
      <c r="K106" s="10"/>
      <c r="L106" s="27"/>
      <c r="M106" s="27"/>
      <c r="N106" s="27"/>
    </row>
    <row r="107" spans="1:14" x14ac:dyDescent="0.35">
      <c r="A107" s="153" t="s">
        <v>166</v>
      </c>
      <c r="B107" s="153" t="s">
        <v>1134</v>
      </c>
      <c r="C107" s="170">
        <v>1500</v>
      </c>
      <c r="D107" s="10">
        <v>1500</v>
      </c>
      <c r="E107" s="27" t="s">
        <v>96</v>
      </c>
      <c r="F107" s="27" t="s">
        <v>167</v>
      </c>
      <c r="G107" s="27"/>
      <c r="H107" s="154"/>
      <c r="I107" s="34"/>
      <c r="J107" s="195" t="s">
        <v>418</v>
      </c>
      <c r="K107" s="10">
        <v>1500</v>
      </c>
      <c r="L107" s="27" t="s">
        <v>168</v>
      </c>
      <c r="M107" s="27"/>
      <c r="N107" s="155" t="s">
        <v>169</v>
      </c>
    </row>
    <row r="108" spans="1:14" ht="29" x14ac:dyDescent="0.35">
      <c r="A108" s="27" t="s">
        <v>1227</v>
      </c>
      <c r="B108" s="27" t="s">
        <v>1132</v>
      </c>
      <c r="C108" s="10">
        <v>3000</v>
      </c>
      <c r="D108" s="10">
        <v>3000</v>
      </c>
      <c r="E108" s="27" t="s">
        <v>37</v>
      </c>
      <c r="F108" s="27" t="s">
        <v>42</v>
      </c>
      <c r="G108" s="27"/>
      <c r="H108" s="157" t="s">
        <v>27</v>
      </c>
      <c r="I108" s="34"/>
      <c r="J108" s="195" t="s">
        <v>128</v>
      </c>
      <c r="K108" s="10">
        <v>3000</v>
      </c>
      <c r="L108" s="27" t="s">
        <v>1228</v>
      </c>
      <c r="M108" s="27"/>
      <c r="N108" s="27"/>
    </row>
    <row r="109" spans="1:14" ht="29" x14ac:dyDescent="0.35">
      <c r="A109" s="153" t="s">
        <v>1229</v>
      </c>
      <c r="B109" s="153" t="s">
        <v>1152</v>
      </c>
      <c r="C109" s="170">
        <v>5000</v>
      </c>
      <c r="D109" s="10">
        <v>5000</v>
      </c>
      <c r="E109" s="27" t="s">
        <v>97</v>
      </c>
      <c r="F109" s="27" t="s">
        <v>119</v>
      </c>
      <c r="G109" s="27"/>
      <c r="H109" s="154"/>
      <c r="I109" s="34"/>
      <c r="J109" s="195" t="s">
        <v>703</v>
      </c>
      <c r="K109" s="10">
        <v>5000</v>
      </c>
      <c r="L109" s="27" t="s">
        <v>1230</v>
      </c>
      <c r="M109" s="27"/>
      <c r="N109" s="155" t="s">
        <v>123</v>
      </c>
    </row>
    <row r="110" spans="1:14" x14ac:dyDescent="0.35">
      <c r="A110" s="153" t="s">
        <v>52</v>
      </c>
      <c r="B110" s="153" t="s">
        <v>1132</v>
      </c>
      <c r="C110" s="170">
        <v>3000</v>
      </c>
      <c r="D110" s="10">
        <v>3000</v>
      </c>
      <c r="E110" s="27" t="s">
        <v>37</v>
      </c>
      <c r="F110" s="27" t="s">
        <v>53</v>
      </c>
      <c r="G110" s="27"/>
      <c r="H110" s="157" t="s">
        <v>27</v>
      </c>
      <c r="I110" s="34"/>
      <c r="J110" s="195" t="s">
        <v>1231</v>
      </c>
      <c r="K110" s="10">
        <v>3000</v>
      </c>
      <c r="L110" s="27" t="s">
        <v>54</v>
      </c>
      <c r="M110" s="27"/>
      <c r="N110" s="27" t="s">
        <v>55</v>
      </c>
    </row>
    <row r="111" spans="1:14" ht="29" x14ac:dyDescent="0.35">
      <c r="A111" s="153" t="s">
        <v>1232</v>
      </c>
      <c r="B111" s="153" t="s">
        <v>1132</v>
      </c>
      <c r="C111" s="170">
        <v>3000</v>
      </c>
      <c r="D111" s="10">
        <v>3000</v>
      </c>
      <c r="E111" s="27" t="s">
        <v>93</v>
      </c>
      <c r="F111" s="27" t="s">
        <v>353</v>
      </c>
      <c r="G111" s="27"/>
      <c r="H111" s="154"/>
      <c r="I111" s="34"/>
      <c r="J111" s="195" t="s">
        <v>115</v>
      </c>
      <c r="K111" s="10">
        <v>3000</v>
      </c>
      <c r="L111" s="27" t="s">
        <v>365</v>
      </c>
      <c r="M111" s="27"/>
      <c r="N111" s="155" t="s">
        <v>366</v>
      </c>
    </row>
    <row r="112" spans="1:14" x14ac:dyDescent="0.35">
      <c r="A112" s="153" t="s">
        <v>1233</v>
      </c>
      <c r="B112" s="153" t="s">
        <v>1134</v>
      </c>
      <c r="C112" s="170">
        <v>1500</v>
      </c>
      <c r="D112" s="10">
        <v>1500</v>
      </c>
      <c r="E112" s="27" t="s">
        <v>86</v>
      </c>
      <c r="F112" s="27" t="s">
        <v>1078</v>
      </c>
      <c r="G112" s="27"/>
      <c r="H112" s="154"/>
      <c r="I112" s="34"/>
      <c r="J112" s="195">
        <v>45733</v>
      </c>
      <c r="K112" s="10">
        <v>1500</v>
      </c>
      <c r="L112" s="27"/>
      <c r="M112" s="27"/>
      <c r="N112" s="27"/>
    </row>
    <row r="113" spans="1:14" x14ac:dyDescent="0.35">
      <c r="A113" s="27" t="s">
        <v>1234</v>
      </c>
      <c r="B113" s="27" t="s">
        <v>1134</v>
      </c>
      <c r="C113" s="27">
        <v>1500</v>
      </c>
      <c r="D113" s="27">
        <v>1500</v>
      </c>
      <c r="E113" s="27" t="s">
        <v>90</v>
      </c>
      <c r="F113" s="27" t="s">
        <v>585</v>
      </c>
      <c r="G113" s="27"/>
      <c r="H113" s="154"/>
      <c r="I113" s="34"/>
      <c r="J113" s="195"/>
      <c r="K113" s="27"/>
      <c r="L113" s="27" t="s">
        <v>1235</v>
      </c>
      <c r="M113" s="27"/>
      <c r="N113" s="81" t="s">
        <v>1236</v>
      </c>
    </row>
    <row r="114" spans="1:14" x14ac:dyDescent="0.35">
      <c r="A114" s="27" t="s">
        <v>289</v>
      </c>
      <c r="B114" s="27" t="s">
        <v>1134</v>
      </c>
      <c r="C114" s="10">
        <v>1500</v>
      </c>
      <c r="D114" s="10">
        <v>1500</v>
      </c>
      <c r="E114" s="27" t="s">
        <v>37</v>
      </c>
      <c r="F114" s="27" t="s">
        <v>115</v>
      </c>
      <c r="G114" s="27"/>
      <c r="H114" s="94" t="s">
        <v>27</v>
      </c>
      <c r="I114" s="34"/>
      <c r="J114" s="195">
        <v>45902</v>
      </c>
      <c r="K114" s="10">
        <v>1500</v>
      </c>
      <c r="L114" s="27" t="s">
        <v>1237</v>
      </c>
      <c r="M114" s="27"/>
      <c r="N114" s="92" t="s">
        <v>1238</v>
      </c>
    </row>
    <row r="115" spans="1:14" x14ac:dyDescent="0.35">
      <c r="A115" s="153" t="s">
        <v>1239</v>
      </c>
      <c r="B115" s="153" t="s">
        <v>1134</v>
      </c>
      <c r="C115" s="170">
        <v>1500</v>
      </c>
      <c r="D115" s="10">
        <v>1500</v>
      </c>
      <c r="E115" s="27"/>
      <c r="F115" s="27"/>
      <c r="G115" s="27"/>
      <c r="H115" s="154"/>
      <c r="I115" s="34"/>
      <c r="J115" s="195">
        <v>45733</v>
      </c>
      <c r="K115" s="10">
        <v>1500</v>
      </c>
      <c r="L115" s="27"/>
      <c r="M115" s="27"/>
      <c r="N115" s="27"/>
    </row>
    <row r="116" spans="1:14" x14ac:dyDescent="0.35">
      <c r="A116" s="153" t="s">
        <v>1240</v>
      </c>
      <c r="B116" s="153" t="s">
        <v>1134</v>
      </c>
      <c r="C116" s="170">
        <v>1500</v>
      </c>
      <c r="D116" s="10"/>
      <c r="E116" s="27"/>
      <c r="F116" s="27"/>
      <c r="G116" s="27"/>
      <c r="H116" s="154"/>
      <c r="I116" s="34"/>
      <c r="J116" s="195"/>
      <c r="K116" s="10"/>
      <c r="L116" s="27"/>
      <c r="M116" s="27"/>
      <c r="N116" s="27"/>
    </row>
    <row r="117" spans="1:14" x14ac:dyDescent="0.35">
      <c r="A117" s="153" t="s">
        <v>1241</v>
      </c>
      <c r="B117" s="153" t="s">
        <v>1134</v>
      </c>
      <c r="C117" s="170">
        <v>1500</v>
      </c>
      <c r="D117" s="10">
        <v>1500</v>
      </c>
      <c r="E117" s="27" t="s">
        <v>96</v>
      </c>
      <c r="F117" s="27" t="s">
        <v>418</v>
      </c>
      <c r="G117" s="27"/>
      <c r="H117" s="154"/>
      <c r="I117" s="34"/>
      <c r="J117" s="195" t="s">
        <v>418</v>
      </c>
      <c r="K117" s="10">
        <v>1500</v>
      </c>
      <c r="L117" s="27" t="s">
        <v>1242</v>
      </c>
      <c r="M117" s="27"/>
      <c r="N117" s="27"/>
    </row>
    <row r="119" spans="1:14" x14ac:dyDescent="0.35">
      <c r="K119" s="25">
        <f>SUM(K9:K118)</f>
        <v>168500</v>
      </c>
    </row>
    <row r="129" spans="11:11" x14ac:dyDescent="0.35">
      <c r="K129" s="24"/>
    </row>
    <row r="301" spans="5:5" x14ac:dyDescent="0.35">
      <c r="E301" s="23" t="s">
        <v>47</v>
      </c>
    </row>
    <row r="302" spans="5:5" x14ac:dyDescent="0.35">
      <c r="E302" s="23" t="s">
        <v>37</v>
      </c>
    </row>
    <row r="303" spans="5:5" x14ac:dyDescent="0.35">
      <c r="E303" s="23" t="s">
        <v>24</v>
      </c>
    </row>
    <row r="304" spans="5:5" x14ac:dyDescent="0.35">
      <c r="E304" s="23" t="s">
        <v>62</v>
      </c>
    </row>
    <row r="305" spans="5:5" x14ac:dyDescent="0.35">
      <c r="E305" s="23" t="s">
        <v>56</v>
      </c>
    </row>
    <row r="306" spans="5:5" x14ac:dyDescent="0.35">
      <c r="E306" s="23" t="s">
        <v>50</v>
      </c>
    </row>
    <row r="307" spans="5:5" x14ac:dyDescent="0.35">
      <c r="E307" s="23" t="s">
        <v>91</v>
      </c>
    </row>
    <row r="308" spans="5:5" x14ac:dyDescent="0.35">
      <c r="E308" s="23" t="s">
        <v>90</v>
      </c>
    </row>
    <row r="309" spans="5:5" x14ac:dyDescent="0.35">
      <c r="E309" s="23" t="s">
        <v>86</v>
      </c>
    </row>
    <row r="310" spans="5:5" x14ac:dyDescent="0.35">
      <c r="E310" s="23" t="s">
        <v>81</v>
      </c>
    </row>
    <row r="311" spans="5:5" x14ac:dyDescent="0.35">
      <c r="E311" s="23" t="s">
        <v>76</v>
      </c>
    </row>
    <row r="312" spans="5:5" x14ac:dyDescent="0.35">
      <c r="E312" s="23" t="s">
        <v>68</v>
      </c>
    </row>
    <row r="313" spans="5:5" x14ac:dyDescent="0.35">
      <c r="E313" s="23" t="s">
        <v>94</v>
      </c>
    </row>
    <row r="314" spans="5:5" x14ac:dyDescent="0.35">
      <c r="E314" s="23" t="s">
        <v>93</v>
      </c>
    </row>
    <row r="315" spans="5:5" x14ac:dyDescent="0.35">
      <c r="E315" s="23" t="s">
        <v>92</v>
      </c>
    </row>
    <row r="316" spans="5:5" x14ac:dyDescent="0.35">
      <c r="E316" s="23" t="s">
        <v>97</v>
      </c>
    </row>
    <row r="317" spans="5:5" x14ac:dyDescent="0.35">
      <c r="E317" s="23" t="s">
        <v>96</v>
      </c>
    </row>
    <row r="318" spans="5:5" x14ac:dyDescent="0.35">
      <c r="E318" s="23" t="s">
        <v>95</v>
      </c>
    </row>
  </sheetData>
  <sortState xmlns:xlrd2="http://schemas.microsoft.com/office/spreadsheetml/2017/richdata2" ref="A9:K107">
    <sortCondition ref="A107"/>
  </sortState>
  <hyperlinks>
    <hyperlink ref="N23" r:id="rId2" xr:uid="{CB699F60-555D-415C-9FA7-A96519B6F473}"/>
    <hyperlink ref="N109" r:id="rId3" display="amyw@uca.edu; " xr:uid="{77F04897-533D-4F43-8210-DC9DA1D5EE30}"/>
    <hyperlink ref="N9" r:id="rId4" display="mailto:Crystal.Floyd@acxiom.com" xr:uid="{7E94514A-F122-4D1C-BEDC-68A4BDAC72C8}"/>
    <hyperlink ref="N28" r:id="rId5" xr:uid="{621E9D5E-E409-4FB6-8D81-1E353956C814}"/>
    <hyperlink ref="N12" r:id="rId6" display="mailto:mcahillwicks@arvest.com" xr:uid="{211041B1-42B6-4376-BCFB-863621535F36}"/>
    <hyperlink ref="N44" r:id="rId7" display="mailto:drew.spurgers@eosworldwide.com" xr:uid="{BAD84DCB-6C27-4EBF-8A07-9514610E8D35}"/>
    <hyperlink ref="N111" r:id="rId8" display="mailto:idismuke@wacotitle.com" xr:uid="{545C221A-4DBF-4D64-AF27-2FB1B1162AFE}"/>
    <hyperlink ref="N64" r:id="rId9" display="mailto:twhite@hsaconsultants.com" xr:uid="{71F78301-2439-464B-9370-0FACC9B85C94}"/>
    <hyperlink ref="N73" r:id="rId10" tooltip="Click to send email to Randy Milligan" display="mailto:RMilligan@landmarkcpas.com" xr:uid="{8910C77F-98A1-4428-B8E7-974148AF16B4}"/>
    <hyperlink ref="N56" r:id="rId11" display="mailto:DLTackett@GarverUSA.com" xr:uid="{5FFC6193-38AD-4610-84D3-9F5694116E32}"/>
    <hyperlink ref="N101" r:id="rId12" display="mailto:cody@sowellarchitects.com" xr:uid="{F6DB7500-B8CA-416C-8C60-ACA436C81ECE}"/>
    <hyperlink ref="N20" r:id="rId13" display="mailto:dgainor@financialguide.com" xr:uid="{23498938-FE15-4F9F-B224-6AE8BEBDCFB6}"/>
    <hyperlink ref="N24" r:id="rId14" xr:uid="{2F1027FF-2D03-4C0F-B156-CC8A5397AB2A}"/>
    <hyperlink ref="N107" r:id="rId15" display="mailto:cpledger@trinitydevelopmentinc.com" xr:uid="{4DBD4CAC-E4B1-424D-BE70-77704ABD4285}"/>
    <hyperlink ref="N102" r:id="rId16" display="mailto:jay.bernard.l8if@statefarm.com" xr:uid="{23FB6FBC-1627-485D-A89D-9EFBB91E5FD7}"/>
    <hyperlink ref="N17" r:id="rId17" display="mailto:tom.nelson@cadencebank.com" xr:uid="{FAAC9533-C40D-4E5C-957D-24D926ECC020}"/>
    <hyperlink ref="N39" r:id="rId18" display="mailto:jakob@davecreekmedia.com" xr:uid="{0B1DC2E4-F4DF-47EE-B6DB-7E3AA7A3C0FE}"/>
    <hyperlink ref="N30" r:id="rId19" display="mailto:Valencia.Anderson@conwaybh.com" xr:uid="{7F537B1C-6D9F-4955-8683-CAC279986A49}"/>
    <hyperlink ref="N26" r:id="rId20" display="mailto:jake.turpin@claytonhomes.com" xr:uid="{DD07F306-051D-4B2D-A49A-48751341FD23}"/>
    <hyperlink ref="N50" r:id="rId21" display="mailto:Lori.Melton@firstcommunity.net" xr:uid="{BC47BA60-0FA8-4B05-9C82-D7AC9D170A07}"/>
    <hyperlink ref="N114" r:id="rId22" display="mailto:will.ford@westrockcoffee.com" xr:uid="{552D11D3-B275-402D-9A61-659CAF183219}"/>
    <hyperlink ref="N105" r:id="rId23" xr:uid="{A1890B27-D07D-46A3-B1A3-984573FB2ED2}"/>
    <hyperlink ref="N61" r:id="rId24" display="mailto:robbin@harvestcannabisarkansas.com" xr:uid="{2118F9CE-4D7B-4D02-8D00-560E55F39C82}"/>
    <hyperlink ref="N15" r:id="rId25" display="mailto:rjohnson@bandapm.com" xr:uid="{E2854966-E7C2-47DB-9F6C-808C663E631B}"/>
    <hyperlink ref="N76" r:id="rId26" display="mailto:David@littlerockconwaysign.com" xr:uid="{2F43CDEF-F65A-48D8-8563-1C5C942E0B14}"/>
    <hyperlink ref="N55" r:id="rId27" display="mailto:ben@fureighinc.com" xr:uid="{161EF9DB-4A41-46FE-B119-D1000E74CD44}"/>
    <hyperlink ref="N81" r:id="rId28" display="mailto:brian.mcmillian@mcgeorgecontracting.com" xr:uid="{C43D3FF0-3401-4B01-B07C-2EED221304D2}"/>
    <hyperlink ref="N113" r:id="rId29" display="mailto:kdimitrova@werarch.com" xr:uid="{23DC77B3-3D9D-4736-BEB7-2124F9C9FFC4}"/>
    <hyperlink ref="N60" r:id="rId30" display="mailto:hjones@hartconllc.com" xr:uid="{BBD1DD63-1DDD-4F07-ADD6-FD179C057D30}"/>
  </hyperlinks>
  <pageMargins left="0.25" right="0.25" top="0.75" bottom="0.75" header="0.3" footer="0.3"/>
  <pageSetup fitToHeight="0" orientation="landscape" r:id="rId3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4E782-49FF-47E4-B894-EF63B79D7447}">
  <dimension ref="A1:V317"/>
  <sheetViews>
    <sheetView workbookViewId="0">
      <pane xSplit="8" ySplit="15" topLeftCell="I37" activePane="bottomRight" state="frozen"/>
      <selection pane="topRight" activeCell="I1" sqref="I1"/>
      <selection pane="bottomLeft" activeCell="A16" sqref="A16"/>
      <selection pane="bottomRight" activeCell="A37" sqref="A37"/>
    </sheetView>
  </sheetViews>
  <sheetFormatPr defaultColWidth="34.453125" defaultRowHeight="14.5" x14ac:dyDescent="0.35"/>
  <cols>
    <col min="1" max="1" width="29.7265625" style="5" bestFit="1" customWidth="1"/>
    <col min="2" max="2" width="14.81640625" style="5" bestFit="1" customWidth="1"/>
    <col min="3" max="3" width="9.1796875" style="5" bestFit="1" customWidth="1"/>
    <col min="4" max="4" width="15.81640625" style="5" bestFit="1" customWidth="1"/>
    <col min="5" max="5" width="8.7265625" style="5" bestFit="1" customWidth="1"/>
    <col min="6" max="6" width="11.1796875" style="5" bestFit="1" customWidth="1"/>
    <col min="7" max="7" width="49.81640625" style="5" bestFit="1" customWidth="1"/>
    <col min="8" max="8" width="16.26953125" style="5" bestFit="1" customWidth="1"/>
    <col min="9" max="9" width="14.7265625" customWidth="1"/>
    <col min="10" max="10" width="10.26953125" style="5" bestFit="1" customWidth="1"/>
    <col min="11" max="11" width="14.453125" style="5" bestFit="1" customWidth="1"/>
    <col min="12" max="12" width="29.453125" style="5" customWidth="1"/>
    <col min="13" max="13" width="7.54296875" style="5" bestFit="1" customWidth="1"/>
    <col min="14" max="14" width="37.7265625" style="5" bestFit="1" customWidth="1"/>
    <col min="15" max="15" width="34.453125" style="5"/>
    <col min="16" max="16" width="11" style="5" bestFit="1" customWidth="1"/>
    <col min="17" max="17" width="10.1796875" style="5" bestFit="1" customWidth="1"/>
    <col min="18" max="18" width="34.453125" style="5"/>
    <col min="19" max="19" width="36" style="5" bestFit="1" customWidth="1"/>
    <col min="20" max="20" width="14.453125" style="5" bestFit="1" customWidth="1"/>
    <col min="21" max="21" width="15.81640625" style="5" bestFit="1" customWidth="1"/>
    <col min="22" max="22" width="8.7265625" style="5" bestFit="1" customWidth="1"/>
    <col min="23" max="16384" width="34.453125" style="5"/>
  </cols>
  <sheetData>
    <row r="1" spans="1:22" x14ac:dyDescent="0.35">
      <c r="A1" s="4" t="s">
        <v>1243</v>
      </c>
      <c r="B1" s="4">
        <v>2025</v>
      </c>
      <c r="S1" s="4" t="s">
        <v>1244</v>
      </c>
      <c r="T1" s="4">
        <v>2024</v>
      </c>
    </row>
    <row r="2" spans="1:22" x14ac:dyDescent="0.35">
      <c r="A2" s="6" t="s">
        <v>1</v>
      </c>
      <c r="B2" s="7">
        <f>SUM(D9:D53)</f>
        <v>39700</v>
      </c>
      <c r="K2" s="11" t="s">
        <v>2</v>
      </c>
      <c r="S2" s="6" t="s">
        <v>1</v>
      </c>
      <c r="T2" s="7">
        <f>SUM(U9:U39)</f>
        <v>29025</v>
      </c>
    </row>
    <row r="3" spans="1:22" x14ac:dyDescent="0.35">
      <c r="A3" s="6" t="s">
        <v>3</v>
      </c>
      <c r="B3" s="7">
        <v>30000</v>
      </c>
      <c r="K3" s="7">
        <f>MIN(K36-B2)</f>
        <v>-9000</v>
      </c>
      <c r="S3" s="6" t="s">
        <v>3</v>
      </c>
      <c r="T3" s="7">
        <v>38000</v>
      </c>
    </row>
    <row r="4" spans="1:22" x14ac:dyDescent="0.35">
      <c r="A4" s="6" t="s">
        <v>4</v>
      </c>
      <c r="B4" s="7">
        <f>MIN(B2-B3)</f>
        <v>9700</v>
      </c>
      <c r="K4" s="42">
        <f>K36/B2</f>
        <v>0.77329974811083124</v>
      </c>
      <c r="S4" s="6" t="s">
        <v>4</v>
      </c>
      <c r="T4" s="7">
        <f>MIN(T2-T3)</f>
        <v>-8975</v>
      </c>
    </row>
    <row r="5" spans="1:22" x14ac:dyDescent="0.35">
      <c r="A5" s="6" t="s">
        <v>5</v>
      </c>
      <c r="B5" s="7">
        <v>38000</v>
      </c>
      <c r="S5" s="6" t="s">
        <v>5</v>
      </c>
      <c r="T5" s="7">
        <v>40000</v>
      </c>
    </row>
    <row r="6" spans="1:22" x14ac:dyDescent="0.35">
      <c r="A6" s="6" t="s">
        <v>4</v>
      </c>
      <c r="B6" s="7">
        <f>MIN(B2-B5)</f>
        <v>1700</v>
      </c>
      <c r="S6" s="6" t="s">
        <v>4</v>
      </c>
      <c r="T6" s="7">
        <f>MIN(T2-T5)</f>
        <v>-10975</v>
      </c>
    </row>
    <row r="8" spans="1:22"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c r="S8" s="8" t="s">
        <v>6</v>
      </c>
      <c r="T8" s="8" t="s">
        <v>21</v>
      </c>
      <c r="U8" s="8" t="s">
        <v>9</v>
      </c>
      <c r="V8" s="8" t="s">
        <v>10</v>
      </c>
    </row>
    <row r="9" spans="1:22" x14ac:dyDescent="0.35">
      <c r="A9" s="9"/>
      <c r="B9" s="9" t="s">
        <v>23</v>
      </c>
      <c r="C9" s="10">
        <v>7500</v>
      </c>
      <c r="D9" s="10"/>
      <c r="E9" s="9"/>
      <c r="F9" s="9"/>
      <c r="G9" s="9"/>
      <c r="H9" s="9"/>
      <c r="I9" s="34"/>
      <c r="J9" s="9"/>
      <c r="K9" s="239"/>
      <c r="L9" s="9"/>
      <c r="M9" s="9"/>
      <c r="N9" s="9"/>
      <c r="P9" s="39" t="s">
        <v>24</v>
      </c>
      <c r="Q9" s="10">
        <v>14500</v>
      </c>
      <c r="S9" s="48" t="s">
        <v>31</v>
      </c>
      <c r="T9" s="48" t="s">
        <v>1245</v>
      </c>
      <c r="U9" s="55">
        <v>1000</v>
      </c>
      <c r="V9" s="48" t="s">
        <v>24</v>
      </c>
    </row>
    <row r="10" spans="1:22" x14ac:dyDescent="0.35">
      <c r="A10" s="9" t="s">
        <v>160</v>
      </c>
      <c r="B10" s="9" t="s">
        <v>32</v>
      </c>
      <c r="C10" s="10">
        <v>5000</v>
      </c>
      <c r="D10" s="10">
        <v>3000</v>
      </c>
      <c r="E10" s="9" t="s">
        <v>90</v>
      </c>
      <c r="F10" s="9" t="s">
        <v>161</v>
      </c>
      <c r="G10" s="9"/>
      <c r="H10" s="9"/>
      <c r="I10" s="34" t="s">
        <v>1246</v>
      </c>
      <c r="J10" s="195">
        <v>45922</v>
      </c>
      <c r="K10" s="239">
        <v>3000</v>
      </c>
      <c r="L10" s="9" t="s">
        <v>163</v>
      </c>
      <c r="M10" s="9"/>
      <c r="N10" s="92" t="s">
        <v>164</v>
      </c>
      <c r="P10" s="39" t="s">
        <v>37</v>
      </c>
      <c r="Q10" s="10">
        <v>9500</v>
      </c>
      <c r="S10" s="9" t="s">
        <v>476</v>
      </c>
      <c r="T10" s="9" t="s">
        <v>275</v>
      </c>
      <c r="U10" s="9">
        <v>250</v>
      </c>
      <c r="V10" s="9"/>
    </row>
    <row r="11" spans="1:22" ht="72.5" x14ac:dyDescent="0.35">
      <c r="A11" s="9" t="s">
        <v>176</v>
      </c>
      <c r="B11" s="9" t="s">
        <v>32</v>
      </c>
      <c r="C11" s="10">
        <v>5000</v>
      </c>
      <c r="D11" s="10">
        <v>2500</v>
      </c>
      <c r="E11" s="9" t="s">
        <v>56</v>
      </c>
      <c r="F11" s="9">
        <v>310.25</v>
      </c>
      <c r="G11" s="9" t="s">
        <v>177</v>
      </c>
      <c r="H11" s="9"/>
      <c r="I11" s="34" t="s">
        <v>1246</v>
      </c>
      <c r="J11" s="195">
        <v>45925</v>
      </c>
      <c r="K11" s="239">
        <v>2500</v>
      </c>
      <c r="L11" s="9" t="s">
        <v>178</v>
      </c>
      <c r="M11" s="9"/>
      <c r="N11" s="101" t="s">
        <v>179</v>
      </c>
      <c r="P11" s="39" t="s">
        <v>47</v>
      </c>
      <c r="Q11" s="10"/>
      <c r="S11" s="9" t="s">
        <v>1247</v>
      </c>
      <c r="T11" s="9" t="s">
        <v>275</v>
      </c>
      <c r="U11" s="10">
        <v>375</v>
      </c>
      <c r="V11" s="9" t="s">
        <v>93</v>
      </c>
    </row>
    <row r="12" spans="1:22" ht="29" x14ac:dyDescent="0.35">
      <c r="A12" s="9" t="s">
        <v>1055</v>
      </c>
      <c r="B12" s="9" t="s">
        <v>32</v>
      </c>
      <c r="C12" s="10">
        <v>5000</v>
      </c>
      <c r="D12" s="10">
        <v>5000</v>
      </c>
      <c r="E12" s="9" t="s">
        <v>37</v>
      </c>
      <c r="F12" s="9" t="s">
        <v>439</v>
      </c>
      <c r="G12" s="9" t="s">
        <v>1056</v>
      </c>
      <c r="H12" s="157" t="s">
        <v>27</v>
      </c>
      <c r="I12" s="34"/>
      <c r="J12" s="195">
        <v>45894</v>
      </c>
      <c r="K12" s="239">
        <v>5000</v>
      </c>
      <c r="L12" s="27" t="s">
        <v>1057</v>
      </c>
      <c r="M12" s="27"/>
      <c r="N12" s="27" t="s">
        <v>1058</v>
      </c>
      <c r="P12" s="39" t="s">
        <v>50</v>
      </c>
      <c r="Q12" s="10"/>
      <c r="S12" s="9" t="s">
        <v>1248</v>
      </c>
      <c r="T12" s="9" t="s">
        <v>275</v>
      </c>
      <c r="U12" s="10">
        <v>250</v>
      </c>
      <c r="V12" s="9" t="s">
        <v>93</v>
      </c>
    </row>
    <row r="13" spans="1:22" ht="29" x14ac:dyDescent="0.35">
      <c r="A13" s="9" t="s">
        <v>1249</v>
      </c>
      <c r="B13" s="9" t="s">
        <v>118</v>
      </c>
      <c r="C13" s="10">
        <v>5000</v>
      </c>
      <c r="D13" s="10">
        <v>5000</v>
      </c>
      <c r="E13" s="9"/>
      <c r="F13" s="9">
        <v>9.25</v>
      </c>
      <c r="G13" s="9" t="s">
        <v>1250</v>
      </c>
      <c r="H13" s="9" t="s">
        <v>1251</v>
      </c>
      <c r="I13" s="34"/>
      <c r="J13" s="9"/>
      <c r="K13" s="9"/>
      <c r="L13" s="9" t="s">
        <v>1252</v>
      </c>
      <c r="M13" s="9"/>
      <c r="N13" s="87" t="s">
        <v>1253</v>
      </c>
      <c r="P13" s="39" t="s">
        <v>56</v>
      </c>
      <c r="Q13" s="10">
        <v>2500</v>
      </c>
      <c r="S13" s="9" t="s">
        <v>137</v>
      </c>
      <c r="T13" s="9" t="s">
        <v>275</v>
      </c>
      <c r="U13" s="10">
        <v>250</v>
      </c>
      <c r="V13" s="9"/>
    </row>
    <row r="14" spans="1:22" x14ac:dyDescent="0.35">
      <c r="A14" s="9" t="s">
        <v>313</v>
      </c>
      <c r="B14" s="9" t="s">
        <v>41</v>
      </c>
      <c r="C14" s="10">
        <v>2500</v>
      </c>
      <c r="D14" s="10">
        <v>2500</v>
      </c>
      <c r="E14" s="9" t="s">
        <v>95</v>
      </c>
      <c r="F14" s="9" t="s">
        <v>643</v>
      </c>
      <c r="G14" s="9"/>
      <c r="H14" s="94" t="s">
        <v>27</v>
      </c>
      <c r="I14" s="34"/>
      <c r="J14" s="9" t="s">
        <v>290</v>
      </c>
      <c r="K14" s="239">
        <v>2500</v>
      </c>
      <c r="L14" s="9" t="s">
        <v>1173</v>
      </c>
      <c r="M14" s="9"/>
      <c r="N14" s="9" t="s">
        <v>1174</v>
      </c>
      <c r="P14" s="39" t="s">
        <v>62</v>
      </c>
      <c r="Q14" s="10"/>
      <c r="S14" s="48" t="s">
        <v>170</v>
      </c>
      <c r="T14" s="48" t="s">
        <v>1245</v>
      </c>
      <c r="U14" s="55">
        <v>1000</v>
      </c>
      <c r="V14" s="48" t="s">
        <v>24</v>
      </c>
    </row>
    <row r="15" spans="1:22" x14ac:dyDescent="0.35">
      <c r="A15" s="9" t="s">
        <v>40</v>
      </c>
      <c r="B15" s="9" t="s">
        <v>41</v>
      </c>
      <c r="C15" s="10">
        <v>2500</v>
      </c>
      <c r="D15" s="10">
        <v>2500</v>
      </c>
      <c r="E15" s="9" t="s">
        <v>37</v>
      </c>
      <c r="F15" s="9" t="s">
        <v>42</v>
      </c>
      <c r="G15" s="9" t="s">
        <v>1254</v>
      </c>
      <c r="H15" s="94" t="s">
        <v>27</v>
      </c>
      <c r="I15" s="34"/>
      <c r="J15" s="9"/>
      <c r="K15" s="239"/>
      <c r="L15" s="9" t="s">
        <v>45</v>
      </c>
      <c r="M15" s="9"/>
      <c r="N15" s="9" t="s">
        <v>46</v>
      </c>
      <c r="P15" s="39" t="s">
        <v>68</v>
      </c>
      <c r="Q15" s="10"/>
      <c r="S15" s="48" t="s">
        <v>198</v>
      </c>
      <c r="T15" s="48" t="s">
        <v>1245</v>
      </c>
      <c r="U15" s="55">
        <v>1000</v>
      </c>
      <c r="V15" s="48" t="s">
        <v>95</v>
      </c>
    </row>
    <row r="16" spans="1:22" ht="29" x14ac:dyDescent="0.35">
      <c r="A16" s="9" t="s">
        <v>226</v>
      </c>
      <c r="B16" s="9" t="s">
        <v>41</v>
      </c>
      <c r="C16" s="10">
        <v>2500</v>
      </c>
      <c r="D16" s="10">
        <v>2000</v>
      </c>
      <c r="E16" s="9" t="s">
        <v>24</v>
      </c>
      <c r="F16" s="9" t="s">
        <v>172</v>
      </c>
      <c r="G16" s="9"/>
      <c r="H16" s="9"/>
      <c r="I16" s="34" t="s">
        <v>1246</v>
      </c>
      <c r="J16" s="195">
        <v>45931</v>
      </c>
      <c r="K16" s="239">
        <v>2000</v>
      </c>
      <c r="L16" s="9" t="s">
        <v>315</v>
      </c>
      <c r="M16" s="9"/>
      <c r="N16" s="9" t="s">
        <v>316</v>
      </c>
      <c r="P16" s="39" t="s">
        <v>76</v>
      </c>
      <c r="Q16" s="10"/>
      <c r="S16" s="48" t="s">
        <v>38</v>
      </c>
      <c r="T16" s="48" t="s">
        <v>1245</v>
      </c>
      <c r="U16" s="55">
        <v>1000</v>
      </c>
      <c r="V16" s="48" t="s">
        <v>24</v>
      </c>
    </row>
    <row r="17" spans="1:22" x14ac:dyDescent="0.35">
      <c r="A17" s="9" t="s">
        <v>22</v>
      </c>
      <c r="B17" s="9" t="s">
        <v>1255</v>
      </c>
      <c r="C17" s="10">
        <v>2500</v>
      </c>
      <c r="D17" s="10">
        <v>2500</v>
      </c>
      <c r="E17" s="9" t="s">
        <v>24</v>
      </c>
      <c r="F17" s="9" t="s">
        <v>25</v>
      </c>
      <c r="G17" s="9"/>
      <c r="H17" s="94" t="s">
        <v>27</v>
      </c>
      <c r="I17" s="34"/>
      <c r="J17" s="9" t="s">
        <v>28</v>
      </c>
      <c r="K17" s="239">
        <v>2500</v>
      </c>
      <c r="L17" s="9" t="s">
        <v>29</v>
      </c>
      <c r="M17" s="9"/>
      <c r="N17" s="87" t="s">
        <v>30</v>
      </c>
      <c r="P17" s="39" t="s">
        <v>81</v>
      </c>
      <c r="Q17" s="10"/>
      <c r="S17" s="48" t="s">
        <v>48</v>
      </c>
      <c r="T17" s="48" t="s">
        <v>1245</v>
      </c>
      <c r="U17" s="55">
        <v>1000</v>
      </c>
      <c r="V17" s="48" t="s">
        <v>37</v>
      </c>
    </row>
    <row r="18" spans="1:22" ht="29" x14ac:dyDescent="0.35">
      <c r="A18" s="9" t="s">
        <v>170</v>
      </c>
      <c r="B18" s="9" t="s">
        <v>1245</v>
      </c>
      <c r="C18" s="10">
        <v>1000</v>
      </c>
      <c r="D18" s="10">
        <v>1000</v>
      </c>
      <c r="E18" s="9" t="s">
        <v>24</v>
      </c>
      <c r="F18" s="9" t="s">
        <v>227</v>
      </c>
      <c r="G18" s="9" t="s">
        <v>228</v>
      </c>
      <c r="H18" s="9"/>
      <c r="I18" s="34" t="s">
        <v>1246</v>
      </c>
      <c r="J18" s="195">
        <v>45922</v>
      </c>
      <c r="K18" s="239">
        <v>1000</v>
      </c>
      <c r="L18" s="9" t="s">
        <v>230</v>
      </c>
      <c r="M18" s="9"/>
      <c r="N18" s="9" t="s">
        <v>231</v>
      </c>
      <c r="P18" s="39" t="s">
        <v>86</v>
      </c>
      <c r="Q18" s="10"/>
      <c r="S18" s="48" t="s">
        <v>226</v>
      </c>
      <c r="T18" s="48" t="s">
        <v>41</v>
      </c>
      <c r="U18" s="55">
        <v>2000</v>
      </c>
      <c r="V18" s="48" t="s">
        <v>24</v>
      </c>
    </row>
    <row r="19" spans="1:22" x14ac:dyDescent="0.35">
      <c r="A19" s="9" t="s">
        <v>57</v>
      </c>
      <c r="B19" s="9" t="s">
        <v>1245</v>
      </c>
      <c r="C19" s="10">
        <v>1000</v>
      </c>
      <c r="D19" s="10">
        <v>1000</v>
      </c>
      <c r="E19" s="9" t="s">
        <v>24</v>
      </c>
      <c r="F19" s="9" t="s">
        <v>58</v>
      </c>
      <c r="G19" s="9"/>
      <c r="H19" s="94" t="s">
        <v>27</v>
      </c>
      <c r="I19" s="34"/>
      <c r="J19" s="195">
        <v>45980</v>
      </c>
      <c r="K19" s="239">
        <v>1000</v>
      </c>
      <c r="L19" s="9" t="s">
        <v>60</v>
      </c>
      <c r="M19" s="9"/>
      <c r="N19" s="9" t="s">
        <v>61</v>
      </c>
      <c r="P19" s="39" t="s">
        <v>90</v>
      </c>
      <c r="Q19" s="10">
        <v>3000</v>
      </c>
      <c r="S19" s="48" t="s">
        <v>243</v>
      </c>
      <c r="T19" s="48" t="s">
        <v>1245</v>
      </c>
      <c r="U19" s="55">
        <v>1000</v>
      </c>
      <c r="V19" s="48" t="s">
        <v>24</v>
      </c>
    </row>
    <row r="20" spans="1:22" x14ac:dyDescent="0.35">
      <c r="A20" s="9" t="s">
        <v>117</v>
      </c>
      <c r="B20" s="9" t="s">
        <v>1245</v>
      </c>
      <c r="C20" s="10">
        <v>1000</v>
      </c>
      <c r="D20" s="10">
        <v>500</v>
      </c>
      <c r="E20" s="9" t="s">
        <v>95</v>
      </c>
      <c r="F20" s="9" t="s">
        <v>119</v>
      </c>
      <c r="G20" s="9"/>
      <c r="H20" s="9"/>
      <c r="I20" s="34" t="s">
        <v>1246</v>
      </c>
      <c r="J20" s="9"/>
      <c r="K20" s="239"/>
      <c r="L20" s="9" t="s">
        <v>122</v>
      </c>
      <c r="M20" s="9"/>
      <c r="N20" s="87" t="s">
        <v>123</v>
      </c>
      <c r="P20" s="39" t="s">
        <v>91</v>
      </c>
      <c r="Q20" s="10"/>
      <c r="S20" s="9" t="s">
        <v>1256</v>
      </c>
      <c r="T20" s="9" t="s">
        <v>275</v>
      </c>
      <c r="U20" s="9">
        <v>125</v>
      </c>
      <c r="V20" s="9"/>
    </row>
    <row r="21" spans="1:22" x14ac:dyDescent="0.35">
      <c r="A21" s="9" t="s">
        <v>187</v>
      </c>
      <c r="B21" s="9" t="s">
        <v>1245</v>
      </c>
      <c r="C21" s="10">
        <v>1000</v>
      </c>
      <c r="D21" s="10">
        <v>1000</v>
      </c>
      <c r="E21" s="9" t="s">
        <v>24</v>
      </c>
      <c r="F21" s="9" t="s">
        <v>189</v>
      </c>
      <c r="G21" s="9"/>
      <c r="H21" s="94" t="s">
        <v>27</v>
      </c>
      <c r="I21" s="34"/>
      <c r="J21" s="9" t="s">
        <v>172</v>
      </c>
      <c r="K21" s="239">
        <v>1000</v>
      </c>
      <c r="L21" s="9" t="s">
        <v>190</v>
      </c>
      <c r="M21" s="9"/>
      <c r="N21" s="9" t="s">
        <v>191</v>
      </c>
      <c r="P21" s="39" t="s">
        <v>92</v>
      </c>
      <c r="Q21" s="10">
        <v>1000</v>
      </c>
      <c r="S21" s="9" t="s">
        <v>288</v>
      </c>
      <c r="T21" s="9" t="s">
        <v>1245</v>
      </c>
      <c r="U21" s="10">
        <v>1000</v>
      </c>
      <c r="V21" s="9" t="s">
        <v>24</v>
      </c>
    </row>
    <row r="22" spans="1:22" x14ac:dyDescent="0.35">
      <c r="A22" s="9" t="s">
        <v>48</v>
      </c>
      <c r="B22" s="9" t="s">
        <v>1245</v>
      </c>
      <c r="C22" s="10">
        <v>1000</v>
      </c>
      <c r="D22" s="10">
        <v>1000</v>
      </c>
      <c r="E22" s="9" t="s">
        <v>24</v>
      </c>
      <c r="F22" s="9" t="s">
        <v>64</v>
      </c>
      <c r="G22" s="9"/>
      <c r="H22" s="9"/>
      <c r="I22" s="34" t="s">
        <v>1246</v>
      </c>
      <c r="J22" s="195">
        <v>45924</v>
      </c>
      <c r="K22" s="239">
        <v>1000</v>
      </c>
      <c r="L22" s="9" t="s">
        <v>66</v>
      </c>
      <c r="M22" s="9"/>
      <c r="N22" s="9" t="s">
        <v>67</v>
      </c>
      <c r="P22" s="39" t="s">
        <v>93</v>
      </c>
      <c r="Q22" s="10">
        <v>1000</v>
      </c>
      <c r="S22" s="48" t="s">
        <v>515</v>
      </c>
      <c r="T22" s="48" t="s">
        <v>1245</v>
      </c>
      <c r="U22" s="55">
        <v>1000</v>
      </c>
      <c r="V22" s="48" t="s">
        <v>24</v>
      </c>
    </row>
    <row r="23" spans="1:22" x14ac:dyDescent="0.35">
      <c r="A23" s="9" t="s">
        <v>232</v>
      </c>
      <c r="B23" s="9" t="s">
        <v>1245</v>
      </c>
      <c r="C23" s="10">
        <v>1000</v>
      </c>
      <c r="D23" s="10">
        <v>1000</v>
      </c>
      <c r="E23" s="9" t="s">
        <v>24</v>
      </c>
      <c r="F23" s="9" t="s">
        <v>42</v>
      </c>
      <c r="G23" s="9"/>
      <c r="H23" s="9"/>
      <c r="I23" s="34" t="s">
        <v>1246</v>
      </c>
      <c r="J23" s="195">
        <v>45947</v>
      </c>
      <c r="K23" s="239">
        <v>1000</v>
      </c>
      <c r="L23" s="9" t="s">
        <v>233</v>
      </c>
      <c r="M23" s="9"/>
      <c r="N23" s="9" t="s">
        <v>234</v>
      </c>
      <c r="P23" s="39" t="s">
        <v>94</v>
      </c>
      <c r="Q23" s="10"/>
      <c r="S23" s="48" t="s">
        <v>160</v>
      </c>
      <c r="T23" s="48" t="s">
        <v>32</v>
      </c>
      <c r="U23" s="55">
        <v>2975</v>
      </c>
      <c r="V23" s="48" t="s">
        <v>86</v>
      </c>
    </row>
    <row r="24" spans="1:22" x14ac:dyDescent="0.35">
      <c r="A24" s="9" t="s">
        <v>235</v>
      </c>
      <c r="B24" s="9" t="s">
        <v>1245</v>
      </c>
      <c r="C24" s="10">
        <v>1000</v>
      </c>
      <c r="D24" s="10">
        <v>1000</v>
      </c>
      <c r="E24" s="9" t="s">
        <v>24</v>
      </c>
      <c r="F24" s="9" t="s">
        <v>236</v>
      </c>
      <c r="G24" s="9"/>
      <c r="H24" s="9"/>
      <c r="I24" s="34" t="s">
        <v>1246</v>
      </c>
      <c r="J24" s="195">
        <v>45919</v>
      </c>
      <c r="K24" s="239">
        <v>1000</v>
      </c>
      <c r="L24" s="9" t="s">
        <v>237</v>
      </c>
      <c r="M24" s="9"/>
      <c r="N24" s="9" t="s">
        <v>238</v>
      </c>
      <c r="P24" s="39" t="s">
        <v>95</v>
      </c>
      <c r="Q24" s="10">
        <v>4000</v>
      </c>
      <c r="S24" s="48" t="s">
        <v>57</v>
      </c>
      <c r="T24" s="48" t="s">
        <v>1245</v>
      </c>
      <c r="U24" s="55">
        <v>1000</v>
      </c>
      <c r="V24" s="48" t="s">
        <v>24</v>
      </c>
    </row>
    <row r="25" spans="1:22" ht="29" x14ac:dyDescent="0.35">
      <c r="A25" s="9" t="s">
        <v>31</v>
      </c>
      <c r="B25" s="9" t="s">
        <v>1245</v>
      </c>
      <c r="C25" s="10">
        <v>1000</v>
      </c>
      <c r="D25" s="10">
        <v>1000</v>
      </c>
      <c r="E25" s="9" t="s">
        <v>24</v>
      </c>
      <c r="F25" s="9" t="s">
        <v>33</v>
      </c>
      <c r="G25" s="9"/>
      <c r="H25" s="9"/>
      <c r="I25" s="34" t="s">
        <v>1246</v>
      </c>
      <c r="J25" s="195">
        <v>45932</v>
      </c>
      <c r="K25" s="239">
        <v>1000</v>
      </c>
      <c r="L25" s="9" t="s">
        <v>35</v>
      </c>
      <c r="M25" s="9"/>
      <c r="N25" s="87" t="s">
        <v>36</v>
      </c>
      <c r="P25" s="39" t="s">
        <v>96</v>
      </c>
      <c r="Q25" s="10"/>
      <c r="S25" s="48" t="s">
        <v>313</v>
      </c>
      <c r="T25" s="48" t="s">
        <v>32</v>
      </c>
      <c r="U25" s="55">
        <v>2500</v>
      </c>
      <c r="V25" s="48" t="s">
        <v>95</v>
      </c>
    </row>
    <row r="26" spans="1:22" x14ac:dyDescent="0.35">
      <c r="A26" s="9" t="s">
        <v>198</v>
      </c>
      <c r="B26" s="9" t="s">
        <v>1245</v>
      </c>
      <c r="C26" s="10">
        <v>1000</v>
      </c>
      <c r="D26" s="10">
        <v>1000</v>
      </c>
      <c r="E26" s="9" t="s">
        <v>95</v>
      </c>
      <c r="F26" s="9" t="s">
        <v>142</v>
      </c>
      <c r="G26" s="9"/>
      <c r="H26" s="9"/>
      <c r="I26" s="34" t="s">
        <v>1246</v>
      </c>
      <c r="J26" s="9"/>
      <c r="K26" s="239"/>
      <c r="L26" s="9" t="s">
        <v>240</v>
      </c>
      <c r="M26" s="9"/>
      <c r="N26" s="87" t="s">
        <v>241</v>
      </c>
      <c r="P26" s="39" t="s">
        <v>97</v>
      </c>
      <c r="Q26" s="10"/>
      <c r="S26" s="9" t="s">
        <v>670</v>
      </c>
      <c r="T26" s="9" t="s">
        <v>1245</v>
      </c>
      <c r="U26" s="10">
        <v>1000</v>
      </c>
      <c r="V26" s="9" t="s">
        <v>76</v>
      </c>
    </row>
    <row r="27" spans="1:22" x14ac:dyDescent="0.35">
      <c r="A27" s="9" t="s">
        <v>243</v>
      </c>
      <c r="B27" s="9" t="s">
        <v>1245</v>
      </c>
      <c r="C27" s="10">
        <v>1000</v>
      </c>
      <c r="D27" s="10">
        <v>1000</v>
      </c>
      <c r="E27" s="9" t="s">
        <v>24</v>
      </c>
      <c r="F27" s="9" t="s">
        <v>147</v>
      </c>
      <c r="G27" s="9"/>
      <c r="H27" s="9"/>
      <c r="I27" s="34" t="s">
        <v>1246</v>
      </c>
      <c r="J27" s="195">
        <v>45951</v>
      </c>
      <c r="K27" s="239">
        <v>1000</v>
      </c>
      <c r="L27" s="9" t="s">
        <v>245</v>
      </c>
      <c r="M27" s="9"/>
      <c r="N27" s="87" t="s">
        <v>246</v>
      </c>
      <c r="P27" s="39" t="s">
        <v>98</v>
      </c>
      <c r="Q27" s="10">
        <v>5200</v>
      </c>
      <c r="S27" s="48" t="s">
        <v>146</v>
      </c>
      <c r="T27" s="48" t="s">
        <v>1245</v>
      </c>
      <c r="U27" s="55">
        <v>1000</v>
      </c>
      <c r="V27" s="48" t="s">
        <v>24</v>
      </c>
    </row>
    <row r="28" spans="1:22" x14ac:dyDescent="0.35">
      <c r="A28" s="9" t="s">
        <v>146</v>
      </c>
      <c r="B28" s="9" t="s">
        <v>1245</v>
      </c>
      <c r="C28" s="10">
        <v>1000</v>
      </c>
      <c r="D28" s="10">
        <v>1000</v>
      </c>
      <c r="E28" s="9" t="s">
        <v>24</v>
      </c>
      <c r="F28" s="9" t="s">
        <v>147</v>
      </c>
      <c r="G28" s="9"/>
      <c r="H28" s="9"/>
      <c r="I28" s="34" t="s">
        <v>1246</v>
      </c>
      <c r="J28" s="195">
        <v>45919</v>
      </c>
      <c r="K28" s="239">
        <v>1000</v>
      </c>
      <c r="L28" s="9" t="s">
        <v>149</v>
      </c>
      <c r="M28" s="9"/>
      <c r="N28" s="9" t="s">
        <v>150</v>
      </c>
      <c r="P28" s="45" t="s">
        <v>99</v>
      </c>
      <c r="Q28" s="46">
        <v>40700</v>
      </c>
      <c r="S28" s="9" t="s">
        <v>1257</v>
      </c>
      <c r="T28" s="9" t="s">
        <v>1245</v>
      </c>
      <c r="U28" s="10">
        <v>800</v>
      </c>
      <c r="V28" s="9" t="s">
        <v>90</v>
      </c>
    </row>
    <row r="29" spans="1:22" ht="29" x14ac:dyDescent="0.35">
      <c r="A29" s="9" t="s">
        <v>126</v>
      </c>
      <c r="B29" s="9" t="s">
        <v>1245</v>
      </c>
      <c r="C29" s="10">
        <v>1000</v>
      </c>
      <c r="D29" s="10">
        <v>1000</v>
      </c>
      <c r="E29" s="9" t="s">
        <v>37</v>
      </c>
      <c r="F29" s="9" t="s">
        <v>253</v>
      </c>
      <c r="G29" s="9"/>
      <c r="H29" s="94" t="s">
        <v>27</v>
      </c>
      <c r="I29" s="34"/>
      <c r="J29" s="9" t="s">
        <v>256</v>
      </c>
      <c r="K29" s="239">
        <v>1000</v>
      </c>
      <c r="L29" s="9" t="s">
        <v>257</v>
      </c>
      <c r="M29" s="9"/>
      <c r="N29" s="87" t="s">
        <v>258</v>
      </c>
      <c r="S29" s="48" t="s">
        <v>356</v>
      </c>
      <c r="T29" s="48" t="s">
        <v>1245</v>
      </c>
      <c r="U29" s="55">
        <v>1000</v>
      </c>
      <c r="V29" s="48" t="s">
        <v>92</v>
      </c>
    </row>
    <row r="30" spans="1:22" x14ac:dyDescent="0.35">
      <c r="A30" s="9" t="s">
        <v>356</v>
      </c>
      <c r="B30" s="9" t="s">
        <v>1245</v>
      </c>
      <c r="C30" s="10">
        <v>1000</v>
      </c>
      <c r="D30" s="10">
        <v>1000</v>
      </c>
      <c r="E30" s="9" t="s">
        <v>92</v>
      </c>
      <c r="F30" s="9" t="s">
        <v>353</v>
      </c>
      <c r="G30" s="9"/>
      <c r="H30" s="9"/>
      <c r="I30" s="34" t="s">
        <v>1246</v>
      </c>
      <c r="J30" s="195">
        <v>45933</v>
      </c>
      <c r="K30" s="239">
        <v>1000</v>
      </c>
      <c r="L30" s="9" t="s">
        <v>357</v>
      </c>
      <c r="M30" s="9"/>
      <c r="N30" s="101" t="s">
        <v>358</v>
      </c>
      <c r="S30" s="9" t="s">
        <v>377</v>
      </c>
      <c r="T30" s="9" t="s">
        <v>1245</v>
      </c>
      <c r="U30" s="10">
        <v>1000</v>
      </c>
      <c r="V30" s="9" t="s">
        <v>92</v>
      </c>
    </row>
    <row r="31" spans="1:22" x14ac:dyDescent="0.35">
      <c r="A31" s="9" t="s">
        <v>515</v>
      </c>
      <c r="B31" s="9" t="s">
        <v>1245</v>
      </c>
      <c r="C31" s="10">
        <v>1000</v>
      </c>
      <c r="D31" s="10">
        <v>1000</v>
      </c>
      <c r="E31" s="9" t="s">
        <v>24</v>
      </c>
      <c r="F31" s="9" t="s">
        <v>28</v>
      </c>
      <c r="G31" s="9"/>
      <c r="H31" s="9"/>
      <c r="I31" s="34" t="s">
        <v>1246</v>
      </c>
      <c r="J31" s="195">
        <v>45925</v>
      </c>
      <c r="K31" s="239">
        <v>1000</v>
      </c>
      <c r="L31" s="9" t="s">
        <v>518</v>
      </c>
      <c r="M31" s="9"/>
      <c r="N31" s="9" t="s">
        <v>519</v>
      </c>
      <c r="S31" s="48" t="s">
        <v>232</v>
      </c>
      <c r="T31" s="48" t="s">
        <v>1245</v>
      </c>
      <c r="U31" s="55">
        <v>1000</v>
      </c>
      <c r="V31" s="48" t="s">
        <v>24</v>
      </c>
    </row>
    <row r="32" spans="1:22" x14ac:dyDescent="0.35">
      <c r="A32" s="112" t="s">
        <v>494</v>
      </c>
      <c r="B32" s="9" t="s">
        <v>1245</v>
      </c>
      <c r="C32" s="10">
        <v>1000</v>
      </c>
      <c r="D32" s="113" t="s">
        <v>842</v>
      </c>
      <c r="E32" s="9" t="s">
        <v>93</v>
      </c>
      <c r="F32" s="9" t="s">
        <v>256</v>
      </c>
      <c r="G32" s="9"/>
      <c r="H32" s="9"/>
      <c r="I32" s="34" t="s">
        <v>1246</v>
      </c>
      <c r="J32" s="9"/>
      <c r="K32" s="239">
        <v>0</v>
      </c>
      <c r="L32" s="9" t="s">
        <v>453</v>
      </c>
      <c r="M32" s="9"/>
      <c r="N32" s="101" t="s">
        <v>454</v>
      </c>
      <c r="S32" s="48" t="s">
        <v>235</v>
      </c>
      <c r="T32" s="48" t="s">
        <v>1245</v>
      </c>
      <c r="U32" s="55">
        <v>1000</v>
      </c>
      <c r="V32" s="48" t="s">
        <v>24</v>
      </c>
    </row>
    <row r="33" spans="1:22" x14ac:dyDescent="0.35">
      <c r="A33" s="9" t="s">
        <v>140</v>
      </c>
      <c r="B33" s="9" t="s">
        <v>1245</v>
      </c>
      <c r="C33" s="10">
        <v>1000</v>
      </c>
      <c r="D33" s="10">
        <v>1000</v>
      </c>
      <c r="E33" s="9" t="s">
        <v>37</v>
      </c>
      <c r="F33" s="9" t="s">
        <v>1258</v>
      </c>
      <c r="G33" s="9"/>
      <c r="H33" s="9"/>
      <c r="I33" s="34" t="s">
        <v>1246</v>
      </c>
      <c r="J33" s="195">
        <v>45919</v>
      </c>
      <c r="K33" s="239">
        <v>1000</v>
      </c>
      <c r="L33" s="9" t="s">
        <v>1259</v>
      </c>
      <c r="M33" s="9"/>
      <c r="N33" s="9" t="s">
        <v>1260</v>
      </c>
      <c r="S33" s="48" t="s">
        <v>401</v>
      </c>
      <c r="T33" s="48" t="s">
        <v>1255</v>
      </c>
      <c r="U33" s="55">
        <v>2500</v>
      </c>
      <c r="V33" s="48" t="s">
        <v>24</v>
      </c>
    </row>
    <row r="34" spans="1:22" x14ac:dyDescent="0.35">
      <c r="A34" s="9" t="s">
        <v>345</v>
      </c>
      <c r="B34" s="9" t="s">
        <v>732</v>
      </c>
      <c r="C34" s="10">
        <v>80</v>
      </c>
      <c r="D34" s="10">
        <v>80</v>
      </c>
      <c r="E34" s="9"/>
      <c r="F34" s="9"/>
      <c r="G34" s="9"/>
      <c r="H34" s="9"/>
      <c r="I34" s="34"/>
      <c r="J34" s="195">
        <v>45922</v>
      </c>
      <c r="K34" s="239">
        <v>80</v>
      </c>
      <c r="L34" s="9"/>
      <c r="M34" s="9"/>
      <c r="N34" s="9"/>
      <c r="S34" s="48" t="s">
        <v>40</v>
      </c>
      <c r="T34" s="48" t="s">
        <v>1245</v>
      </c>
      <c r="U34" s="55">
        <v>1000</v>
      </c>
      <c r="V34" s="48" t="s">
        <v>37</v>
      </c>
    </row>
    <row r="35" spans="1:22" x14ac:dyDescent="0.35">
      <c r="A35" s="9" t="s">
        <v>378</v>
      </c>
      <c r="B35" s="9" t="s">
        <v>732</v>
      </c>
      <c r="C35" s="10">
        <v>80</v>
      </c>
      <c r="D35" s="10">
        <v>120</v>
      </c>
      <c r="E35" s="9"/>
      <c r="F35" s="9" t="s">
        <v>1261</v>
      </c>
      <c r="G35" s="9" t="s">
        <v>1090</v>
      </c>
      <c r="H35" s="9"/>
      <c r="I35" s="34"/>
      <c r="J35" s="9" t="s">
        <v>1261</v>
      </c>
      <c r="K35" s="9">
        <v>120</v>
      </c>
      <c r="L35" s="9"/>
      <c r="M35" s="9"/>
      <c r="N35" s="9"/>
      <c r="S35" s="48" t="s">
        <v>117</v>
      </c>
      <c r="T35" s="48" t="s">
        <v>1245</v>
      </c>
      <c r="U35" s="55">
        <v>1000</v>
      </c>
      <c r="V35" s="48" t="s">
        <v>96</v>
      </c>
    </row>
    <row r="36" spans="1:22" x14ac:dyDescent="0.35">
      <c r="C36" s="21"/>
      <c r="D36" s="21"/>
      <c r="K36" s="29">
        <f>SUM(K9:K35)</f>
        <v>30700</v>
      </c>
      <c r="U36" s="21"/>
    </row>
    <row r="37" spans="1:22" x14ac:dyDescent="0.35">
      <c r="C37" s="21"/>
      <c r="D37" s="21"/>
    </row>
    <row r="38" spans="1:22" x14ac:dyDescent="0.35">
      <c r="C38" s="21"/>
      <c r="D38" s="21"/>
      <c r="U38" s="21"/>
    </row>
    <row r="39" spans="1:22" x14ac:dyDescent="0.35">
      <c r="C39" s="21"/>
      <c r="D39" s="21"/>
      <c r="U39" s="21"/>
    </row>
    <row r="40" spans="1:22" x14ac:dyDescent="0.35">
      <c r="C40" s="21"/>
      <c r="D40" s="21"/>
    </row>
    <row r="41" spans="1:22" x14ac:dyDescent="0.35">
      <c r="C41" s="21"/>
      <c r="D41" s="21"/>
    </row>
    <row r="42" spans="1:22" x14ac:dyDescent="0.35">
      <c r="C42" s="21"/>
      <c r="D42" s="21"/>
    </row>
    <row r="43" spans="1:22" x14ac:dyDescent="0.35">
      <c r="C43" s="21"/>
      <c r="D43" s="21"/>
    </row>
    <row r="44" spans="1:22" x14ac:dyDescent="0.35">
      <c r="C44" s="21"/>
      <c r="D44" s="21"/>
    </row>
    <row r="45" spans="1:22" x14ac:dyDescent="0.35">
      <c r="C45" s="21"/>
      <c r="D45" s="21"/>
    </row>
    <row r="46" spans="1:22" x14ac:dyDescent="0.35">
      <c r="C46" s="21"/>
      <c r="D46" s="21"/>
    </row>
    <row r="47" spans="1:22" x14ac:dyDescent="0.35">
      <c r="C47" s="21"/>
      <c r="D47" s="21"/>
    </row>
    <row r="48" spans="1:22" x14ac:dyDescent="0.35">
      <c r="C48" s="21"/>
      <c r="D48" s="21"/>
    </row>
    <row r="49" spans="3:4" x14ac:dyDescent="0.35">
      <c r="C49" s="21"/>
      <c r="D49" s="21"/>
    </row>
    <row r="50" spans="3:4" x14ac:dyDescent="0.35">
      <c r="C50" s="21"/>
      <c r="D50" s="21"/>
    </row>
    <row r="51" spans="3:4" x14ac:dyDescent="0.35">
      <c r="C51" s="21"/>
      <c r="D51" s="21"/>
    </row>
    <row r="52" spans="3:4" x14ac:dyDescent="0.35">
      <c r="C52" s="21"/>
      <c r="D52" s="21"/>
    </row>
    <row r="53" spans="3:4" x14ac:dyDescent="0.35">
      <c r="C53" s="21"/>
      <c r="D53" s="21"/>
    </row>
    <row r="54" spans="3:4" x14ac:dyDescent="0.35">
      <c r="C54" s="21"/>
      <c r="D54" s="21"/>
    </row>
    <row r="55" spans="3:4" x14ac:dyDescent="0.35">
      <c r="C55" s="21"/>
      <c r="D55" s="21"/>
    </row>
    <row r="56" spans="3:4" x14ac:dyDescent="0.35">
      <c r="C56" s="21"/>
      <c r="D56" s="21"/>
    </row>
    <row r="57" spans="3:4" x14ac:dyDescent="0.35">
      <c r="C57" s="21"/>
      <c r="D57" s="21"/>
    </row>
    <row r="58" spans="3:4" x14ac:dyDescent="0.35">
      <c r="C58" s="21"/>
      <c r="D58" s="21"/>
    </row>
    <row r="59" spans="3:4" x14ac:dyDescent="0.35">
      <c r="C59" s="21"/>
      <c r="D59" s="21"/>
    </row>
    <row r="60" spans="3:4" x14ac:dyDescent="0.35">
      <c r="C60" s="21"/>
      <c r="D60" s="21"/>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V39">
    <sortCondition ref="S9:S39"/>
  </sortState>
  <hyperlinks>
    <hyperlink ref="N20" r:id="rId2" xr:uid="{C68DC135-D59A-4927-BEB5-EF030A1976D9}"/>
    <hyperlink ref="N25" r:id="rId3" display="mailto:Crystal.Floyd@acxiom.com" xr:uid="{E677AD5A-1EC9-4B0A-B029-44F343EC7E10}"/>
    <hyperlink ref="N26" r:id="rId4" xr:uid="{44004173-4B40-4F9E-BE01-59C98C29A92E}"/>
    <hyperlink ref="N29" r:id="rId5" display="mailto:mcahillwicks@arvest.com" xr:uid="{E588ACC1-C04A-4DF5-95A7-49684EC13799}"/>
    <hyperlink ref="N30" r:id="rId6" display="mailto:michellemallett@ottinsurance.com" xr:uid="{31C0D613-AA19-448E-A79D-B90627A121BD}"/>
    <hyperlink ref="N10" r:id="rId7" display="mailto:DLTackett@GarverUSA.com" xr:uid="{96C892E6-0353-4861-A847-A7451C137E50}"/>
    <hyperlink ref="N17" r:id="rId8" display="mailto:jay.bernard.l8if@statefarm.com" xr:uid="{C59E97C2-4B77-4275-9F8F-9BE2D8960547}"/>
    <hyperlink ref="N11" r:id="rId9" xr:uid="{0B2F41D1-43D9-4241-B76E-6E60CB66FF6B}"/>
    <hyperlink ref="N32" r:id="rId10" display="mailto:crosscreekcaitlin@gmail.com" xr:uid="{C03070FF-D451-4B7A-93F2-96ACE758E79C}"/>
    <hyperlink ref="N27" r:id="rId11" xr:uid="{C7035B95-D2CA-4A20-AD3B-5A3E6BC6F3D2}"/>
    <hyperlink ref="N13" r:id="rId12" xr:uid="{2E4203D2-2515-48F9-BE51-D1867A384E4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5D3C8-8E86-48C2-91D2-5BCD89D4E175}">
  <dimension ref="A1:W317"/>
  <sheetViews>
    <sheetView workbookViewId="0">
      <pane ySplit="8" topLeftCell="A72" activePane="bottomLeft" state="frozen"/>
      <selection pane="bottomLeft" activeCell="D74" sqref="D74"/>
    </sheetView>
  </sheetViews>
  <sheetFormatPr defaultColWidth="40.26953125" defaultRowHeight="14.5" x14ac:dyDescent="0.35"/>
  <cols>
    <col min="1" max="1" width="41.54296875" style="5" bestFit="1" customWidth="1"/>
    <col min="2" max="2" width="19.54296875" style="5" bestFit="1" customWidth="1"/>
    <col min="3" max="3" width="11.81640625" style="5" customWidth="1"/>
    <col min="4" max="4" width="15.81640625" style="5" bestFit="1" customWidth="1"/>
    <col min="5" max="5" width="8.7265625" style="5" bestFit="1" customWidth="1"/>
    <col min="6" max="6" width="11.1796875" style="5" bestFit="1" customWidth="1"/>
    <col min="7" max="7" width="43.7265625" style="5" customWidth="1"/>
    <col min="8" max="8" width="16.26953125" style="5" bestFit="1" customWidth="1"/>
    <col min="9" max="9" width="10.1796875" bestFit="1" customWidth="1"/>
    <col min="10" max="10" width="10.26953125" style="5" bestFit="1" customWidth="1"/>
    <col min="11" max="11" width="14.453125" style="5" bestFit="1" customWidth="1"/>
    <col min="12" max="12" width="17.26953125" style="5" customWidth="1"/>
    <col min="13" max="13" width="7.54296875" style="5" bestFit="1" customWidth="1"/>
    <col min="14" max="14" width="32.1796875" style="5" bestFit="1" customWidth="1"/>
    <col min="15" max="15" width="12.1796875" style="5" customWidth="1"/>
    <col min="16" max="17" width="11" style="5" bestFit="1" customWidth="1"/>
    <col min="18" max="18" width="16.453125" style="5" customWidth="1"/>
    <col min="19" max="19" width="33.453125" style="5" bestFit="1" customWidth="1"/>
    <col min="20" max="20" width="14.453125" style="5" bestFit="1" customWidth="1"/>
    <col min="21" max="21" width="10.1796875" style="5" bestFit="1" customWidth="1"/>
    <col min="22" max="22" width="15.81640625" style="5" bestFit="1" customWidth="1"/>
    <col min="23" max="23" width="8.7265625" style="5" bestFit="1" customWidth="1"/>
    <col min="24" max="16384" width="40.26953125" style="5"/>
  </cols>
  <sheetData>
    <row r="1" spans="1:23" x14ac:dyDescent="0.35">
      <c r="A1" s="4" t="s">
        <v>1262</v>
      </c>
      <c r="B1" s="4">
        <v>2025</v>
      </c>
      <c r="S1" s="4" t="s">
        <v>1262</v>
      </c>
      <c r="T1" s="4">
        <v>2024</v>
      </c>
    </row>
    <row r="2" spans="1:23" ht="29" x14ac:dyDescent="0.35">
      <c r="A2" s="6" t="s">
        <v>1</v>
      </c>
      <c r="B2" s="7">
        <f>SUM(D9:D89)</f>
        <v>23840</v>
      </c>
      <c r="G2" s="47" t="s">
        <v>1263</v>
      </c>
      <c r="K2" s="11" t="s">
        <v>2</v>
      </c>
      <c r="S2" s="6" t="s">
        <v>1</v>
      </c>
      <c r="T2" s="7">
        <f>SUM(V9:V51)</f>
        <v>20275</v>
      </c>
    </row>
    <row r="3" spans="1:23" x14ac:dyDescent="0.35">
      <c r="A3" s="6" t="s">
        <v>3</v>
      </c>
      <c r="B3" s="7">
        <v>18000</v>
      </c>
      <c r="K3" s="7">
        <f>SUM(K94-B2)</f>
        <v>-2510</v>
      </c>
      <c r="S3" s="6" t="s">
        <v>3</v>
      </c>
      <c r="T3" s="7">
        <v>15500</v>
      </c>
    </row>
    <row r="4" spans="1:23" x14ac:dyDescent="0.35">
      <c r="A4" s="6" t="s">
        <v>4</v>
      </c>
      <c r="B4" s="7">
        <f>MIN(B2-B3)</f>
        <v>5840</v>
      </c>
      <c r="K4" s="42">
        <f>K94/B2</f>
        <v>0.89471476510067116</v>
      </c>
      <c r="S4" s="6" t="s">
        <v>4</v>
      </c>
      <c r="T4" s="7">
        <f>MIN(T2-T3)</f>
        <v>4775</v>
      </c>
    </row>
    <row r="5" spans="1:23" x14ac:dyDescent="0.35">
      <c r="A5" s="6" t="s">
        <v>5</v>
      </c>
      <c r="B5" s="7">
        <v>23000</v>
      </c>
      <c r="S5" s="6" t="s">
        <v>5</v>
      </c>
      <c r="T5" s="7">
        <v>20000</v>
      </c>
    </row>
    <row r="6" spans="1:23" x14ac:dyDescent="0.35">
      <c r="A6" s="6" t="s">
        <v>4</v>
      </c>
      <c r="B6" s="7">
        <f>MIN(B2-B5)</f>
        <v>840</v>
      </c>
      <c r="S6" s="6" t="s">
        <v>4</v>
      </c>
      <c r="T6" s="7">
        <f>MIN(T2-T5)</f>
        <v>275</v>
      </c>
    </row>
    <row r="8" spans="1:23"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c r="S8" s="8" t="s">
        <v>6</v>
      </c>
      <c r="T8" s="8" t="s">
        <v>21</v>
      </c>
      <c r="U8" s="8" t="s">
        <v>8</v>
      </c>
      <c r="V8" s="8" t="s">
        <v>9</v>
      </c>
      <c r="W8" s="8" t="s">
        <v>10</v>
      </c>
    </row>
    <row r="9" spans="1:23" x14ac:dyDescent="0.35">
      <c r="A9" s="9" t="s">
        <v>146</v>
      </c>
      <c r="B9" s="9" t="s">
        <v>23</v>
      </c>
      <c r="C9" s="10">
        <v>10000</v>
      </c>
      <c r="D9" s="10">
        <v>10000</v>
      </c>
      <c r="E9" s="9" t="s">
        <v>24</v>
      </c>
      <c r="F9" s="9" t="s">
        <v>1183</v>
      </c>
      <c r="G9" s="9"/>
      <c r="H9" s="165"/>
      <c r="I9" s="34"/>
      <c r="J9" s="127" t="s">
        <v>148</v>
      </c>
      <c r="K9" s="10">
        <v>10000</v>
      </c>
      <c r="L9" s="9" t="s">
        <v>149</v>
      </c>
      <c r="M9" s="9"/>
      <c r="N9" s="9" t="s">
        <v>150</v>
      </c>
      <c r="P9" s="39" t="s">
        <v>24</v>
      </c>
      <c r="Q9" s="10">
        <v>10000</v>
      </c>
      <c r="S9" s="9" t="s">
        <v>1264</v>
      </c>
      <c r="T9" s="9" t="s">
        <v>1245</v>
      </c>
      <c r="U9" s="10">
        <v>200</v>
      </c>
      <c r="V9" s="10">
        <v>200</v>
      </c>
      <c r="W9" s="9" t="s">
        <v>76</v>
      </c>
    </row>
    <row r="10" spans="1:23" ht="43.5" x14ac:dyDescent="0.35">
      <c r="A10" s="9" t="s">
        <v>434</v>
      </c>
      <c r="B10" s="9" t="s">
        <v>32</v>
      </c>
      <c r="C10" s="10">
        <v>7500</v>
      </c>
      <c r="D10" s="10">
        <v>6000</v>
      </c>
      <c r="E10" s="9" t="s">
        <v>95</v>
      </c>
      <c r="F10" s="9" t="s">
        <v>1183</v>
      </c>
      <c r="G10" s="9"/>
      <c r="H10" s="163" t="s">
        <v>27</v>
      </c>
      <c r="I10" s="34"/>
      <c r="J10" s="127" t="s">
        <v>1265</v>
      </c>
      <c r="K10" s="10">
        <f>1200+3600</f>
        <v>4800</v>
      </c>
      <c r="L10" s="9" t="s">
        <v>436</v>
      </c>
      <c r="M10" s="9"/>
      <c r="N10" s="9" t="s">
        <v>437</v>
      </c>
      <c r="P10" s="39" t="s">
        <v>37</v>
      </c>
      <c r="Q10" s="10"/>
      <c r="S10" s="9" t="s">
        <v>1266</v>
      </c>
      <c r="T10" s="9" t="s">
        <v>275</v>
      </c>
      <c r="U10" s="10">
        <v>30</v>
      </c>
      <c r="V10" s="10">
        <v>90</v>
      </c>
      <c r="W10" s="9"/>
    </row>
    <row r="11" spans="1:23" x14ac:dyDescent="0.35">
      <c r="A11" s="43"/>
      <c r="B11" s="43"/>
      <c r="C11" s="43"/>
      <c r="D11" s="43"/>
      <c r="E11" s="43"/>
      <c r="F11" s="43"/>
      <c r="G11" s="43"/>
      <c r="H11" s="43"/>
      <c r="I11" s="33"/>
      <c r="J11" s="5" t="s">
        <v>282</v>
      </c>
      <c r="K11" s="236">
        <v>1200</v>
      </c>
      <c r="L11" s="43"/>
      <c r="M11" s="43"/>
      <c r="N11" s="43"/>
      <c r="P11" s="39" t="s">
        <v>47</v>
      </c>
      <c r="Q11" s="10"/>
      <c r="S11" s="9" t="s">
        <v>1267</v>
      </c>
      <c r="T11" s="9" t="s">
        <v>1268</v>
      </c>
      <c r="U11" s="10">
        <v>100</v>
      </c>
      <c r="V11" s="10">
        <v>25</v>
      </c>
      <c r="W11" s="9"/>
    </row>
    <row r="12" spans="1:23" ht="43.5" x14ac:dyDescent="0.35">
      <c r="A12" s="9" t="s">
        <v>338</v>
      </c>
      <c r="B12" s="9" t="s">
        <v>1269</v>
      </c>
      <c r="C12" s="10">
        <v>15960</v>
      </c>
      <c r="D12" s="10">
        <v>0</v>
      </c>
      <c r="E12" s="9" t="s">
        <v>95</v>
      </c>
      <c r="F12" s="9" t="s">
        <v>103</v>
      </c>
      <c r="G12" s="9" t="s">
        <v>1270</v>
      </c>
      <c r="H12" s="165"/>
      <c r="I12" s="34"/>
      <c r="J12" s="127"/>
      <c r="K12" s="9"/>
      <c r="L12" s="9" t="s">
        <v>339</v>
      </c>
      <c r="M12" s="9"/>
      <c r="N12" s="87" t="s">
        <v>340</v>
      </c>
      <c r="P12" s="39" t="s">
        <v>50</v>
      </c>
      <c r="Q12" s="10"/>
      <c r="S12" s="9" t="s">
        <v>293</v>
      </c>
      <c r="T12" s="9" t="s">
        <v>275</v>
      </c>
      <c r="U12" s="10">
        <v>30</v>
      </c>
      <c r="V12" s="10">
        <v>25</v>
      </c>
      <c r="W12" s="9"/>
    </row>
    <row r="13" spans="1:23" x14ac:dyDescent="0.35">
      <c r="A13" s="9" t="s">
        <v>1271</v>
      </c>
      <c r="B13" s="9" t="s">
        <v>1272</v>
      </c>
      <c r="C13" s="10">
        <v>1500</v>
      </c>
      <c r="D13" s="10"/>
      <c r="E13" s="9"/>
      <c r="F13" s="9"/>
      <c r="G13" s="9"/>
      <c r="H13" s="165"/>
      <c r="I13" s="34"/>
      <c r="J13" s="127"/>
      <c r="K13" s="10"/>
      <c r="L13" s="9"/>
      <c r="M13" s="9"/>
      <c r="N13" s="92"/>
      <c r="P13" s="39" t="s">
        <v>56</v>
      </c>
      <c r="Q13" s="10">
        <v>0</v>
      </c>
      <c r="S13" s="9" t="s">
        <v>132</v>
      </c>
      <c r="T13" s="9" t="s">
        <v>275</v>
      </c>
      <c r="U13" s="10">
        <v>30</v>
      </c>
      <c r="V13" s="10">
        <v>30</v>
      </c>
      <c r="W13" s="9"/>
    </row>
    <row r="14" spans="1:23" x14ac:dyDescent="0.35">
      <c r="A14" s="9" t="s">
        <v>1273</v>
      </c>
      <c r="B14" s="9" t="s">
        <v>1274</v>
      </c>
      <c r="C14" s="10">
        <v>1500</v>
      </c>
      <c r="D14" s="10">
        <v>1500</v>
      </c>
      <c r="E14" s="9" t="s">
        <v>96</v>
      </c>
      <c r="F14" s="9" t="s">
        <v>1275</v>
      </c>
      <c r="G14" s="9"/>
      <c r="H14" s="165"/>
      <c r="I14" s="34"/>
      <c r="J14" s="127" t="s">
        <v>703</v>
      </c>
      <c r="K14" s="10">
        <v>1500</v>
      </c>
      <c r="L14" s="9" t="s">
        <v>1276</v>
      </c>
      <c r="M14" s="9"/>
      <c r="N14" s="92" t="s">
        <v>1277</v>
      </c>
      <c r="P14" s="39" t="s">
        <v>62</v>
      </c>
      <c r="Q14" s="10"/>
      <c r="S14" s="9" t="s">
        <v>338</v>
      </c>
      <c r="T14" s="9" t="s">
        <v>1269</v>
      </c>
      <c r="U14" s="10">
        <v>14560</v>
      </c>
      <c r="V14" s="10">
        <v>0</v>
      </c>
      <c r="W14" s="9" t="s">
        <v>95</v>
      </c>
    </row>
    <row r="15" spans="1:23" x14ac:dyDescent="0.35">
      <c r="A15" s="9" t="s">
        <v>1273</v>
      </c>
      <c r="B15" s="9" t="s">
        <v>1278</v>
      </c>
      <c r="C15" s="10">
        <v>1500</v>
      </c>
      <c r="D15" s="10">
        <v>1500</v>
      </c>
      <c r="E15" s="9" t="s">
        <v>96</v>
      </c>
      <c r="F15" s="9" t="s">
        <v>1275</v>
      </c>
      <c r="G15" s="9"/>
      <c r="H15" s="165"/>
      <c r="I15" s="34"/>
      <c r="J15" s="127" t="s">
        <v>703</v>
      </c>
      <c r="K15" s="10">
        <v>1500</v>
      </c>
      <c r="L15" s="9" t="s">
        <v>1276</v>
      </c>
      <c r="M15" s="9"/>
      <c r="N15" s="92" t="s">
        <v>1277</v>
      </c>
      <c r="P15" s="39" t="s">
        <v>68</v>
      </c>
      <c r="Q15" s="10"/>
      <c r="S15" s="48" t="s">
        <v>1273</v>
      </c>
      <c r="T15" s="48" t="s">
        <v>1278</v>
      </c>
      <c r="U15" s="55">
        <v>1500</v>
      </c>
      <c r="V15" s="55">
        <v>1500</v>
      </c>
      <c r="W15" s="48" t="s">
        <v>96</v>
      </c>
    </row>
    <row r="16" spans="1:23" x14ac:dyDescent="0.35">
      <c r="A16" s="9" t="s">
        <v>1273</v>
      </c>
      <c r="B16" s="9" t="s">
        <v>1279</v>
      </c>
      <c r="C16" s="10">
        <v>1500</v>
      </c>
      <c r="D16" s="10">
        <v>1500</v>
      </c>
      <c r="E16" s="9" t="s">
        <v>96</v>
      </c>
      <c r="F16" s="9" t="s">
        <v>1275</v>
      </c>
      <c r="G16" s="9"/>
      <c r="H16" s="165"/>
      <c r="I16" s="34"/>
      <c r="J16" s="127" t="s">
        <v>703</v>
      </c>
      <c r="K16" s="10">
        <v>1500</v>
      </c>
      <c r="L16" s="9" t="s">
        <v>1276</v>
      </c>
      <c r="M16" s="9"/>
      <c r="N16" s="92" t="s">
        <v>1277</v>
      </c>
      <c r="P16" s="39" t="s">
        <v>76</v>
      </c>
      <c r="Q16" s="10">
        <v>800</v>
      </c>
      <c r="S16" s="48" t="s">
        <v>1273</v>
      </c>
      <c r="T16" s="48" t="s">
        <v>1279</v>
      </c>
      <c r="U16" s="55">
        <v>1500</v>
      </c>
      <c r="V16" s="55">
        <v>1500</v>
      </c>
      <c r="W16" s="48" t="s">
        <v>96</v>
      </c>
    </row>
    <row r="17" spans="1:23" x14ac:dyDescent="0.35">
      <c r="C17" s="21"/>
      <c r="D17" s="21"/>
      <c r="I17" s="34"/>
      <c r="K17" s="21"/>
      <c r="P17" s="39" t="s">
        <v>81</v>
      </c>
      <c r="Q17" s="10"/>
      <c r="S17" s="9" t="s">
        <v>48</v>
      </c>
      <c r="T17" s="9" t="s">
        <v>1268</v>
      </c>
      <c r="U17" s="10">
        <v>100</v>
      </c>
      <c r="V17" s="10">
        <v>0</v>
      </c>
      <c r="W17" s="9" t="s">
        <v>37</v>
      </c>
    </row>
    <row r="18" spans="1:23" x14ac:dyDescent="0.35">
      <c r="C18" s="21"/>
      <c r="D18" s="21"/>
      <c r="I18" s="34"/>
      <c r="K18" s="21"/>
      <c r="P18" s="39" t="s">
        <v>86</v>
      </c>
      <c r="Q18" s="10"/>
      <c r="S18" s="9" t="s">
        <v>1280</v>
      </c>
      <c r="T18" s="9" t="s">
        <v>275</v>
      </c>
      <c r="U18" s="10">
        <v>30</v>
      </c>
      <c r="V18" s="10">
        <v>0</v>
      </c>
      <c r="W18" s="9" t="s">
        <v>56</v>
      </c>
    </row>
    <row r="19" spans="1:23" x14ac:dyDescent="0.35">
      <c r="A19" s="12" t="s">
        <v>1281</v>
      </c>
      <c r="B19" s="107"/>
      <c r="C19" s="108"/>
      <c r="D19" s="108"/>
      <c r="E19" s="43"/>
      <c r="F19" s="43"/>
      <c r="G19" s="43"/>
      <c r="H19" s="43"/>
      <c r="I19" s="60"/>
      <c r="J19" s="43"/>
      <c r="K19" s="108"/>
      <c r="L19" s="43"/>
      <c r="M19" s="43"/>
      <c r="N19" s="43"/>
      <c r="P19" s="39" t="s">
        <v>90</v>
      </c>
      <c r="Q19" s="10"/>
      <c r="S19" s="9" t="s">
        <v>957</v>
      </c>
      <c r="T19" s="9" t="s">
        <v>275</v>
      </c>
      <c r="U19" s="10">
        <v>30</v>
      </c>
      <c r="V19" s="10">
        <v>20</v>
      </c>
      <c r="W19" s="9" t="s">
        <v>93</v>
      </c>
    </row>
    <row r="20" spans="1:23" ht="43.5" x14ac:dyDescent="0.35">
      <c r="A20" s="19" t="s">
        <v>276</v>
      </c>
      <c r="B20" s="9" t="s">
        <v>1245</v>
      </c>
      <c r="C20" s="10">
        <v>200</v>
      </c>
      <c r="D20" s="10">
        <v>200</v>
      </c>
      <c r="E20" s="9" t="s">
        <v>76</v>
      </c>
      <c r="F20" s="9" t="s">
        <v>492</v>
      </c>
      <c r="G20" s="9"/>
      <c r="H20" s="165"/>
      <c r="I20" s="34"/>
      <c r="J20" s="127"/>
      <c r="K20" s="10">
        <v>200</v>
      </c>
      <c r="L20" s="9" t="s">
        <v>278</v>
      </c>
      <c r="M20" s="9"/>
      <c r="N20" s="9" t="s">
        <v>294</v>
      </c>
      <c r="P20" s="39" t="s">
        <v>91</v>
      </c>
      <c r="Q20" s="10"/>
      <c r="S20" s="9" t="s">
        <v>1282</v>
      </c>
      <c r="T20" s="9" t="s">
        <v>275</v>
      </c>
      <c r="U20" s="10">
        <v>30</v>
      </c>
      <c r="V20" s="10">
        <v>25</v>
      </c>
      <c r="W20" s="9"/>
    </row>
    <row r="21" spans="1:23" x14ac:dyDescent="0.35">
      <c r="A21" s="128" t="s">
        <v>1283</v>
      </c>
      <c r="B21" s="127" t="s">
        <v>1284</v>
      </c>
      <c r="C21" s="10">
        <v>30</v>
      </c>
      <c r="D21" s="10">
        <v>120</v>
      </c>
      <c r="E21" s="9"/>
      <c r="F21" s="9"/>
      <c r="G21" s="9"/>
      <c r="H21" s="165"/>
      <c r="I21" s="34"/>
      <c r="J21" s="127"/>
      <c r="K21" s="10">
        <v>120</v>
      </c>
      <c r="L21" s="9"/>
      <c r="M21" s="9"/>
      <c r="N21" s="9"/>
      <c r="P21" s="39" t="s">
        <v>92</v>
      </c>
      <c r="Q21" s="10">
        <v>120</v>
      </c>
      <c r="S21" s="9" t="s">
        <v>1285</v>
      </c>
      <c r="T21" s="9" t="s">
        <v>275</v>
      </c>
      <c r="U21" s="10">
        <v>30</v>
      </c>
      <c r="V21" s="10">
        <v>50</v>
      </c>
      <c r="W21" s="9"/>
    </row>
    <row r="22" spans="1:23" x14ac:dyDescent="0.35">
      <c r="A22" s="128" t="s">
        <v>1286</v>
      </c>
      <c r="B22" s="127" t="s">
        <v>1284</v>
      </c>
      <c r="C22" s="10">
        <v>30</v>
      </c>
      <c r="D22" s="10">
        <v>30</v>
      </c>
      <c r="E22" s="9"/>
      <c r="F22" s="9"/>
      <c r="G22" s="9"/>
      <c r="H22" s="165"/>
      <c r="I22" s="34"/>
      <c r="J22" s="127"/>
      <c r="K22" s="10">
        <v>30</v>
      </c>
      <c r="L22" s="9"/>
      <c r="M22" s="9"/>
      <c r="N22" s="9"/>
      <c r="P22" s="39" t="s">
        <v>93</v>
      </c>
      <c r="Q22" s="10">
        <v>30</v>
      </c>
      <c r="S22" s="9" t="s">
        <v>654</v>
      </c>
      <c r="T22" s="9" t="s">
        <v>275</v>
      </c>
      <c r="U22" s="10">
        <v>30</v>
      </c>
      <c r="V22" s="10">
        <v>25</v>
      </c>
      <c r="W22" s="9"/>
    </row>
    <row r="23" spans="1:23" x14ac:dyDescent="0.35">
      <c r="A23" s="128" t="s">
        <v>1287</v>
      </c>
      <c r="B23" s="127" t="s">
        <v>1284</v>
      </c>
      <c r="C23" s="10">
        <v>30</v>
      </c>
      <c r="D23" s="10">
        <v>30</v>
      </c>
      <c r="E23" s="9"/>
      <c r="F23" s="9"/>
      <c r="G23" s="9"/>
      <c r="H23" s="165"/>
      <c r="I23" s="34"/>
      <c r="J23" s="127"/>
      <c r="K23" s="10">
        <v>30</v>
      </c>
      <c r="L23" s="9"/>
      <c r="M23" s="9"/>
      <c r="N23" s="9"/>
      <c r="P23" s="39" t="s">
        <v>94</v>
      </c>
      <c r="Q23" s="10"/>
      <c r="S23" s="9" t="s">
        <v>268</v>
      </c>
      <c r="T23" s="9" t="s">
        <v>275</v>
      </c>
      <c r="U23" s="10">
        <v>30</v>
      </c>
      <c r="V23" s="10">
        <v>50</v>
      </c>
      <c r="W23" s="9" t="s">
        <v>76</v>
      </c>
    </row>
    <row r="24" spans="1:23" x14ac:dyDescent="0.35">
      <c r="A24" s="128" t="s">
        <v>1288</v>
      </c>
      <c r="B24" s="127" t="s">
        <v>1284</v>
      </c>
      <c r="C24" s="10">
        <v>30</v>
      </c>
      <c r="D24" s="10">
        <v>90</v>
      </c>
      <c r="E24" s="9"/>
      <c r="F24" s="9"/>
      <c r="G24" s="9"/>
      <c r="H24" s="165"/>
      <c r="I24" s="34"/>
      <c r="J24" s="127"/>
      <c r="K24" s="10">
        <v>90</v>
      </c>
      <c r="L24" s="9"/>
      <c r="M24" s="9"/>
      <c r="N24" s="9"/>
      <c r="P24" s="39" t="s">
        <v>95</v>
      </c>
      <c r="Q24" s="10">
        <v>6000</v>
      </c>
      <c r="S24" s="48" t="s">
        <v>378</v>
      </c>
      <c r="T24" s="48" t="s">
        <v>275</v>
      </c>
      <c r="U24" s="55">
        <v>30</v>
      </c>
      <c r="V24" s="55">
        <v>200</v>
      </c>
      <c r="W24" s="48" t="s">
        <v>93</v>
      </c>
    </row>
    <row r="25" spans="1:23" x14ac:dyDescent="0.35">
      <c r="A25" s="128" t="s">
        <v>1289</v>
      </c>
      <c r="B25" s="127" t="s">
        <v>1284</v>
      </c>
      <c r="C25" s="10">
        <v>30</v>
      </c>
      <c r="D25" s="10">
        <v>60</v>
      </c>
      <c r="E25" s="9"/>
      <c r="F25" s="9"/>
      <c r="G25" s="9"/>
      <c r="H25" s="165"/>
      <c r="I25" s="34"/>
      <c r="J25" s="127"/>
      <c r="K25" s="10">
        <v>60</v>
      </c>
      <c r="L25" s="9"/>
      <c r="M25" s="9"/>
      <c r="N25" s="9"/>
      <c r="P25" s="39" t="s">
        <v>96</v>
      </c>
      <c r="Q25" s="10">
        <v>4530</v>
      </c>
      <c r="S25" s="9" t="s">
        <v>1290</v>
      </c>
      <c r="T25" s="9" t="s">
        <v>275</v>
      </c>
      <c r="U25" s="10">
        <v>30</v>
      </c>
      <c r="V25" s="10">
        <v>50</v>
      </c>
      <c r="W25" s="9" t="s">
        <v>93</v>
      </c>
    </row>
    <row r="26" spans="1:23" x14ac:dyDescent="0.35">
      <c r="A26" s="128" t="s">
        <v>1291</v>
      </c>
      <c r="B26" s="127" t="s">
        <v>1284</v>
      </c>
      <c r="C26" s="10">
        <v>30</v>
      </c>
      <c r="D26" s="10">
        <v>60</v>
      </c>
      <c r="E26" s="9"/>
      <c r="F26" s="9"/>
      <c r="G26" s="9"/>
      <c r="H26" s="165"/>
      <c r="I26" s="34"/>
      <c r="J26" s="127"/>
      <c r="K26" s="10">
        <v>60</v>
      </c>
      <c r="L26" s="9"/>
      <c r="M26" s="9"/>
      <c r="N26" s="9"/>
      <c r="P26" s="39" t="s">
        <v>97</v>
      </c>
      <c r="Q26" s="10"/>
      <c r="S26" s="9" t="s">
        <v>1292</v>
      </c>
      <c r="T26" s="9" t="s">
        <v>275</v>
      </c>
      <c r="U26" s="10">
        <v>30</v>
      </c>
      <c r="V26" s="10">
        <v>100</v>
      </c>
      <c r="W26" s="9" t="s">
        <v>93</v>
      </c>
    </row>
    <row r="27" spans="1:23" x14ac:dyDescent="0.35">
      <c r="A27" s="128" t="s">
        <v>1293</v>
      </c>
      <c r="B27" s="127" t="s">
        <v>1284</v>
      </c>
      <c r="C27" s="10">
        <v>30</v>
      </c>
      <c r="D27" s="10">
        <v>30</v>
      </c>
      <c r="E27" s="9"/>
      <c r="F27" s="9"/>
      <c r="G27" s="9"/>
      <c r="H27" s="165"/>
      <c r="I27" s="34"/>
      <c r="J27" s="127" t="s">
        <v>331</v>
      </c>
      <c r="K27" s="10">
        <v>30</v>
      </c>
      <c r="L27" s="9"/>
      <c r="M27" s="9"/>
      <c r="N27" s="9"/>
      <c r="P27" s="39" t="s">
        <v>98</v>
      </c>
      <c r="Q27" s="10">
        <v>2360</v>
      </c>
      <c r="S27" s="9" t="s">
        <v>515</v>
      </c>
      <c r="T27" s="9" t="s">
        <v>275</v>
      </c>
      <c r="U27" s="10">
        <v>30</v>
      </c>
      <c r="V27" s="10">
        <v>120</v>
      </c>
      <c r="W27" s="9"/>
    </row>
    <row r="28" spans="1:23" x14ac:dyDescent="0.35">
      <c r="A28" s="128" t="s">
        <v>1294</v>
      </c>
      <c r="B28" s="127" t="s">
        <v>1245</v>
      </c>
      <c r="C28" s="10">
        <v>200</v>
      </c>
      <c r="D28" s="10">
        <v>60</v>
      </c>
      <c r="E28" s="9"/>
      <c r="F28" s="9"/>
      <c r="G28" s="9"/>
      <c r="H28" s="165"/>
      <c r="I28" s="34"/>
      <c r="J28" s="127"/>
      <c r="K28" s="10">
        <v>60</v>
      </c>
      <c r="L28" s="9"/>
      <c r="M28" s="9"/>
      <c r="N28" s="9"/>
      <c r="P28" s="45" t="s">
        <v>99</v>
      </c>
      <c r="Q28" s="46">
        <v>23840</v>
      </c>
      <c r="S28" s="48" t="s">
        <v>302</v>
      </c>
      <c r="T28" s="48" t="s">
        <v>32</v>
      </c>
      <c r="U28" s="55">
        <v>7500</v>
      </c>
      <c r="V28" s="55">
        <v>6000</v>
      </c>
      <c r="W28" s="48" t="s">
        <v>95</v>
      </c>
    </row>
    <row r="29" spans="1:23" x14ac:dyDescent="0.35">
      <c r="A29" s="128" t="s">
        <v>531</v>
      </c>
      <c r="B29" s="127" t="s">
        <v>1245</v>
      </c>
      <c r="C29" s="10">
        <v>200</v>
      </c>
      <c r="D29" s="10">
        <v>120</v>
      </c>
      <c r="E29" s="9"/>
      <c r="F29" s="9"/>
      <c r="G29" s="9"/>
      <c r="H29" s="165"/>
      <c r="I29" s="34"/>
      <c r="J29" s="127"/>
      <c r="K29" s="10">
        <v>120</v>
      </c>
      <c r="L29" s="9"/>
      <c r="M29" s="9"/>
      <c r="N29" s="9"/>
      <c r="S29" s="9" t="s">
        <v>1295</v>
      </c>
      <c r="T29" s="9" t="s">
        <v>275</v>
      </c>
      <c r="U29" s="9">
        <v>30</v>
      </c>
      <c r="V29" s="9">
        <v>0</v>
      </c>
      <c r="W29" s="9" t="s">
        <v>76</v>
      </c>
    </row>
    <row r="30" spans="1:23" x14ac:dyDescent="0.35">
      <c r="A30" s="9" t="s">
        <v>1296</v>
      </c>
      <c r="B30" s="9" t="s">
        <v>1284</v>
      </c>
      <c r="C30" s="10">
        <v>30</v>
      </c>
      <c r="D30" s="10">
        <v>30</v>
      </c>
      <c r="E30" s="9" t="s">
        <v>96</v>
      </c>
      <c r="F30" s="9" t="s">
        <v>678</v>
      </c>
      <c r="G30" s="9"/>
      <c r="H30" s="9"/>
      <c r="I30" s="34"/>
      <c r="J30" s="9"/>
      <c r="K30" s="10">
        <v>30</v>
      </c>
      <c r="L30" s="9" t="s">
        <v>1297</v>
      </c>
      <c r="M30" s="9"/>
      <c r="N30" s="92" t="s">
        <v>1298</v>
      </c>
      <c r="S30" s="9" t="s">
        <v>1299</v>
      </c>
      <c r="T30" s="9" t="s">
        <v>275</v>
      </c>
      <c r="U30" s="10">
        <v>30</v>
      </c>
      <c r="V30" s="10">
        <v>90</v>
      </c>
      <c r="W30" s="9" t="s">
        <v>76</v>
      </c>
    </row>
    <row r="31" spans="1:23" x14ac:dyDescent="0.35">
      <c r="L31" s="207"/>
      <c r="M31" s="207"/>
      <c r="N31" s="207"/>
      <c r="S31" s="9" t="s">
        <v>1300</v>
      </c>
      <c r="T31" s="9" t="s">
        <v>275</v>
      </c>
      <c r="U31" s="10">
        <v>30</v>
      </c>
      <c r="V31" s="10">
        <v>25</v>
      </c>
      <c r="W31" s="9" t="s">
        <v>93</v>
      </c>
    </row>
    <row r="32" spans="1:23" x14ac:dyDescent="0.35">
      <c r="A32" s="12" t="s">
        <v>1301</v>
      </c>
      <c r="B32" s="12"/>
      <c r="C32" s="46"/>
      <c r="D32" s="46"/>
      <c r="E32" s="44"/>
      <c r="F32" s="44"/>
      <c r="G32" s="44"/>
      <c r="H32" s="44"/>
      <c r="I32" s="60"/>
      <c r="J32" s="44"/>
      <c r="K32" s="46"/>
      <c r="L32" s="44"/>
      <c r="M32" s="44"/>
      <c r="N32" s="44"/>
      <c r="S32" s="9" t="s">
        <v>1205</v>
      </c>
      <c r="T32" s="9" t="s">
        <v>275</v>
      </c>
      <c r="U32" s="10">
        <v>30</v>
      </c>
      <c r="V32" s="10">
        <v>25</v>
      </c>
      <c r="W32" s="9"/>
    </row>
    <row r="33" spans="1:23" ht="43.5" x14ac:dyDescent="0.35">
      <c r="A33" s="9" t="s">
        <v>276</v>
      </c>
      <c r="B33" s="9" t="s">
        <v>1245</v>
      </c>
      <c r="C33" s="10">
        <v>200</v>
      </c>
      <c r="D33" s="10">
        <v>200</v>
      </c>
      <c r="E33" s="9" t="s">
        <v>76</v>
      </c>
      <c r="F33" s="9" t="s">
        <v>492</v>
      </c>
      <c r="G33" s="9"/>
      <c r="H33" s="165"/>
      <c r="I33" s="34"/>
      <c r="J33" s="127"/>
      <c r="K33" s="10">
        <v>0</v>
      </c>
      <c r="L33" s="9" t="s">
        <v>278</v>
      </c>
      <c r="M33" s="9"/>
      <c r="N33" s="9" t="s">
        <v>294</v>
      </c>
      <c r="S33" s="48" t="s">
        <v>146</v>
      </c>
      <c r="T33" s="48" t="s">
        <v>23</v>
      </c>
      <c r="U33" s="55">
        <v>10000</v>
      </c>
      <c r="V33" s="55">
        <v>10000</v>
      </c>
      <c r="W33" s="48" t="s">
        <v>24</v>
      </c>
    </row>
    <row r="34" spans="1:23" ht="87" x14ac:dyDescent="0.35">
      <c r="A34" s="9" t="s">
        <v>176</v>
      </c>
      <c r="B34" s="9" t="s">
        <v>1284</v>
      </c>
      <c r="C34" s="10">
        <v>30</v>
      </c>
      <c r="D34" s="10">
        <v>0</v>
      </c>
      <c r="E34" s="9" t="s">
        <v>56</v>
      </c>
      <c r="F34" s="9" t="s">
        <v>418</v>
      </c>
      <c r="G34" s="9" t="s">
        <v>1302</v>
      </c>
      <c r="H34" s="165">
        <v>91</v>
      </c>
      <c r="I34" s="34"/>
      <c r="J34" s="127"/>
      <c r="K34" s="10"/>
      <c r="L34" s="9" t="s">
        <v>1303</v>
      </c>
      <c r="M34" s="9"/>
      <c r="N34" s="119" t="s">
        <v>179</v>
      </c>
      <c r="S34" s="9" t="s">
        <v>1304</v>
      </c>
      <c r="T34" s="9" t="s">
        <v>275</v>
      </c>
      <c r="U34" s="10">
        <v>30</v>
      </c>
      <c r="V34" s="10">
        <v>25</v>
      </c>
      <c r="W34" s="9"/>
    </row>
    <row r="35" spans="1:23" x14ac:dyDescent="0.35">
      <c r="A35" s="9"/>
      <c r="B35" s="9" t="s">
        <v>1284</v>
      </c>
      <c r="C35" s="10">
        <v>30</v>
      </c>
      <c r="D35" s="10"/>
      <c r="E35" s="9"/>
      <c r="F35" s="9"/>
      <c r="G35" s="9"/>
      <c r="H35" s="165"/>
      <c r="I35" s="34"/>
      <c r="J35" s="127"/>
      <c r="K35" s="10"/>
      <c r="L35" s="9"/>
      <c r="M35" s="9"/>
      <c r="N35" s="9"/>
      <c r="S35" s="9" t="s">
        <v>1305</v>
      </c>
      <c r="T35" s="9" t="s">
        <v>275</v>
      </c>
      <c r="U35" s="10">
        <v>30</v>
      </c>
      <c r="V35" s="10">
        <v>25</v>
      </c>
      <c r="W35" s="9"/>
    </row>
    <row r="36" spans="1:23" ht="29" x14ac:dyDescent="0.35">
      <c r="A36" s="9" t="s">
        <v>552</v>
      </c>
      <c r="B36" s="9" t="s">
        <v>1284</v>
      </c>
      <c r="C36" s="10">
        <v>30</v>
      </c>
      <c r="D36" s="10">
        <v>30</v>
      </c>
      <c r="E36" s="9" t="s">
        <v>93</v>
      </c>
      <c r="F36" s="9" t="s">
        <v>553</v>
      </c>
      <c r="G36" s="9"/>
      <c r="H36" s="165"/>
      <c r="I36" s="34"/>
      <c r="J36" s="127" t="s">
        <v>1306</v>
      </c>
      <c r="K36" s="10">
        <v>30</v>
      </c>
      <c r="L36" s="9" t="s">
        <v>554</v>
      </c>
      <c r="M36" s="9"/>
      <c r="N36" s="87" t="s">
        <v>555</v>
      </c>
      <c r="S36" s="9" t="s">
        <v>182</v>
      </c>
      <c r="T36" s="9" t="s">
        <v>275</v>
      </c>
      <c r="U36" s="10">
        <v>30</v>
      </c>
      <c r="V36" s="10">
        <v>25</v>
      </c>
      <c r="W36" s="9"/>
    </row>
    <row r="37" spans="1:23" x14ac:dyDescent="0.35">
      <c r="A37" s="9" t="s">
        <v>345</v>
      </c>
      <c r="B37" s="9" t="s">
        <v>1284</v>
      </c>
      <c r="C37" s="10">
        <v>30</v>
      </c>
      <c r="D37" s="10">
        <v>60</v>
      </c>
      <c r="E37" s="9"/>
      <c r="F37" s="9"/>
      <c r="G37" s="9"/>
      <c r="H37" s="165"/>
      <c r="I37" s="34"/>
      <c r="J37" s="127" t="s">
        <v>1306</v>
      </c>
      <c r="K37" s="10">
        <v>60</v>
      </c>
      <c r="L37" s="9"/>
      <c r="M37" s="9"/>
      <c r="N37" s="9"/>
      <c r="S37" s="9" t="s">
        <v>182</v>
      </c>
      <c r="T37" s="9" t="s">
        <v>275</v>
      </c>
      <c r="U37" s="10">
        <v>30</v>
      </c>
      <c r="V37" s="10">
        <v>25</v>
      </c>
      <c r="W37" s="9"/>
    </row>
    <row r="38" spans="1:23" x14ac:dyDescent="0.35">
      <c r="A38" s="9" t="s">
        <v>1291</v>
      </c>
      <c r="B38" s="9" t="s">
        <v>1284</v>
      </c>
      <c r="C38" s="10">
        <v>30</v>
      </c>
      <c r="D38" s="10">
        <v>60</v>
      </c>
      <c r="E38" s="9"/>
      <c r="F38" s="9"/>
      <c r="G38" s="9"/>
      <c r="H38" s="165"/>
      <c r="I38" s="34"/>
      <c r="J38" s="127"/>
      <c r="K38" s="10">
        <v>60</v>
      </c>
      <c r="L38" s="9"/>
      <c r="M38" s="9"/>
      <c r="N38" s="9"/>
      <c r="S38" s="9" t="s">
        <v>1307</v>
      </c>
      <c r="T38" s="9" t="s">
        <v>275</v>
      </c>
      <c r="U38" s="10">
        <v>30</v>
      </c>
      <c r="V38" s="10">
        <v>25</v>
      </c>
      <c r="W38" s="9" t="s">
        <v>76</v>
      </c>
    </row>
    <row r="39" spans="1:23" x14ac:dyDescent="0.35">
      <c r="A39" s="9" t="s">
        <v>1308</v>
      </c>
      <c r="B39" s="9" t="s">
        <v>1284</v>
      </c>
      <c r="C39" s="10">
        <v>30</v>
      </c>
      <c r="D39" s="10">
        <v>30</v>
      </c>
      <c r="E39" s="9"/>
      <c r="F39" s="9"/>
      <c r="G39" s="9"/>
      <c r="H39" s="9"/>
      <c r="I39" s="34"/>
      <c r="J39" s="9" t="s">
        <v>1224</v>
      </c>
      <c r="K39" s="10">
        <v>30</v>
      </c>
      <c r="L39" s="9"/>
      <c r="M39" s="9"/>
      <c r="N39" s="9"/>
    </row>
    <row r="40" spans="1:23" x14ac:dyDescent="0.35">
      <c r="A40" s="9" t="s">
        <v>1309</v>
      </c>
      <c r="B40" s="9" t="s">
        <v>1284</v>
      </c>
      <c r="C40" s="10">
        <v>30</v>
      </c>
      <c r="D40" s="10">
        <v>30</v>
      </c>
      <c r="E40" s="9"/>
      <c r="F40" s="9"/>
      <c r="G40" s="9"/>
      <c r="H40" s="9"/>
      <c r="I40" s="34"/>
      <c r="J40" s="9" t="s">
        <v>1306</v>
      </c>
      <c r="K40" s="10">
        <v>30</v>
      </c>
      <c r="L40" s="9"/>
      <c r="M40" s="9"/>
      <c r="N40" s="9"/>
    </row>
    <row r="41" spans="1:23" x14ac:dyDescent="0.35">
      <c r="A41" s="9"/>
      <c r="B41" s="9" t="s">
        <v>1284</v>
      </c>
      <c r="C41" s="10">
        <v>30</v>
      </c>
      <c r="D41" s="10"/>
      <c r="E41" s="9"/>
      <c r="F41" s="9"/>
      <c r="G41" s="9"/>
      <c r="H41" s="9"/>
      <c r="I41" s="34"/>
      <c r="J41" s="9"/>
      <c r="K41" s="10"/>
      <c r="L41" s="9"/>
      <c r="M41" s="9"/>
      <c r="N41" s="9"/>
    </row>
    <row r="42" spans="1:23" x14ac:dyDescent="0.35">
      <c r="A42" s="9" t="s">
        <v>1266</v>
      </c>
      <c r="B42" s="9" t="s">
        <v>1284</v>
      </c>
      <c r="C42" s="10">
        <v>30</v>
      </c>
      <c r="D42" s="10">
        <v>30</v>
      </c>
      <c r="E42" s="9"/>
      <c r="F42" s="9"/>
      <c r="G42" s="9"/>
      <c r="H42" s="9"/>
      <c r="I42" s="34"/>
      <c r="J42" s="9"/>
      <c r="K42" s="10">
        <v>30</v>
      </c>
      <c r="L42" s="9"/>
      <c r="M42" s="9"/>
      <c r="N42" s="9"/>
      <c r="U42" s="21"/>
      <c r="V42" s="21"/>
    </row>
    <row r="43" spans="1:23" x14ac:dyDescent="0.35">
      <c r="A43" s="9" t="s">
        <v>1310</v>
      </c>
      <c r="B43" s="9" t="s">
        <v>1284</v>
      </c>
      <c r="C43" s="10">
        <v>30</v>
      </c>
      <c r="D43" s="10">
        <v>30</v>
      </c>
      <c r="E43" s="9"/>
      <c r="F43" s="9"/>
      <c r="G43" s="9"/>
      <c r="H43" s="9"/>
      <c r="I43" s="34"/>
      <c r="J43" s="9"/>
      <c r="K43" s="10">
        <v>30</v>
      </c>
      <c r="L43" s="9"/>
      <c r="M43" s="9"/>
      <c r="N43" s="9"/>
      <c r="U43" s="21"/>
      <c r="V43" s="21"/>
    </row>
    <row r="44" spans="1:23" x14ac:dyDescent="0.35">
      <c r="A44" s="9" t="s">
        <v>1122</v>
      </c>
      <c r="B44" s="9" t="s">
        <v>1284</v>
      </c>
      <c r="C44" s="10">
        <v>30</v>
      </c>
      <c r="D44" s="10">
        <v>30</v>
      </c>
      <c r="E44" s="9"/>
      <c r="F44" s="9"/>
      <c r="G44" s="9"/>
      <c r="H44" s="9"/>
      <c r="I44" s="34"/>
      <c r="J44" s="9"/>
      <c r="K44" s="10">
        <v>30</v>
      </c>
      <c r="L44" s="9"/>
      <c r="M44" s="9"/>
      <c r="N44" s="9"/>
      <c r="U44" s="21"/>
      <c r="V44" s="21"/>
    </row>
    <row r="45" spans="1:23" x14ac:dyDescent="0.35">
      <c r="A45" s="9" t="s">
        <v>857</v>
      </c>
      <c r="B45" s="9" t="s">
        <v>1284</v>
      </c>
      <c r="C45" s="10">
        <v>30</v>
      </c>
      <c r="D45" s="10">
        <v>30</v>
      </c>
      <c r="E45" s="9"/>
      <c r="F45" s="9"/>
      <c r="G45" s="9"/>
      <c r="H45" s="9"/>
      <c r="I45" s="34"/>
      <c r="J45" s="9"/>
      <c r="K45" s="10"/>
      <c r="L45" s="9"/>
      <c r="M45" s="9"/>
      <c r="N45" s="9"/>
      <c r="U45" s="21"/>
      <c r="V45" s="21"/>
    </row>
    <row r="46" spans="1:23" x14ac:dyDescent="0.35">
      <c r="A46" s="9" t="s">
        <v>1019</v>
      </c>
      <c r="B46" s="9" t="s">
        <v>1284</v>
      </c>
      <c r="C46" s="10">
        <v>30</v>
      </c>
      <c r="D46" s="10">
        <v>30</v>
      </c>
      <c r="E46" s="9"/>
      <c r="F46" s="9"/>
      <c r="G46" s="9"/>
      <c r="H46" s="9"/>
      <c r="I46" s="34"/>
      <c r="J46" s="9"/>
      <c r="K46" s="10">
        <v>30</v>
      </c>
      <c r="L46" s="9"/>
      <c r="M46" s="9"/>
      <c r="N46" s="9"/>
      <c r="U46" s="21"/>
      <c r="V46" s="21"/>
    </row>
    <row r="47" spans="1:23" x14ac:dyDescent="0.35">
      <c r="A47" s="9" t="s">
        <v>1311</v>
      </c>
      <c r="B47" s="9" t="s">
        <v>1284</v>
      </c>
      <c r="C47" s="10">
        <v>30</v>
      </c>
      <c r="D47" s="10">
        <v>90</v>
      </c>
      <c r="E47" s="9"/>
      <c r="F47" s="9"/>
      <c r="G47" s="9"/>
      <c r="H47" s="9"/>
      <c r="I47" s="34"/>
      <c r="J47" s="9"/>
      <c r="K47" s="10">
        <v>90</v>
      </c>
      <c r="L47" s="9"/>
      <c r="M47" s="9"/>
      <c r="N47" s="9"/>
      <c r="U47" s="21"/>
      <c r="V47" s="21"/>
    </row>
    <row r="48" spans="1:23" x14ac:dyDescent="0.35">
      <c r="A48" s="9" t="s">
        <v>268</v>
      </c>
      <c r="B48" s="9" t="s">
        <v>1284</v>
      </c>
      <c r="C48" s="10">
        <v>30</v>
      </c>
      <c r="D48" s="10">
        <v>60</v>
      </c>
      <c r="E48" s="9"/>
      <c r="F48" s="9"/>
      <c r="G48" s="9"/>
      <c r="H48" s="9"/>
      <c r="I48" s="34"/>
      <c r="J48" s="9"/>
      <c r="K48" s="10">
        <v>60</v>
      </c>
      <c r="L48" s="9"/>
      <c r="M48" s="9"/>
      <c r="N48" s="9"/>
      <c r="U48" s="21"/>
      <c r="V48" s="21"/>
    </row>
    <row r="49" spans="1:22" x14ac:dyDescent="0.35">
      <c r="A49" s="9" t="s">
        <v>378</v>
      </c>
      <c r="B49" s="9" t="s">
        <v>1284</v>
      </c>
      <c r="C49" s="10">
        <v>30</v>
      </c>
      <c r="D49" s="10">
        <v>120</v>
      </c>
      <c r="E49" s="9" t="s">
        <v>92</v>
      </c>
      <c r="F49" s="9"/>
      <c r="G49" s="9"/>
      <c r="H49" s="9"/>
      <c r="I49" s="34"/>
      <c r="J49" s="9" t="s">
        <v>59</v>
      </c>
      <c r="K49" s="10">
        <v>120</v>
      </c>
      <c r="L49" s="9"/>
      <c r="M49" s="9"/>
      <c r="N49" s="9"/>
      <c r="U49" s="21"/>
      <c r="V49" s="21"/>
    </row>
    <row r="50" spans="1:22" x14ac:dyDescent="0.35">
      <c r="A50" s="9" t="s">
        <v>1312</v>
      </c>
      <c r="B50" s="9" t="s">
        <v>1284</v>
      </c>
      <c r="C50" s="10">
        <v>30</v>
      </c>
      <c r="D50" s="10">
        <v>60</v>
      </c>
      <c r="E50" s="9"/>
      <c r="F50" s="9"/>
      <c r="G50" s="9"/>
      <c r="H50" s="9"/>
      <c r="I50" s="34"/>
      <c r="J50" s="9"/>
      <c r="K50" s="10">
        <v>60</v>
      </c>
      <c r="L50" s="9"/>
      <c r="M50" s="9"/>
      <c r="N50" s="9"/>
    </row>
    <row r="51" spans="1:22" x14ac:dyDescent="0.35">
      <c r="A51" s="9" t="s">
        <v>269</v>
      </c>
      <c r="B51" s="9" t="s">
        <v>1284</v>
      </c>
      <c r="C51" s="10">
        <v>30</v>
      </c>
      <c r="D51" s="10">
        <v>60</v>
      </c>
      <c r="E51" s="9"/>
      <c r="F51" s="9"/>
      <c r="G51" s="9"/>
      <c r="H51" s="9"/>
      <c r="I51" s="34"/>
      <c r="J51" s="9"/>
      <c r="K51" s="10">
        <v>60</v>
      </c>
      <c r="L51" s="9"/>
      <c r="M51" s="9"/>
      <c r="N51" s="9"/>
    </row>
    <row r="52" spans="1:22" x14ac:dyDescent="0.35">
      <c r="A52" s="9" t="s">
        <v>1313</v>
      </c>
      <c r="B52" s="9" t="s">
        <v>1284</v>
      </c>
      <c r="C52" s="10">
        <v>30</v>
      </c>
      <c r="D52" s="10">
        <v>30</v>
      </c>
      <c r="E52" s="9"/>
      <c r="F52" s="9"/>
      <c r="G52" s="9"/>
      <c r="H52" s="9"/>
      <c r="I52" s="34"/>
      <c r="J52" s="9"/>
      <c r="K52" s="10">
        <v>30</v>
      </c>
      <c r="L52" s="9"/>
      <c r="M52" s="9"/>
      <c r="N52" s="9"/>
    </row>
    <row r="53" spans="1:22" x14ac:dyDescent="0.35">
      <c r="A53" s="9" t="s">
        <v>835</v>
      </c>
      <c r="B53" s="9" t="s">
        <v>1284</v>
      </c>
      <c r="C53" s="10">
        <v>120</v>
      </c>
      <c r="D53" s="10">
        <v>120</v>
      </c>
      <c r="E53" s="9"/>
      <c r="F53" s="9"/>
      <c r="G53" s="9"/>
      <c r="H53" s="9"/>
      <c r="I53" s="34"/>
      <c r="J53" s="9"/>
      <c r="K53" s="10">
        <v>120</v>
      </c>
      <c r="L53" s="9"/>
      <c r="M53" s="9"/>
      <c r="N53" s="9"/>
    </row>
    <row r="54" spans="1:22" x14ac:dyDescent="0.35">
      <c r="A54" s="9" t="s">
        <v>1314</v>
      </c>
      <c r="B54" s="9" t="s">
        <v>1284</v>
      </c>
      <c r="C54" s="10">
        <v>30</v>
      </c>
      <c r="D54" s="10">
        <v>30</v>
      </c>
      <c r="E54" s="9"/>
      <c r="F54" s="9"/>
      <c r="G54" s="9"/>
      <c r="H54" s="9"/>
      <c r="I54" s="34"/>
      <c r="J54" s="9"/>
      <c r="K54" s="10">
        <v>30</v>
      </c>
      <c r="L54" s="9"/>
      <c r="M54" s="9"/>
      <c r="N54" s="9"/>
    </row>
    <row r="55" spans="1:22" x14ac:dyDescent="0.35">
      <c r="A55" s="9" t="s">
        <v>1315</v>
      </c>
      <c r="B55" s="9" t="s">
        <v>1284</v>
      </c>
      <c r="C55" s="10">
        <v>30</v>
      </c>
      <c r="D55" s="10">
        <v>30</v>
      </c>
      <c r="E55" s="9"/>
      <c r="F55" s="9"/>
      <c r="G55" s="9"/>
      <c r="H55" s="9"/>
      <c r="I55" s="34"/>
      <c r="J55" s="9"/>
      <c r="K55" s="10">
        <v>30</v>
      </c>
      <c r="L55" s="9"/>
      <c r="M55" s="9"/>
      <c r="N55" s="9"/>
    </row>
    <row r="56" spans="1:22" x14ac:dyDescent="0.35">
      <c r="A56" s="9" t="s">
        <v>1316</v>
      </c>
      <c r="B56" s="9" t="s">
        <v>1284</v>
      </c>
      <c r="C56" s="10">
        <v>30</v>
      </c>
      <c r="D56" s="10">
        <v>30</v>
      </c>
      <c r="E56" s="9"/>
      <c r="F56" s="9"/>
      <c r="G56" s="9"/>
      <c r="H56" s="9"/>
      <c r="I56" s="34"/>
      <c r="J56" s="9"/>
      <c r="K56" s="10">
        <v>30</v>
      </c>
      <c r="L56" s="9"/>
      <c r="M56" s="9"/>
      <c r="N56" s="9"/>
    </row>
    <row r="57" spans="1:22" x14ac:dyDescent="0.35">
      <c r="A57" s="9" t="s">
        <v>531</v>
      </c>
      <c r="B57" s="9" t="s">
        <v>1284</v>
      </c>
      <c r="C57" s="10">
        <v>30</v>
      </c>
      <c r="D57" s="10">
        <v>120</v>
      </c>
      <c r="E57" s="9"/>
      <c r="F57" s="9"/>
      <c r="G57" s="9"/>
      <c r="H57" s="9"/>
      <c r="I57" s="34"/>
      <c r="J57" s="9"/>
      <c r="K57" s="10">
        <v>120</v>
      </c>
      <c r="L57" s="9"/>
      <c r="M57" s="9"/>
      <c r="N57" s="9"/>
    </row>
    <row r="60" spans="1:22" x14ac:dyDescent="0.35">
      <c r="A60" s="12" t="s">
        <v>1317</v>
      </c>
      <c r="B60" s="12"/>
      <c r="C60" s="46"/>
      <c r="D60" s="46"/>
      <c r="E60" s="44"/>
      <c r="F60" s="44"/>
      <c r="G60" s="44"/>
      <c r="H60" s="44"/>
      <c r="I60" s="206"/>
      <c r="J60" s="44"/>
      <c r="K60" s="44"/>
      <c r="L60" s="44"/>
      <c r="M60" s="44"/>
      <c r="N60" s="44"/>
    </row>
    <row r="61" spans="1:22" ht="43.5" x14ac:dyDescent="0.35">
      <c r="A61" s="9" t="s">
        <v>276</v>
      </c>
      <c r="B61" s="9" t="s">
        <v>1245</v>
      </c>
      <c r="C61" s="10">
        <v>200</v>
      </c>
      <c r="D61" s="10">
        <v>200</v>
      </c>
      <c r="E61" s="9" t="s">
        <v>76</v>
      </c>
      <c r="F61" s="9" t="s">
        <v>492</v>
      </c>
      <c r="G61" s="9"/>
      <c r="H61" s="165"/>
      <c r="I61" s="34"/>
      <c r="J61" s="242">
        <v>45873</v>
      </c>
      <c r="K61" s="9">
        <v>200</v>
      </c>
      <c r="L61" s="9" t="s">
        <v>278</v>
      </c>
      <c r="M61" s="9"/>
      <c r="N61" s="9" t="s">
        <v>294</v>
      </c>
    </row>
    <row r="62" spans="1:22" ht="87" x14ac:dyDescent="0.35">
      <c r="A62" s="9" t="s">
        <v>176</v>
      </c>
      <c r="B62" s="9" t="s">
        <v>1284</v>
      </c>
      <c r="C62" s="10">
        <v>30</v>
      </c>
      <c r="D62" s="10">
        <v>0</v>
      </c>
      <c r="E62" s="9" t="s">
        <v>56</v>
      </c>
      <c r="F62" s="9" t="s">
        <v>418</v>
      </c>
      <c r="G62" s="9" t="s">
        <v>1302</v>
      </c>
      <c r="H62" s="165"/>
      <c r="I62" s="34"/>
      <c r="J62" s="127"/>
      <c r="K62" s="9"/>
      <c r="L62" s="9" t="s">
        <v>1303</v>
      </c>
      <c r="M62" s="9"/>
      <c r="N62" s="119" t="s">
        <v>179</v>
      </c>
    </row>
    <row r="63" spans="1:22" x14ac:dyDescent="0.35">
      <c r="A63" s="9" t="s">
        <v>1318</v>
      </c>
      <c r="B63" s="9" t="s">
        <v>1284</v>
      </c>
      <c r="C63" s="10">
        <v>30</v>
      </c>
      <c r="D63" s="10">
        <v>60</v>
      </c>
      <c r="E63" s="9"/>
      <c r="F63" s="9"/>
      <c r="G63" s="9"/>
      <c r="H63" s="165"/>
      <c r="I63" s="34"/>
      <c r="J63" s="127" t="s">
        <v>1319</v>
      </c>
      <c r="K63" s="10">
        <v>60</v>
      </c>
      <c r="L63" s="9"/>
      <c r="M63" s="9"/>
      <c r="N63" s="9"/>
    </row>
    <row r="64" spans="1:22" x14ac:dyDescent="0.35">
      <c r="A64" s="9" t="s">
        <v>1266</v>
      </c>
      <c r="B64" s="9" t="s">
        <v>1284</v>
      </c>
      <c r="C64" s="10">
        <v>30</v>
      </c>
      <c r="D64" s="10">
        <v>30</v>
      </c>
      <c r="E64" s="9"/>
      <c r="F64" s="9"/>
      <c r="G64" s="9"/>
      <c r="H64" s="165"/>
      <c r="I64" s="34"/>
      <c r="J64" s="127" t="s">
        <v>1319</v>
      </c>
      <c r="K64" s="10">
        <v>30</v>
      </c>
      <c r="L64" s="9"/>
      <c r="M64" s="9"/>
      <c r="N64" s="9"/>
    </row>
    <row r="65" spans="1:14" x14ac:dyDescent="0.35">
      <c r="A65" s="9" t="s">
        <v>268</v>
      </c>
      <c r="B65" s="9" t="s">
        <v>1284</v>
      </c>
      <c r="C65" s="10">
        <v>30</v>
      </c>
      <c r="D65" s="10">
        <v>60</v>
      </c>
      <c r="E65" s="9"/>
      <c r="F65" s="9"/>
      <c r="G65" s="9"/>
      <c r="H65" s="165"/>
      <c r="I65" s="34"/>
      <c r="J65" s="127" t="s">
        <v>1319</v>
      </c>
      <c r="K65" s="10">
        <v>60</v>
      </c>
      <c r="L65" s="9"/>
      <c r="M65" s="9"/>
      <c r="N65" s="9"/>
    </row>
    <row r="66" spans="1:14" x14ac:dyDescent="0.35">
      <c r="A66" s="9" t="s">
        <v>1320</v>
      </c>
      <c r="B66" s="9" t="s">
        <v>1284</v>
      </c>
      <c r="C66" s="10">
        <v>30</v>
      </c>
      <c r="D66" s="10">
        <v>0</v>
      </c>
      <c r="E66" s="9"/>
      <c r="F66" s="9"/>
      <c r="G66" s="9"/>
      <c r="H66" s="165"/>
      <c r="I66" s="34"/>
      <c r="J66" s="127" t="s">
        <v>1319</v>
      </c>
      <c r="K66" s="10"/>
      <c r="L66" s="9"/>
      <c r="M66" s="9"/>
      <c r="N66" s="9"/>
    </row>
    <row r="67" spans="1:14" x14ac:dyDescent="0.35">
      <c r="A67" s="9" t="s">
        <v>1321</v>
      </c>
      <c r="B67" s="9" t="s">
        <v>1245</v>
      </c>
      <c r="C67" s="10">
        <v>200</v>
      </c>
      <c r="D67" s="10">
        <v>0</v>
      </c>
      <c r="E67" s="9"/>
      <c r="F67" s="9"/>
      <c r="G67" s="9"/>
      <c r="H67" s="165"/>
      <c r="I67" s="34"/>
      <c r="J67" s="127" t="s">
        <v>1319</v>
      </c>
      <c r="K67" s="10"/>
      <c r="L67" s="9"/>
      <c r="M67" s="9"/>
      <c r="N67" s="9"/>
    </row>
    <row r="68" spans="1:14" x14ac:dyDescent="0.35">
      <c r="A68" s="9" t="s">
        <v>1322</v>
      </c>
      <c r="B68" s="9" t="s">
        <v>1245</v>
      </c>
      <c r="C68" s="10">
        <v>200</v>
      </c>
      <c r="D68" s="10">
        <v>60</v>
      </c>
      <c r="E68" s="9"/>
      <c r="F68" s="9"/>
      <c r="G68" s="9"/>
      <c r="H68" s="165"/>
      <c r="I68" s="34"/>
      <c r="J68" s="127" t="s">
        <v>1319</v>
      </c>
      <c r="K68" s="10">
        <v>60</v>
      </c>
      <c r="L68" s="9"/>
      <c r="M68" s="9"/>
      <c r="N68" s="9"/>
    </row>
    <row r="71" spans="1:14" x14ac:dyDescent="0.35">
      <c r="A71" s="12" t="s">
        <v>1323</v>
      </c>
      <c r="B71" s="12"/>
      <c r="C71" s="46"/>
      <c r="D71" s="46"/>
      <c r="E71" s="44"/>
      <c r="F71" s="44"/>
      <c r="G71" s="44"/>
      <c r="H71" s="44"/>
      <c r="I71" s="60"/>
      <c r="J71" s="44"/>
      <c r="K71" s="44"/>
      <c r="L71" s="44"/>
      <c r="M71" s="44"/>
      <c r="N71" s="44"/>
    </row>
    <row r="72" spans="1:14" ht="43.5" x14ac:dyDescent="0.35">
      <c r="A72" s="9" t="s">
        <v>276</v>
      </c>
      <c r="B72" s="9" t="s">
        <v>1245</v>
      </c>
      <c r="C72" s="10">
        <v>200</v>
      </c>
      <c r="D72" s="10">
        <v>200</v>
      </c>
      <c r="E72" s="9" t="s">
        <v>76</v>
      </c>
      <c r="F72" s="9" t="s">
        <v>492</v>
      </c>
      <c r="G72" s="9"/>
      <c r="H72" s="165"/>
      <c r="I72" s="34"/>
      <c r="J72" s="127"/>
      <c r="K72" s="9"/>
      <c r="L72" s="9" t="s">
        <v>278</v>
      </c>
      <c r="M72" s="9"/>
      <c r="N72" s="9" t="s">
        <v>294</v>
      </c>
    </row>
    <row r="73" spans="1:14" ht="87" x14ac:dyDescent="0.35">
      <c r="A73" s="19" t="s">
        <v>176</v>
      </c>
      <c r="B73" s="19" t="s">
        <v>1284</v>
      </c>
      <c r="C73" s="20">
        <v>30</v>
      </c>
      <c r="D73" s="20">
        <v>0</v>
      </c>
      <c r="E73" s="19" t="s">
        <v>56</v>
      </c>
      <c r="F73" s="19" t="s">
        <v>418</v>
      </c>
      <c r="G73" s="19" t="s">
        <v>1302</v>
      </c>
      <c r="H73" s="19"/>
      <c r="I73" s="272"/>
      <c r="J73" s="19"/>
      <c r="K73" s="19"/>
      <c r="L73" s="19" t="s">
        <v>1303</v>
      </c>
      <c r="M73" s="19"/>
      <c r="N73" s="273" t="s">
        <v>179</v>
      </c>
    </row>
    <row r="74" spans="1:14" x14ac:dyDescent="0.35">
      <c r="A74" s="128" t="s">
        <v>1266</v>
      </c>
      <c r="B74" s="9" t="s">
        <v>1284</v>
      </c>
      <c r="C74" s="10">
        <v>30</v>
      </c>
      <c r="D74" s="274">
        <v>30</v>
      </c>
      <c r="E74" s="9"/>
      <c r="F74" s="9"/>
      <c r="G74" s="9"/>
      <c r="H74" s="9"/>
      <c r="I74" s="34"/>
      <c r="J74" s="9"/>
      <c r="K74" s="9"/>
      <c r="L74" s="9"/>
      <c r="M74" s="9"/>
      <c r="N74" s="9"/>
    </row>
    <row r="75" spans="1:14" x14ac:dyDescent="0.35">
      <c r="A75" s="128" t="s">
        <v>1322</v>
      </c>
      <c r="B75" s="9" t="s">
        <v>1284</v>
      </c>
      <c r="C75" s="10">
        <v>30</v>
      </c>
      <c r="D75" s="274">
        <v>60</v>
      </c>
      <c r="E75" s="9"/>
      <c r="F75" s="9"/>
      <c r="G75" s="9"/>
      <c r="H75" s="9"/>
      <c r="I75" s="34"/>
      <c r="J75" s="9"/>
      <c r="K75" s="9"/>
      <c r="L75" s="9"/>
      <c r="M75" s="9"/>
      <c r="N75" s="9"/>
    </row>
    <row r="76" spans="1:14" x14ac:dyDescent="0.35">
      <c r="A76" s="128" t="s">
        <v>857</v>
      </c>
      <c r="B76" s="9" t="s">
        <v>1284</v>
      </c>
      <c r="C76" s="10">
        <v>30</v>
      </c>
      <c r="D76" s="274">
        <v>30</v>
      </c>
      <c r="E76" s="9"/>
      <c r="F76" s="9"/>
      <c r="G76" s="9"/>
      <c r="H76" s="9"/>
      <c r="I76" s="34"/>
      <c r="J76" s="9"/>
      <c r="K76" s="9"/>
      <c r="L76" s="9"/>
      <c r="M76" s="9"/>
      <c r="N76" s="9"/>
    </row>
    <row r="77" spans="1:14" x14ac:dyDescent="0.35">
      <c r="A77" s="128" t="s">
        <v>1019</v>
      </c>
      <c r="B77" s="9" t="s">
        <v>1284</v>
      </c>
      <c r="C77" s="10">
        <v>30</v>
      </c>
      <c r="D77" s="274">
        <v>30</v>
      </c>
      <c r="E77" s="9"/>
      <c r="F77" s="9"/>
      <c r="G77" s="9"/>
      <c r="H77" s="9"/>
      <c r="I77" s="34"/>
      <c r="J77" s="9"/>
      <c r="K77" s="9"/>
      <c r="L77" s="9"/>
      <c r="M77" s="9"/>
      <c r="N77" s="9"/>
    </row>
    <row r="78" spans="1:14" x14ac:dyDescent="0.35">
      <c r="A78" s="128" t="s">
        <v>1324</v>
      </c>
      <c r="B78" s="9" t="s">
        <v>1284</v>
      </c>
      <c r="C78" s="10">
        <v>30</v>
      </c>
      <c r="D78" s="274">
        <v>30</v>
      </c>
      <c r="E78" s="9"/>
      <c r="F78" s="9"/>
      <c r="G78" s="9"/>
      <c r="H78" s="9"/>
      <c r="I78" s="34"/>
      <c r="J78" s="9"/>
      <c r="K78" s="9"/>
      <c r="L78" s="9"/>
      <c r="M78" s="9"/>
      <c r="N78" s="9"/>
    </row>
    <row r="79" spans="1:14" x14ac:dyDescent="0.35">
      <c r="A79" s="128" t="s">
        <v>1325</v>
      </c>
      <c r="B79" s="9" t="s">
        <v>1284</v>
      </c>
      <c r="C79" s="10">
        <v>30</v>
      </c>
      <c r="D79" s="274">
        <v>30</v>
      </c>
      <c r="E79" s="9"/>
      <c r="F79" s="9"/>
      <c r="G79" s="9"/>
      <c r="H79" s="9"/>
      <c r="I79" s="34"/>
      <c r="J79" s="9"/>
      <c r="K79" s="9"/>
      <c r="L79" s="9"/>
      <c r="M79" s="9"/>
      <c r="N79" s="9"/>
    </row>
    <row r="80" spans="1:14" x14ac:dyDescent="0.35">
      <c r="A80" s="128" t="s">
        <v>1175</v>
      </c>
      <c r="B80" s="9" t="s">
        <v>1245</v>
      </c>
      <c r="C80" s="10">
        <v>200</v>
      </c>
      <c r="D80" s="274">
        <v>30</v>
      </c>
      <c r="E80" s="9"/>
      <c r="F80" s="9"/>
      <c r="G80" s="9"/>
      <c r="H80" s="9"/>
      <c r="I80" s="34"/>
      <c r="J80" s="9"/>
      <c r="K80" s="9"/>
      <c r="L80" s="9"/>
      <c r="M80" s="9"/>
      <c r="N80" s="9"/>
    </row>
    <row r="81" spans="1:14" x14ac:dyDescent="0.35">
      <c r="A81" s="128" t="s">
        <v>634</v>
      </c>
      <c r="B81" s="9" t="s">
        <v>1245</v>
      </c>
      <c r="C81" s="10">
        <v>200</v>
      </c>
      <c r="D81" s="274">
        <v>60</v>
      </c>
      <c r="E81" s="9"/>
      <c r="F81" s="9"/>
      <c r="G81" s="9"/>
      <c r="H81" s="9"/>
      <c r="I81" s="34"/>
      <c r="J81" s="9"/>
      <c r="K81" s="9"/>
      <c r="L81" s="9"/>
      <c r="M81" s="9"/>
      <c r="N81" s="9"/>
    </row>
    <row r="82" spans="1:14" x14ac:dyDescent="0.35">
      <c r="A82" s="128" t="s">
        <v>1326</v>
      </c>
      <c r="B82" s="9" t="s">
        <v>1284</v>
      </c>
      <c r="C82" s="10">
        <v>30</v>
      </c>
      <c r="D82" s="274">
        <v>30</v>
      </c>
      <c r="E82" s="9"/>
      <c r="F82" s="9"/>
      <c r="G82" s="9"/>
      <c r="H82" s="9"/>
      <c r="I82" s="34"/>
      <c r="J82" s="9"/>
      <c r="K82" s="9"/>
      <c r="L82" s="9"/>
      <c r="M82" s="9"/>
      <c r="N82" s="9"/>
    </row>
    <row r="83" spans="1:14" x14ac:dyDescent="0.35">
      <c r="A83" s="128" t="s">
        <v>1327</v>
      </c>
      <c r="B83" s="9" t="s">
        <v>1284</v>
      </c>
      <c r="C83" s="10">
        <v>30</v>
      </c>
      <c r="D83" s="274">
        <v>200</v>
      </c>
      <c r="E83" s="9"/>
      <c r="F83" s="9"/>
      <c r="G83" s="9"/>
      <c r="H83" s="9"/>
      <c r="I83" s="34"/>
      <c r="J83" s="9"/>
      <c r="K83" s="9"/>
      <c r="L83" s="9"/>
      <c r="M83" s="9"/>
      <c r="N83" s="9"/>
    </row>
    <row r="84" spans="1:14" x14ac:dyDescent="0.35">
      <c r="A84" s="128" t="s">
        <v>268</v>
      </c>
      <c r="B84" s="9" t="s">
        <v>1284</v>
      </c>
      <c r="C84" s="10">
        <v>30</v>
      </c>
      <c r="D84" s="274">
        <v>60</v>
      </c>
      <c r="E84" s="9"/>
      <c r="F84" s="9"/>
      <c r="G84" s="9"/>
      <c r="H84" s="9"/>
      <c r="I84" s="34"/>
      <c r="J84" s="9"/>
      <c r="K84" s="9"/>
      <c r="L84" s="9"/>
      <c r="M84" s="9"/>
      <c r="N84" s="9"/>
    </row>
    <row r="85" spans="1:14" x14ac:dyDescent="0.35">
      <c r="A85" s="128" t="s">
        <v>1328</v>
      </c>
      <c r="B85" s="9" t="s">
        <v>1284</v>
      </c>
      <c r="C85" s="10">
        <v>30</v>
      </c>
      <c r="D85" s="274">
        <v>0</v>
      </c>
      <c r="E85" s="9"/>
      <c r="F85" s="9"/>
      <c r="G85" s="9"/>
      <c r="H85" s="9"/>
      <c r="I85" s="34"/>
      <c r="J85" s="9"/>
      <c r="K85" s="9"/>
      <c r="L85" s="9"/>
      <c r="M85" s="9"/>
      <c r="N85" s="9"/>
    </row>
    <row r="86" spans="1:14" x14ac:dyDescent="0.35">
      <c r="A86" s="128" t="s">
        <v>1329</v>
      </c>
      <c r="B86" s="9" t="s">
        <v>1284</v>
      </c>
      <c r="C86" s="10">
        <v>30</v>
      </c>
      <c r="D86" s="274">
        <v>0</v>
      </c>
      <c r="E86" s="9"/>
      <c r="F86" s="9"/>
      <c r="G86" s="9"/>
      <c r="H86" s="9"/>
      <c r="I86" s="34"/>
      <c r="J86" s="9"/>
      <c r="K86" s="9"/>
      <c r="L86" s="9"/>
      <c r="M86" s="9"/>
      <c r="N86" s="9"/>
    </row>
    <row r="87" spans="1:14" x14ac:dyDescent="0.35">
      <c r="A87" s="9"/>
      <c r="B87" s="9"/>
      <c r="C87" s="10"/>
      <c r="D87" s="275"/>
      <c r="E87" s="9"/>
      <c r="F87" s="9"/>
      <c r="G87" s="9"/>
      <c r="H87" s="9"/>
      <c r="I87" s="34"/>
      <c r="J87" s="9"/>
      <c r="K87" s="9"/>
      <c r="L87" s="9"/>
      <c r="M87" s="9"/>
      <c r="N87" s="9"/>
    </row>
    <row r="94" spans="1:14" x14ac:dyDescent="0.35">
      <c r="K94" s="29">
        <f>SUM(K9:K31)</f>
        <v>21330</v>
      </c>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W49">
    <sortCondition ref="S9:S49"/>
  </sortState>
  <hyperlinks>
    <hyperlink ref="N12" r:id="rId2" display="mailto:jfaulkner@cbc.edu" xr:uid="{ACE3D792-1E7E-4224-AC9C-327A38ABD709}"/>
    <hyperlink ref="N14" r:id="rId3" display="mailto:velda@veldalueders.com" xr:uid="{A35CDE43-5365-4894-ADA5-455F69BBBFFD}"/>
    <hyperlink ref="N15" r:id="rId4" display="mailto:velda@veldalueders.com" xr:uid="{251DA912-B878-42EA-9628-774CCE9312D7}"/>
    <hyperlink ref="N16" r:id="rId5" display="mailto:velda@veldalueders.com" xr:uid="{4AA8B7AA-B10E-44D3-BE47-B912D9DE2F53}"/>
    <hyperlink ref="N34" r:id="rId6" display="mailto:jake.turpin@claytonhomes.com" xr:uid="{559765EE-425E-4A1A-9CA8-7D88E29CCFA7}"/>
    <hyperlink ref="N62" r:id="rId7" display="mailto:jake.turpin@claytonhomes.com" xr:uid="{FB89C3A2-0323-4084-B26A-ABB9ED1AF380}"/>
    <hyperlink ref="N73" r:id="rId8" display="mailto:jake.turpin@claytonhomes.com" xr:uid="{B7808F89-E5F2-476D-A635-97073A5F314F}"/>
    <hyperlink ref="N30" r:id="rId9" display="mailto:lindsay.immel@cmmcdonald.com" xr:uid="{54FE173B-496B-4795-A8D7-BADA16582F0F}"/>
    <hyperlink ref="N36" r:id="rId10" display="mailto:zack@windowdepotar.com" xr:uid="{18E6CE69-A524-4DD3-A2DE-B01CCC66485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6ECED-9C8F-41BB-A08A-BF71ABB65609}">
  <dimension ref="A1:V317"/>
  <sheetViews>
    <sheetView workbookViewId="0">
      <pane ySplit="8" topLeftCell="A9" activePane="bottomLeft" state="frozen"/>
      <selection pane="bottomLeft" activeCell="K19" sqref="K19"/>
    </sheetView>
  </sheetViews>
  <sheetFormatPr defaultColWidth="31.7265625" defaultRowHeight="14.5" x14ac:dyDescent="0.35"/>
  <cols>
    <col min="1" max="1" width="33" style="23" bestFit="1" customWidth="1"/>
    <col min="2" max="2" width="26.81640625" style="23" bestFit="1" customWidth="1"/>
    <col min="3" max="3" width="9.1796875" style="23" bestFit="1" customWidth="1"/>
    <col min="4" max="4" width="15.81640625" style="23" bestFit="1" customWidth="1"/>
    <col min="5" max="5" width="8.7265625" style="23" bestFit="1" customWidth="1"/>
    <col min="6" max="6" width="11.1796875" style="23" bestFit="1" customWidth="1"/>
    <col min="7" max="7" width="49.81640625" style="23" bestFit="1" customWidth="1"/>
    <col min="8" max="8" width="16.26953125" style="23" bestFit="1" customWidth="1"/>
    <col min="9" max="9" width="12.26953125" style="23" customWidth="1"/>
    <col min="10" max="10" width="10.26953125" style="23" bestFit="1" customWidth="1"/>
    <col min="11" max="11" width="14.453125" style="23" bestFit="1" customWidth="1"/>
    <col min="12" max="12" width="26.54296875" style="23" bestFit="1" customWidth="1"/>
    <col min="13" max="13" width="23.81640625" style="23" customWidth="1"/>
    <col min="14" max="14" width="36.54296875" style="23" customWidth="1"/>
    <col min="15" max="15" width="31.7265625" style="23"/>
    <col min="16" max="16" width="11" style="23" bestFit="1" customWidth="1"/>
    <col min="17" max="17" width="10.1796875" style="23" bestFit="1" customWidth="1"/>
    <col min="18" max="18" width="31.7265625" style="23"/>
    <col min="19" max="19" width="31.453125" style="23" bestFit="1" customWidth="1"/>
    <col min="20" max="20" width="26.81640625" style="23" bestFit="1" customWidth="1"/>
    <col min="21" max="21" width="15.81640625" style="23" bestFit="1" customWidth="1"/>
    <col min="22" max="22" width="8.7265625" style="23" bestFit="1" customWidth="1"/>
    <col min="23" max="16384" width="31.7265625" style="23"/>
  </cols>
  <sheetData>
    <row r="1" spans="1:22" x14ac:dyDescent="0.35">
      <c r="A1" s="22" t="s">
        <v>1330</v>
      </c>
      <c r="B1" s="4">
        <v>2025</v>
      </c>
      <c r="S1" s="22" t="s">
        <v>1330</v>
      </c>
      <c r="T1" s="204">
        <v>2024</v>
      </c>
    </row>
    <row r="2" spans="1:22" x14ac:dyDescent="0.35">
      <c r="A2" s="24" t="s">
        <v>1</v>
      </c>
      <c r="B2" s="7">
        <f>SUM(D9:D89)</f>
        <v>101165</v>
      </c>
      <c r="G2" s="24"/>
      <c r="K2" s="149" t="s">
        <v>2</v>
      </c>
      <c r="S2" s="24" t="s">
        <v>1</v>
      </c>
      <c r="T2" s="24">
        <f>SUM(U9:U84)</f>
        <v>112720</v>
      </c>
    </row>
    <row r="3" spans="1:22" x14ac:dyDescent="0.35">
      <c r="A3" s="24" t="s">
        <v>3</v>
      </c>
      <c r="B3" s="7">
        <v>130000</v>
      </c>
      <c r="K3" s="7">
        <f>SUM(K65-B2)</f>
        <v>-17160</v>
      </c>
      <c r="S3" s="24" t="s">
        <v>3</v>
      </c>
      <c r="T3" s="24">
        <v>135000</v>
      </c>
    </row>
    <row r="4" spans="1:22" x14ac:dyDescent="0.35">
      <c r="A4" s="24" t="s">
        <v>4</v>
      </c>
      <c r="B4" s="7">
        <f>MIN(B2-B3)</f>
        <v>-28835</v>
      </c>
      <c r="K4" s="42">
        <f>K65/B2</f>
        <v>0.83037611822270552</v>
      </c>
      <c r="S4" s="24" t="s">
        <v>4</v>
      </c>
      <c r="T4" s="24">
        <f>MIN(T2-T3)</f>
        <v>-22280</v>
      </c>
    </row>
    <row r="5" spans="1:22" x14ac:dyDescent="0.35">
      <c r="A5" s="24" t="s">
        <v>5</v>
      </c>
      <c r="B5" s="7">
        <v>130000</v>
      </c>
      <c r="S5" s="24" t="s">
        <v>5</v>
      </c>
      <c r="T5" s="24">
        <v>165000</v>
      </c>
    </row>
    <row r="6" spans="1:22" x14ac:dyDescent="0.35">
      <c r="A6" s="24" t="s">
        <v>4</v>
      </c>
      <c r="B6" s="7">
        <f>MIN(B2-B5)</f>
        <v>-28835</v>
      </c>
      <c r="S6" s="24" t="s">
        <v>4</v>
      </c>
      <c r="T6" s="24">
        <f>MIN(T2-T5)</f>
        <v>-52280</v>
      </c>
    </row>
    <row r="8" spans="1:22" x14ac:dyDescent="0.35">
      <c r="A8" s="150" t="s">
        <v>6</v>
      </c>
      <c r="B8" s="150" t="s">
        <v>7</v>
      </c>
      <c r="C8" s="150" t="s">
        <v>8</v>
      </c>
      <c r="D8" s="150" t="s">
        <v>9</v>
      </c>
      <c r="E8" s="150" t="s">
        <v>10</v>
      </c>
      <c r="F8" s="150" t="s">
        <v>11</v>
      </c>
      <c r="G8" s="150" t="s">
        <v>12</v>
      </c>
      <c r="H8" s="149" t="s">
        <v>13</v>
      </c>
      <c r="I8" s="150" t="s">
        <v>14</v>
      </c>
      <c r="J8" s="150" t="s">
        <v>15</v>
      </c>
      <c r="K8" s="150" t="s">
        <v>16</v>
      </c>
      <c r="L8" s="150" t="s">
        <v>17</v>
      </c>
      <c r="M8" s="150" t="s">
        <v>18</v>
      </c>
      <c r="N8" s="150" t="s">
        <v>19</v>
      </c>
      <c r="P8" s="152" t="s">
        <v>10</v>
      </c>
      <c r="Q8" s="152" t="s">
        <v>20</v>
      </c>
      <c r="S8" s="26" t="s">
        <v>6</v>
      </c>
      <c r="T8" s="26" t="s">
        <v>21</v>
      </c>
      <c r="U8" s="26" t="s">
        <v>9</v>
      </c>
      <c r="V8" s="26" t="s">
        <v>10</v>
      </c>
    </row>
    <row r="9" spans="1:22" x14ac:dyDescent="0.35">
      <c r="A9" s="27" t="s">
        <v>1331</v>
      </c>
      <c r="B9" s="27" t="s">
        <v>1332</v>
      </c>
      <c r="C9" s="10">
        <v>0</v>
      </c>
      <c r="D9" s="10">
        <v>16850</v>
      </c>
      <c r="E9" s="27" t="s">
        <v>95</v>
      </c>
      <c r="F9" s="27" t="s">
        <v>83</v>
      </c>
      <c r="G9" s="27"/>
      <c r="H9" s="157" t="s">
        <v>27</v>
      </c>
      <c r="I9" s="27">
        <v>0</v>
      </c>
      <c r="J9" s="195" t="s">
        <v>651</v>
      </c>
      <c r="K9" s="27">
        <v>16850</v>
      </c>
      <c r="L9" s="27"/>
      <c r="M9" s="27"/>
      <c r="N9" s="27"/>
      <c r="P9" s="156" t="s">
        <v>24</v>
      </c>
      <c r="Q9" s="27">
        <v>35625</v>
      </c>
      <c r="S9" s="27" t="s">
        <v>1333</v>
      </c>
      <c r="T9" s="27" t="s">
        <v>1334</v>
      </c>
      <c r="U9" s="27">
        <v>1495</v>
      </c>
      <c r="V9" s="27" t="s">
        <v>37</v>
      </c>
    </row>
    <row r="10" spans="1:22" x14ac:dyDescent="0.35">
      <c r="A10" s="27" t="s">
        <v>1331</v>
      </c>
      <c r="B10" s="27" t="s">
        <v>1332</v>
      </c>
      <c r="C10" s="10">
        <v>0</v>
      </c>
      <c r="D10" s="10">
        <v>500</v>
      </c>
      <c r="E10" s="27" t="s">
        <v>95</v>
      </c>
      <c r="F10" s="27" t="s">
        <v>745</v>
      </c>
      <c r="G10" s="27"/>
      <c r="H10" s="27"/>
      <c r="I10" s="27">
        <v>0</v>
      </c>
      <c r="J10" s="195"/>
      <c r="K10" s="27"/>
      <c r="L10" s="27"/>
      <c r="M10" s="27"/>
      <c r="N10" s="27"/>
      <c r="P10" s="156" t="s">
        <v>37</v>
      </c>
      <c r="Q10" s="27">
        <v>3000</v>
      </c>
      <c r="S10" s="83" t="s">
        <v>476</v>
      </c>
      <c r="T10" s="83" t="s">
        <v>1334</v>
      </c>
      <c r="U10" s="83">
        <v>1495</v>
      </c>
      <c r="V10" s="83" t="s">
        <v>95</v>
      </c>
    </row>
    <row r="11" spans="1:22" x14ac:dyDescent="0.35">
      <c r="A11" s="27" t="s">
        <v>388</v>
      </c>
      <c r="B11" s="27" t="s">
        <v>1335</v>
      </c>
      <c r="C11" s="10">
        <v>6000</v>
      </c>
      <c r="D11" s="10">
        <v>6250</v>
      </c>
      <c r="E11" s="27" t="s">
        <v>86</v>
      </c>
      <c r="F11" s="27" t="s">
        <v>641</v>
      </c>
      <c r="G11" s="27"/>
      <c r="H11" s="27"/>
      <c r="I11" s="27" t="s">
        <v>1336</v>
      </c>
      <c r="J11" s="195">
        <v>45999</v>
      </c>
      <c r="K11" s="27">
        <v>6250</v>
      </c>
      <c r="L11" s="27" t="s">
        <v>1337</v>
      </c>
      <c r="M11" s="27"/>
      <c r="N11" s="155" t="s">
        <v>1338</v>
      </c>
      <c r="P11" s="156" t="s">
        <v>47</v>
      </c>
      <c r="Q11" s="27"/>
      <c r="S11" s="202" t="s">
        <v>748</v>
      </c>
      <c r="T11" s="202" t="s">
        <v>1334</v>
      </c>
      <c r="U11" s="202">
        <v>1495</v>
      </c>
      <c r="V11" s="202" t="s">
        <v>95</v>
      </c>
    </row>
    <row r="12" spans="1:22" ht="43.5" x14ac:dyDescent="0.35">
      <c r="A12" s="27" t="s">
        <v>1339</v>
      </c>
      <c r="B12" s="27" t="s">
        <v>1340</v>
      </c>
      <c r="C12" s="10">
        <v>3995</v>
      </c>
      <c r="D12" s="10">
        <v>1500</v>
      </c>
      <c r="E12" s="27" t="s">
        <v>95</v>
      </c>
      <c r="F12" s="27" t="s">
        <v>685</v>
      </c>
      <c r="G12" s="27"/>
      <c r="H12" s="27"/>
      <c r="I12" s="27" t="s">
        <v>1336</v>
      </c>
      <c r="J12" s="195">
        <v>45958</v>
      </c>
      <c r="K12" s="27">
        <v>1500</v>
      </c>
      <c r="L12" s="27" t="s">
        <v>1341</v>
      </c>
      <c r="M12" s="27"/>
      <c r="N12" s="155" t="s">
        <v>1342</v>
      </c>
      <c r="P12" s="156" t="s">
        <v>50</v>
      </c>
      <c r="Q12" s="27"/>
      <c r="S12" s="83" t="s">
        <v>759</v>
      </c>
      <c r="T12" s="83" t="s">
        <v>1343</v>
      </c>
      <c r="U12" s="83">
        <v>2295</v>
      </c>
      <c r="V12" s="83" t="s">
        <v>86</v>
      </c>
    </row>
    <row r="13" spans="1:22" x14ac:dyDescent="0.35">
      <c r="A13" s="27" t="s">
        <v>48</v>
      </c>
      <c r="B13" s="27" t="s">
        <v>1344</v>
      </c>
      <c r="C13" s="10">
        <v>3495</v>
      </c>
      <c r="D13" s="10">
        <v>3000</v>
      </c>
      <c r="E13" s="27" t="s">
        <v>24</v>
      </c>
      <c r="F13" s="27" t="s">
        <v>64</v>
      </c>
      <c r="G13" s="27"/>
      <c r="H13" s="27"/>
      <c r="I13" s="27" t="s">
        <v>1336</v>
      </c>
      <c r="J13" s="195">
        <v>45918</v>
      </c>
      <c r="K13" s="27">
        <v>3000</v>
      </c>
      <c r="L13" s="27" t="s">
        <v>66</v>
      </c>
      <c r="M13" s="27"/>
      <c r="N13" s="27" t="s">
        <v>67</v>
      </c>
      <c r="P13" s="156" t="s">
        <v>56</v>
      </c>
      <c r="Q13" s="27">
        <v>0</v>
      </c>
      <c r="S13" s="27" t="s">
        <v>761</v>
      </c>
      <c r="T13" s="27" t="s">
        <v>1334</v>
      </c>
      <c r="U13" s="27">
        <v>1500</v>
      </c>
      <c r="V13" s="27" t="s">
        <v>76</v>
      </c>
    </row>
    <row r="14" spans="1:22" ht="58" x14ac:dyDescent="0.35">
      <c r="A14" s="27" t="s">
        <v>204</v>
      </c>
      <c r="B14" s="27" t="s">
        <v>1345</v>
      </c>
      <c r="C14" s="10">
        <v>3495</v>
      </c>
      <c r="D14" s="10">
        <v>3495</v>
      </c>
      <c r="E14" s="27" t="s">
        <v>24</v>
      </c>
      <c r="F14" s="27" t="s">
        <v>206</v>
      </c>
      <c r="G14" s="27"/>
      <c r="H14" s="27"/>
      <c r="I14" s="27" t="s">
        <v>1336</v>
      </c>
      <c r="J14" s="195">
        <v>45902</v>
      </c>
      <c r="K14" s="27">
        <v>3495</v>
      </c>
      <c r="L14" s="27" t="s">
        <v>209</v>
      </c>
      <c r="M14" s="205" t="s">
        <v>210</v>
      </c>
      <c r="N14" s="155" t="s">
        <v>211</v>
      </c>
      <c r="P14" s="156" t="s">
        <v>62</v>
      </c>
      <c r="Q14" s="27"/>
      <c r="S14" s="83" t="s">
        <v>126</v>
      </c>
      <c r="T14" s="83" t="s">
        <v>1334</v>
      </c>
      <c r="U14" s="83">
        <v>1495</v>
      </c>
      <c r="V14" s="83" t="s">
        <v>24</v>
      </c>
    </row>
    <row r="15" spans="1:22" ht="29" x14ac:dyDescent="0.35">
      <c r="A15" s="27" t="s">
        <v>166</v>
      </c>
      <c r="B15" s="27" t="s">
        <v>1345</v>
      </c>
      <c r="C15" s="10">
        <v>3495</v>
      </c>
      <c r="D15" s="10">
        <v>2990</v>
      </c>
      <c r="E15" s="27" t="s">
        <v>97</v>
      </c>
      <c r="F15" s="27" t="s">
        <v>167</v>
      </c>
      <c r="G15" s="27"/>
      <c r="H15" s="27"/>
      <c r="I15" s="27" t="s">
        <v>1336</v>
      </c>
      <c r="J15" s="195">
        <v>45894</v>
      </c>
      <c r="K15" s="27">
        <v>2990</v>
      </c>
      <c r="L15" s="27" t="s">
        <v>168</v>
      </c>
      <c r="M15" s="27"/>
      <c r="N15" s="155" t="s">
        <v>169</v>
      </c>
      <c r="P15" s="156" t="s">
        <v>68</v>
      </c>
      <c r="Q15" s="27">
        <v>1500</v>
      </c>
      <c r="S15" s="83" t="s">
        <v>135</v>
      </c>
      <c r="T15" s="83" t="s">
        <v>1346</v>
      </c>
      <c r="U15" s="83">
        <v>2495</v>
      </c>
      <c r="V15" s="83" t="s">
        <v>86</v>
      </c>
    </row>
    <row r="16" spans="1:22" x14ac:dyDescent="0.35">
      <c r="A16" s="27" t="s">
        <v>923</v>
      </c>
      <c r="B16" s="27" t="s">
        <v>1345</v>
      </c>
      <c r="C16" s="10">
        <v>3495</v>
      </c>
      <c r="D16" s="10">
        <v>3000</v>
      </c>
      <c r="E16" s="27" t="s">
        <v>37</v>
      </c>
      <c r="F16" s="27" t="s">
        <v>924</v>
      </c>
      <c r="G16" s="27" t="s">
        <v>1347</v>
      </c>
      <c r="H16" s="157" t="s">
        <v>27</v>
      </c>
      <c r="I16" s="27"/>
      <c r="J16" s="195">
        <v>45968</v>
      </c>
      <c r="K16" s="27">
        <v>300</v>
      </c>
      <c r="L16" s="27" t="s">
        <v>925</v>
      </c>
      <c r="M16" s="27"/>
      <c r="N16" s="27" t="s">
        <v>926</v>
      </c>
      <c r="P16" s="156" t="s">
        <v>76</v>
      </c>
      <c r="Q16" s="27">
        <v>3145</v>
      </c>
      <c r="S16" s="83" t="s">
        <v>923</v>
      </c>
      <c r="T16" s="83" t="s">
        <v>1343</v>
      </c>
      <c r="U16" s="83">
        <v>2295</v>
      </c>
      <c r="V16" s="83" t="s">
        <v>24</v>
      </c>
    </row>
    <row r="17" spans="1:22" x14ac:dyDescent="0.35">
      <c r="A17" s="27"/>
      <c r="B17" s="27" t="s">
        <v>1345</v>
      </c>
      <c r="C17" s="10">
        <v>3495</v>
      </c>
      <c r="D17" s="10"/>
      <c r="E17" s="27"/>
      <c r="F17" s="27"/>
      <c r="G17" s="27"/>
      <c r="H17" s="27"/>
      <c r="I17" s="27"/>
      <c r="J17" s="195"/>
      <c r="K17" s="27"/>
      <c r="L17" s="27"/>
      <c r="M17" s="27"/>
      <c r="N17" s="27"/>
      <c r="P17" s="156" t="s">
        <v>81</v>
      </c>
      <c r="Q17" s="27"/>
      <c r="S17" s="202" t="s">
        <v>490</v>
      </c>
      <c r="T17" s="202" t="s">
        <v>1334</v>
      </c>
      <c r="U17" s="202">
        <v>1495</v>
      </c>
      <c r="V17" s="202" t="s">
        <v>92</v>
      </c>
    </row>
    <row r="18" spans="1:22" x14ac:dyDescent="0.35">
      <c r="A18" s="27" t="s">
        <v>1348</v>
      </c>
      <c r="B18" s="27" t="s">
        <v>1349</v>
      </c>
      <c r="C18" s="10">
        <v>2495</v>
      </c>
      <c r="D18" s="10">
        <v>2495</v>
      </c>
      <c r="E18" s="27" t="s">
        <v>24</v>
      </c>
      <c r="F18" s="27" t="s">
        <v>25</v>
      </c>
      <c r="G18" s="27"/>
      <c r="H18" s="27"/>
      <c r="I18" s="27" t="s">
        <v>1336</v>
      </c>
      <c r="J18" s="195">
        <v>46006</v>
      </c>
      <c r="K18" s="27">
        <v>2495</v>
      </c>
      <c r="L18" s="27" t="s">
        <v>1350</v>
      </c>
      <c r="M18" s="27"/>
      <c r="N18" s="27" t="s">
        <v>1351</v>
      </c>
      <c r="P18" s="156" t="s">
        <v>86</v>
      </c>
      <c r="Q18" s="27">
        <v>10315</v>
      </c>
      <c r="S18" s="83" t="s">
        <v>1348</v>
      </c>
      <c r="T18" s="83" t="s">
        <v>1349</v>
      </c>
      <c r="U18" s="83">
        <v>2495</v>
      </c>
      <c r="V18" s="83" t="s">
        <v>24</v>
      </c>
    </row>
    <row r="19" spans="1:22" ht="29" x14ac:dyDescent="0.35">
      <c r="A19" s="27" t="s">
        <v>141</v>
      </c>
      <c r="B19" s="27" t="s">
        <v>1346</v>
      </c>
      <c r="C19" s="10">
        <v>2495</v>
      </c>
      <c r="D19" s="10">
        <v>2000</v>
      </c>
      <c r="E19" s="27" t="s">
        <v>86</v>
      </c>
      <c r="F19" s="27" t="s">
        <v>142</v>
      </c>
      <c r="G19" s="27"/>
      <c r="H19" s="27"/>
      <c r="I19" s="27" t="s">
        <v>1336</v>
      </c>
      <c r="J19" s="195">
        <v>45929</v>
      </c>
      <c r="K19" s="27">
        <v>2000</v>
      </c>
      <c r="L19" s="27" t="s">
        <v>144</v>
      </c>
      <c r="M19" s="27"/>
      <c r="N19" s="27"/>
      <c r="P19" s="156" t="s">
        <v>90</v>
      </c>
      <c r="Q19" s="27">
        <v>2000</v>
      </c>
      <c r="S19" s="83" t="s">
        <v>140</v>
      </c>
      <c r="T19" s="83" t="s">
        <v>1343</v>
      </c>
      <c r="U19" s="83">
        <v>2295</v>
      </c>
      <c r="V19" s="83" t="s">
        <v>24</v>
      </c>
    </row>
    <row r="20" spans="1:22" ht="29" x14ac:dyDescent="0.35">
      <c r="A20" s="27" t="s">
        <v>356</v>
      </c>
      <c r="B20" s="27" t="s">
        <v>1352</v>
      </c>
      <c r="C20" s="10">
        <v>2495</v>
      </c>
      <c r="D20" s="10">
        <v>2495</v>
      </c>
      <c r="E20" s="27" t="s">
        <v>93</v>
      </c>
      <c r="F20" s="27" t="s">
        <v>641</v>
      </c>
      <c r="G20" s="27"/>
      <c r="H20" s="27"/>
      <c r="I20" s="27" t="s">
        <v>1336</v>
      </c>
      <c r="J20" s="195">
        <v>45933</v>
      </c>
      <c r="K20" s="27">
        <v>2495</v>
      </c>
      <c r="L20" s="27" t="s">
        <v>357</v>
      </c>
      <c r="M20" s="27"/>
      <c r="N20" s="155" t="s">
        <v>358</v>
      </c>
      <c r="P20" s="156" t="s">
        <v>91</v>
      </c>
      <c r="Q20" s="27"/>
      <c r="S20" s="83" t="s">
        <v>1353</v>
      </c>
      <c r="T20" s="83" t="s">
        <v>1340</v>
      </c>
      <c r="U20" s="83">
        <v>3000</v>
      </c>
      <c r="V20" s="83" t="s">
        <v>95</v>
      </c>
    </row>
    <row r="21" spans="1:22" ht="29" x14ac:dyDescent="0.35">
      <c r="A21" s="27" t="s">
        <v>515</v>
      </c>
      <c r="B21" s="27" t="s">
        <v>1354</v>
      </c>
      <c r="C21" s="10">
        <v>2495</v>
      </c>
      <c r="D21" s="10">
        <v>3990</v>
      </c>
      <c r="E21" s="27" t="s">
        <v>24</v>
      </c>
      <c r="F21" s="27" t="s">
        <v>28</v>
      </c>
      <c r="G21" s="27"/>
      <c r="H21" s="27"/>
      <c r="I21" s="27" t="s">
        <v>1336</v>
      </c>
      <c r="J21" s="195">
        <v>45898</v>
      </c>
      <c r="K21" s="27">
        <v>3990</v>
      </c>
      <c r="L21" s="27" t="s">
        <v>518</v>
      </c>
      <c r="M21" s="27"/>
      <c r="N21" s="27" t="s">
        <v>519</v>
      </c>
      <c r="P21" s="156" t="s">
        <v>92</v>
      </c>
      <c r="Q21" s="27">
        <v>5980</v>
      </c>
      <c r="S21" s="83" t="s">
        <v>170</v>
      </c>
      <c r="T21" s="83" t="s">
        <v>1355</v>
      </c>
      <c r="U21" s="83">
        <v>3000</v>
      </c>
      <c r="V21" s="83" t="s">
        <v>24</v>
      </c>
    </row>
    <row r="22" spans="1:22" ht="29" x14ac:dyDescent="0.35">
      <c r="A22" s="27" t="s">
        <v>170</v>
      </c>
      <c r="B22" s="27" t="s">
        <v>1355</v>
      </c>
      <c r="C22" s="10">
        <v>2595</v>
      </c>
      <c r="D22" s="10">
        <v>3000</v>
      </c>
      <c r="E22" s="27" t="s">
        <v>24</v>
      </c>
      <c r="F22" s="27" t="s">
        <v>227</v>
      </c>
      <c r="G22" s="27"/>
      <c r="H22" s="27"/>
      <c r="I22" s="27" t="s">
        <v>1336</v>
      </c>
      <c r="J22" s="195">
        <v>45891</v>
      </c>
      <c r="K22" s="27">
        <v>3000</v>
      </c>
      <c r="L22" s="27" t="s">
        <v>230</v>
      </c>
      <c r="M22" s="27"/>
      <c r="N22" s="27" t="s">
        <v>231</v>
      </c>
      <c r="P22" s="156" t="s">
        <v>93</v>
      </c>
      <c r="Q22" s="27">
        <v>5485</v>
      </c>
      <c r="S22" s="83" t="s">
        <v>1356</v>
      </c>
      <c r="T22" s="83" t="s">
        <v>1357</v>
      </c>
      <c r="U22" s="83">
        <v>6250</v>
      </c>
      <c r="V22" s="83" t="s">
        <v>90</v>
      </c>
    </row>
    <row r="23" spans="1:22" x14ac:dyDescent="0.35">
      <c r="A23" s="27" t="s">
        <v>187</v>
      </c>
      <c r="B23" s="27" t="s">
        <v>1355</v>
      </c>
      <c r="C23" s="10">
        <v>2595</v>
      </c>
      <c r="D23" s="10">
        <v>2295</v>
      </c>
      <c r="E23" s="27" t="s">
        <v>24</v>
      </c>
      <c r="F23" s="27" t="s">
        <v>189</v>
      </c>
      <c r="G23" s="27"/>
      <c r="H23" s="157" t="s">
        <v>27</v>
      </c>
      <c r="I23" s="27"/>
      <c r="J23" s="195" t="s">
        <v>280</v>
      </c>
      <c r="K23" s="27">
        <v>2295</v>
      </c>
      <c r="L23" s="27" t="s">
        <v>1358</v>
      </c>
      <c r="M23" s="27"/>
      <c r="N23" s="155" t="s">
        <v>1359</v>
      </c>
      <c r="P23" s="156" t="s">
        <v>94</v>
      </c>
      <c r="Q23" s="27"/>
      <c r="S23" s="83" t="s">
        <v>193</v>
      </c>
      <c r="T23" s="83" t="s">
        <v>1343</v>
      </c>
      <c r="U23" s="83">
        <v>2295</v>
      </c>
      <c r="V23" s="83" t="s">
        <v>37</v>
      </c>
    </row>
    <row r="24" spans="1:22" ht="72.5" x14ac:dyDescent="0.35">
      <c r="A24" s="27" t="s">
        <v>176</v>
      </c>
      <c r="B24" s="27" t="s">
        <v>1355</v>
      </c>
      <c r="C24" s="10">
        <v>2595</v>
      </c>
      <c r="D24" s="10">
        <v>0</v>
      </c>
      <c r="E24" s="27" t="s">
        <v>56</v>
      </c>
      <c r="F24" s="27" t="s">
        <v>418</v>
      </c>
      <c r="G24" s="27" t="s">
        <v>177</v>
      </c>
      <c r="H24" s="27"/>
      <c r="I24" s="27">
        <v>0</v>
      </c>
      <c r="J24" s="195"/>
      <c r="K24" s="27"/>
      <c r="L24" s="27" t="s">
        <v>178</v>
      </c>
      <c r="M24" s="27"/>
      <c r="N24" s="155" t="s">
        <v>179</v>
      </c>
      <c r="P24" s="156" t="s">
        <v>95</v>
      </c>
      <c r="Q24" s="27">
        <v>29125</v>
      </c>
      <c r="S24" s="83" t="s">
        <v>38</v>
      </c>
      <c r="T24" s="83" t="s">
        <v>1355</v>
      </c>
      <c r="U24" s="83">
        <v>2295</v>
      </c>
      <c r="V24" s="83" t="s">
        <v>24</v>
      </c>
    </row>
    <row r="25" spans="1:22" ht="29" x14ac:dyDescent="0.35">
      <c r="A25" s="27"/>
      <c r="B25" s="27" t="s">
        <v>1355</v>
      </c>
      <c r="C25" s="10">
        <v>2595</v>
      </c>
      <c r="D25" s="10"/>
      <c r="E25" s="27"/>
      <c r="F25" s="27"/>
      <c r="G25" s="27"/>
      <c r="H25" s="27"/>
      <c r="I25" s="27"/>
      <c r="J25" s="195"/>
      <c r="K25" s="27"/>
      <c r="L25" s="27"/>
      <c r="M25" s="27"/>
      <c r="N25" s="27"/>
      <c r="P25" s="156" t="s">
        <v>96</v>
      </c>
      <c r="Q25" s="27"/>
      <c r="S25" s="83" t="s">
        <v>1360</v>
      </c>
      <c r="T25" s="83" t="s">
        <v>1343</v>
      </c>
      <c r="U25" s="83">
        <v>1800</v>
      </c>
      <c r="V25" s="83" t="s">
        <v>90</v>
      </c>
    </row>
    <row r="26" spans="1:22" x14ac:dyDescent="0.35">
      <c r="A26" s="27" t="s">
        <v>727</v>
      </c>
      <c r="B26" s="27" t="s">
        <v>1343</v>
      </c>
      <c r="C26" s="10">
        <v>2295</v>
      </c>
      <c r="D26" s="10">
        <v>2065</v>
      </c>
      <c r="E26" s="27" t="s">
        <v>86</v>
      </c>
      <c r="F26" s="27" t="s">
        <v>206</v>
      </c>
      <c r="G26" s="27"/>
      <c r="H26" s="27"/>
      <c r="I26" s="27" t="s">
        <v>1361</v>
      </c>
      <c r="J26" s="195">
        <v>45926</v>
      </c>
      <c r="K26" s="27">
        <v>2065</v>
      </c>
      <c r="L26" s="27" t="s">
        <v>728</v>
      </c>
      <c r="M26" s="27"/>
      <c r="N26" s="155" t="s">
        <v>729</v>
      </c>
      <c r="P26" s="156" t="s">
        <v>97</v>
      </c>
      <c r="Q26" s="27">
        <v>2990</v>
      </c>
      <c r="S26" s="83" t="s">
        <v>48</v>
      </c>
      <c r="T26" s="83" t="s">
        <v>1344</v>
      </c>
      <c r="U26" s="83">
        <v>3000</v>
      </c>
      <c r="V26" s="83" t="s">
        <v>24</v>
      </c>
    </row>
    <row r="27" spans="1:22" ht="29" x14ac:dyDescent="0.35">
      <c r="A27" s="27" t="s">
        <v>218</v>
      </c>
      <c r="B27" s="27" t="s">
        <v>1343</v>
      </c>
      <c r="C27" s="10">
        <v>2295</v>
      </c>
      <c r="D27" s="10">
        <v>2295</v>
      </c>
      <c r="E27" s="27" t="s">
        <v>24</v>
      </c>
      <c r="F27" s="27" t="s">
        <v>162</v>
      </c>
      <c r="G27" s="27"/>
      <c r="H27" s="157" t="s">
        <v>27</v>
      </c>
      <c r="I27" s="27"/>
      <c r="J27" s="195" t="s">
        <v>1362</v>
      </c>
      <c r="K27" s="27">
        <f>525+885</f>
        <v>1410</v>
      </c>
      <c r="L27" s="27" t="s">
        <v>422</v>
      </c>
      <c r="M27" s="27"/>
      <c r="N27" s="27" t="s">
        <v>423</v>
      </c>
      <c r="P27" s="156" t="s">
        <v>98</v>
      </c>
      <c r="Q27" s="27">
        <v>2000</v>
      </c>
      <c r="S27" s="83" t="s">
        <v>218</v>
      </c>
      <c r="T27" s="83" t="s">
        <v>1343</v>
      </c>
      <c r="U27" s="83">
        <v>2295</v>
      </c>
      <c r="V27" s="83" t="s">
        <v>24</v>
      </c>
    </row>
    <row r="28" spans="1:22" ht="29" x14ac:dyDescent="0.35">
      <c r="A28" s="27" t="s">
        <v>677</v>
      </c>
      <c r="B28" s="27" t="s">
        <v>1343</v>
      </c>
      <c r="C28" s="10">
        <v>2295</v>
      </c>
      <c r="D28" s="10">
        <v>2000</v>
      </c>
      <c r="E28" s="27" t="s">
        <v>95</v>
      </c>
      <c r="F28" s="27" t="s">
        <v>1187</v>
      </c>
      <c r="G28" s="27" t="s">
        <v>1363</v>
      </c>
      <c r="H28" s="157" t="s">
        <v>27</v>
      </c>
      <c r="I28" s="27"/>
      <c r="J28" s="195"/>
      <c r="K28" s="27"/>
      <c r="L28" s="27" t="s">
        <v>1364</v>
      </c>
      <c r="M28" s="27" t="s">
        <v>1365</v>
      </c>
      <c r="N28" s="27"/>
      <c r="P28" s="159" t="s">
        <v>99</v>
      </c>
      <c r="Q28" s="152">
        <v>101165</v>
      </c>
      <c r="S28" s="83" t="s">
        <v>226</v>
      </c>
      <c r="T28" s="83" t="s">
        <v>1334</v>
      </c>
      <c r="U28" s="83">
        <v>1495</v>
      </c>
      <c r="V28" s="83" t="s">
        <v>24</v>
      </c>
    </row>
    <row r="29" spans="1:22" x14ac:dyDescent="0.35">
      <c r="A29" s="27" t="s">
        <v>1040</v>
      </c>
      <c r="B29" s="27" t="s">
        <v>1343</v>
      </c>
      <c r="C29" s="10">
        <v>2295</v>
      </c>
      <c r="D29" s="10">
        <v>2295</v>
      </c>
      <c r="E29" s="27" t="s">
        <v>95</v>
      </c>
      <c r="F29" s="27" t="s">
        <v>625</v>
      </c>
      <c r="G29" s="27"/>
      <c r="H29" s="27"/>
      <c r="I29" s="27" t="s">
        <v>1361</v>
      </c>
      <c r="J29" s="195"/>
      <c r="K29" s="27"/>
      <c r="L29" s="27" t="s">
        <v>1366</v>
      </c>
      <c r="M29" s="27"/>
      <c r="N29" s="27"/>
      <c r="S29" s="83" t="s">
        <v>204</v>
      </c>
      <c r="T29" s="83" t="s">
        <v>1345</v>
      </c>
      <c r="U29" s="83">
        <v>3495</v>
      </c>
      <c r="V29" s="83" t="s">
        <v>37</v>
      </c>
    </row>
    <row r="30" spans="1:22" ht="29" x14ac:dyDescent="0.35">
      <c r="A30" s="27" t="s">
        <v>872</v>
      </c>
      <c r="B30" s="27" t="s">
        <v>1343</v>
      </c>
      <c r="C30" s="10">
        <v>2295</v>
      </c>
      <c r="D30" s="10">
        <v>1650</v>
      </c>
      <c r="E30" s="27" t="s">
        <v>76</v>
      </c>
      <c r="F30" s="27" t="s">
        <v>477</v>
      </c>
      <c r="G30" s="27"/>
      <c r="H30" s="27"/>
      <c r="I30" s="27" t="s">
        <v>1361</v>
      </c>
      <c r="J30" s="195">
        <v>45950</v>
      </c>
      <c r="K30" s="27">
        <v>1650</v>
      </c>
      <c r="L30" s="27" t="s">
        <v>1367</v>
      </c>
      <c r="M30" s="27"/>
      <c r="N30" s="87" t="s">
        <v>1368</v>
      </c>
      <c r="S30" s="202" t="s">
        <v>1369</v>
      </c>
      <c r="T30" s="202" t="s">
        <v>1334</v>
      </c>
      <c r="U30" s="202">
        <v>1495</v>
      </c>
      <c r="V30" s="202" t="s">
        <v>93</v>
      </c>
    </row>
    <row r="31" spans="1:22" x14ac:dyDescent="0.35">
      <c r="A31" s="27" t="s">
        <v>140</v>
      </c>
      <c r="B31" s="27" t="s">
        <v>1343</v>
      </c>
      <c r="C31" s="10">
        <v>2295</v>
      </c>
      <c r="D31" s="10">
        <v>2295</v>
      </c>
      <c r="E31" s="27" t="s">
        <v>24</v>
      </c>
      <c r="F31" s="27" t="s">
        <v>930</v>
      </c>
      <c r="G31" s="27" t="s">
        <v>1370</v>
      </c>
      <c r="H31" s="27"/>
      <c r="I31" s="27" t="s">
        <v>1361</v>
      </c>
      <c r="J31" s="195">
        <v>46002</v>
      </c>
      <c r="K31" s="27">
        <v>2295</v>
      </c>
      <c r="L31" s="27" t="s">
        <v>1371</v>
      </c>
      <c r="M31" s="27"/>
      <c r="N31" s="27" t="s">
        <v>1372</v>
      </c>
      <c r="S31" s="202" t="s">
        <v>247</v>
      </c>
      <c r="T31" s="202" t="s">
        <v>1334</v>
      </c>
      <c r="U31" s="202">
        <v>1495</v>
      </c>
      <c r="V31" s="202" t="s">
        <v>92</v>
      </c>
    </row>
    <row r="32" spans="1:22" x14ac:dyDescent="0.35">
      <c r="A32" s="27" t="s">
        <v>1373</v>
      </c>
      <c r="B32" s="27" t="s">
        <v>1343</v>
      </c>
      <c r="C32" s="10">
        <v>2295</v>
      </c>
      <c r="D32" s="10">
        <v>2000</v>
      </c>
      <c r="E32" s="27"/>
      <c r="F32" s="27" t="s">
        <v>1007</v>
      </c>
      <c r="G32" s="27"/>
      <c r="H32" s="27"/>
      <c r="I32" s="27">
        <v>0</v>
      </c>
      <c r="J32" s="195"/>
      <c r="K32" s="27"/>
      <c r="L32" s="27" t="s">
        <v>1374</v>
      </c>
      <c r="M32" s="27"/>
      <c r="N32" s="27"/>
      <c r="S32" s="83" t="s">
        <v>243</v>
      </c>
      <c r="T32" s="83" t="s">
        <v>1334</v>
      </c>
      <c r="U32" s="83">
        <v>1495</v>
      </c>
      <c r="V32" s="83" t="s">
        <v>24</v>
      </c>
    </row>
    <row r="33" spans="1:22" ht="29" x14ac:dyDescent="0.35">
      <c r="A33" s="27" t="s">
        <v>193</v>
      </c>
      <c r="B33" s="27" t="s">
        <v>1343</v>
      </c>
      <c r="C33" s="10">
        <v>2295</v>
      </c>
      <c r="D33" s="10">
        <v>2295</v>
      </c>
      <c r="E33" s="27" t="s">
        <v>24</v>
      </c>
      <c r="F33" s="27" t="s">
        <v>1375</v>
      </c>
      <c r="G33" s="27" t="s">
        <v>1376</v>
      </c>
      <c r="H33" s="157" t="s">
        <v>27</v>
      </c>
      <c r="I33" s="27"/>
      <c r="J33" s="195"/>
      <c r="K33" s="27"/>
      <c r="L33" s="27" t="s">
        <v>1377</v>
      </c>
      <c r="M33" s="27"/>
      <c r="N33" s="27" t="s">
        <v>1378</v>
      </c>
      <c r="S33" s="83" t="s">
        <v>276</v>
      </c>
      <c r="T33" s="83" t="s">
        <v>1334</v>
      </c>
      <c r="U33" s="83">
        <v>1500</v>
      </c>
      <c r="V33" s="83" t="s">
        <v>76</v>
      </c>
    </row>
    <row r="34" spans="1:22" x14ac:dyDescent="0.35">
      <c r="A34" s="27"/>
      <c r="B34" s="27" t="s">
        <v>1343</v>
      </c>
      <c r="C34" s="10">
        <v>2295</v>
      </c>
      <c r="D34" s="10"/>
      <c r="E34" s="27"/>
      <c r="F34" s="27"/>
      <c r="G34" s="27"/>
      <c r="H34" s="27"/>
      <c r="I34" s="27"/>
      <c r="J34" s="195"/>
      <c r="K34" s="27"/>
      <c r="L34" s="27"/>
      <c r="M34" s="27"/>
      <c r="N34" s="27"/>
      <c r="S34" s="83" t="s">
        <v>285</v>
      </c>
      <c r="T34" s="83" t="s">
        <v>1334</v>
      </c>
      <c r="U34" s="83">
        <v>1495</v>
      </c>
      <c r="V34" s="83" t="s">
        <v>95</v>
      </c>
    </row>
    <row r="35" spans="1:22" x14ac:dyDescent="0.35">
      <c r="A35" s="27"/>
      <c r="B35" s="27" t="s">
        <v>1343</v>
      </c>
      <c r="C35" s="10">
        <v>2295</v>
      </c>
      <c r="D35" s="10"/>
      <c r="E35" s="27"/>
      <c r="F35" s="27"/>
      <c r="G35" s="27"/>
      <c r="H35" s="27"/>
      <c r="I35" s="27"/>
      <c r="J35" s="195"/>
      <c r="K35" s="27"/>
      <c r="L35" s="27"/>
      <c r="M35" s="27"/>
      <c r="N35" s="27"/>
      <c r="S35" s="83" t="s">
        <v>288</v>
      </c>
      <c r="T35" s="83" t="s">
        <v>1343</v>
      </c>
      <c r="U35" s="83">
        <v>2295</v>
      </c>
      <c r="V35" s="83" t="s">
        <v>24</v>
      </c>
    </row>
    <row r="36" spans="1:22" ht="43.5" x14ac:dyDescent="0.35">
      <c r="A36" s="27" t="s">
        <v>276</v>
      </c>
      <c r="B36" s="27" t="s">
        <v>1334</v>
      </c>
      <c r="C36" s="10">
        <v>1495</v>
      </c>
      <c r="D36" s="10">
        <v>1500</v>
      </c>
      <c r="E36" s="27" t="s">
        <v>68</v>
      </c>
      <c r="F36" s="27" t="s">
        <v>492</v>
      </c>
      <c r="G36" s="27"/>
      <c r="H36" s="27"/>
      <c r="I36" s="27" t="s">
        <v>1361</v>
      </c>
      <c r="J36" s="195">
        <v>45898</v>
      </c>
      <c r="K36" s="27">
        <v>1500</v>
      </c>
      <c r="L36" s="27" t="s">
        <v>278</v>
      </c>
      <c r="M36" s="27"/>
      <c r="N36" s="27" t="s">
        <v>294</v>
      </c>
      <c r="S36" s="83" t="s">
        <v>515</v>
      </c>
      <c r="T36" s="83" t="s">
        <v>1354</v>
      </c>
      <c r="U36" s="83">
        <v>3990</v>
      </c>
      <c r="V36" s="83" t="s">
        <v>24</v>
      </c>
    </row>
    <row r="37" spans="1:22" ht="58" x14ac:dyDescent="0.35">
      <c r="A37" s="27" t="s">
        <v>285</v>
      </c>
      <c r="B37" s="27" t="s">
        <v>1334</v>
      </c>
      <c r="C37" s="10">
        <v>1495</v>
      </c>
      <c r="D37" s="10">
        <v>1495</v>
      </c>
      <c r="E37" s="27" t="s">
        <v>95</v>
      </c>
      <c r="F37" s="27" t="s">
        <v>303</v>
      </c>
      <c r="G37" s="27"/>
      <c r="H37" s="160" t="s">
        <v>27</v>
      </c>
      <c r="I37" s="27"/>
      <c r="J37" s="195" t="s">
        <v>304</v>
      </c>
      <c r="K37" s="27">
        <v>1495</v>
      </c>
      <c r="L37" s="27" t="s">
        <v>305</v>
      </c>
      <c r="M37" s="27"/>
      <c r="N37" s="27" t="s">
        <v>306</v>
      </c>
      <c r="S37" s="202" t="s">
        <v>480</v>
      </c>
      <c r="T37" s="202" t="s">
        <v>1334</v>
      </c>
      <c r="U37" s="202">
        <v>1495</v>
      </c>
      <c r="V37" s="202" t="s">
        <v>92</v>
      </c>
    </row>
    <row r="38" spans="1:22" x14ac:dyDescent="0.35">
      <c r="A38" s="27" t="s">
        <v>235</v>
      </c>
      <c r="B38" s="27" t="s">
        <v>1334</v>
      </c>
      <c r="C38" s="10">
        <v>1495</v>
      </c>
      <c r="D38" s="10">
        <v>1495</v>
      </c>
      <c r="E38" s="27" t="s">
        <v>24</v>
      </c>
      <c r="F38" s="27" t="s">
        <v>236</v>
      </c>
      <c r="G38" s="27"/>
      <c r="H38" s="27"/>
      <c r="I38" s="27" t="s">
        <v>1361</v>
      </c>
      <c r="J38" s="195">
        <v>45918</v>
      </c>
      <c r="K38" s="27">
        <v>1495</v>
      </c>
      <c r="L38" s="27" t="s">
        <v>237</v>
      </c>
      <c r="M38" s="27"/>
      <c r="N38" s="27" t="s">
        <v>238</v>
      </c>
      <c r="S38" s="27" t="s">
        <v>608</v>
      </c>
      <c r="T38" s="27" t="s">
        <v>1379</v>
      </c>
      <c r="U38" s="27">
        <v>1000</v>
      </c>
      <c r="V38" s="27" t="s">
        <v>76</v>
      </c>
    </row>
    <row r="39" spans="1:22" x14ac:dyDescent="0.35">
      <c r="A39" s="27" t="s">
        <v>69</v>
      </c>
      <c r="B39" s="27" t="s">
        <v>1334</v>
      </c>
      <c r="C39" s="10">
        <v>1495</v>
      </c>
      <c r="D39" s="10">
        <v>1495</v>
      </c>
      <c r="E39" s="27" t="s">
        <v>24</v>
      </c>
      <c r="F39" s="27" t="s">
        <v>82</v>
      </c>
      <c r="G39" s="27"/>
      <c r="H39" s="27"/>
      <c r="I39" s="27" t="s">
        <v>1361</v>
      </c>
      <c r="J39" s="195">
        <v>45995</v>
      </c>
      <c r="K39" s="27">
        <v>1495</v>
      </c>
      <c r="L39" s="27" t="s">
        <v>84</v>
      </c>
      <c r="M39" s="27"/>
      <c r="N39" s="27" t="s">
        <v>85</v>
      </c>
      <c r="S39" s="83" t="s">
        <v>1380</v>
      </c>
      <c r="T39" s="83" t="s">
        <v>1334</v>
      </c>
      <c r="U39" s="83">
        <v>1495</v>
      </c>
      <c r="V39" s="83" t="s">
        <v>92</v>
      </c>
    </row>
    <row r="40" spans="1:22" ht="29" x14ac:dyDescent="0.35">
      <c r="A40" s="27" t="s">
        <v>243</v>
      </c>
      <c r="B40" s="27" t="s">
        <v>1334</v>
      </c>
      <c r="C40" s="10">
        <v>1495</v>
      </c>
      <c r="D40" s="10">
        <v>1495</v>
      </c>
      <c r="E40" s="27" t="s">
        <v>24</v>
      </c>
      <c r="F40" s="27" t="s">
        <v>147</v>
      </c>
      <c r="G40" s="27"/>
      <c r="H40" s="27"/>
      <c r="I40" s="27" t="s">
        <v>1361</v>
      </c>
      <c r="J40" s="195">
        <v>45951</v>
      </c>
      <c r="K40" s="27">
        <v>1495</v>
      </c>
      <c r="L40" s="27" t="s">
        <v>245</v>
      </c>
      <c r="M40" s="27"/>
      <c r="N40" s="27" t="s">
        <v>246</v>
      </c>
      <c r="S40" s="83" t="s">
        <v>1381</v>
      </c>
      <c r="T40" s="83" t="s">
        <v>1352</v>
      </c>
      <c r="U40" s="83">
        <v>2000</v>
      </c>
      <c r="V40" s="83" t="s">
        <v>95</v>
      </c>
    </row>
    <row r="41" spans="1:22" ht="43.5" x14ac:dyDescent="0.35">
      <c r="A41" s="27" t="s">
        <v>126</v>
      </c>
      <c r="B41" s="27" t="s">
        <v>1334</v>
      </c>
      <c r="C41" s="10">
        <v>1495</v>
      </c>
      <c r="D41" s="10">
        <v>0</v>
      </c>
      <c r="E41" s="27" t="s">
        <v>24</v>
      </c>
      <c r="F41" s="27" t="s">
        <v>253</v>
      </c>
      <c r="G41" s="27"/>
      <c r="H41" s="27"/>
      <c r="I41" s="27">
        <v>0</v>
      </c>
      <c r="J41" s="195"/>
      <c r="K41" s="27"/>
      <c r="L41" s="27" t="s">
        <v>1382</v>
      </c>
      <c r="M41" s="27"/>
      <c r="N41" s="158" t="s">
        <v>1383</v>
      </c>
      <c r="S41" s="202" t="s">
        <v>1384</v>
      </c>
      <c r="T41" s="202" t="s">
        <v>1334</v>
      </c>
      <c r="U41" s="202">
        <v>1500</v>
      </c>
      <c r="V41" s="202" t="s">
        <v>95</v>
      </c>
    </row>
    <row r="42" spans="1:22" x14ac:dyDescent="0.35">
      <c r="A42" s="27" t="s">
        <v>764</v>
      </c>
      <c r="B42" s="27" t="s">
        <v>1334</v>
      </c>
      <c r="C42" s="10">
        <v>1495</v>
      </c>
      <c r="D42" s="10">
        <v>1495</v>
      </c>
      <c r="E42" s="27" t="s">
        <v>92</v>
      </c>
      <c r="F42" s="27" t="s">
        <v>253</v>
      </c>
      <c r="G42" s="27"/>
      <c r="H42" s="27"/>
      <c r="I42" s="27" t="s">
        <v>1361</v>
      </c>
      <c r="J42" s="195">
        <v>45895</v>
      </c>
      <c r="K42" s="27">
        <v>1495</v>
      </c>
      <c r="L42" s="27" t="s">
        <v>765</v>
      </c>
      <c r="M42" s="27"/>
      <c r="N42" s="158" t="s">
        <v>766</v>
      </c>
      <c r="S42" s="83" t="s">
        <v>1385</v>
      </c>
      <c r="T42" s="83" t="s">
        <v>1334</v>
      </c>
      <c r="U42" s="83">
        <v>1495</v>
      </c>
      <c r="V42" s="83" t="s">
        <v>37</v>
      </c>
    </row>
    <row r="43" spans="1:22" x14ac:dyDescent="0.35">
      <c r="A43" s="27" t="s">
        <v>22</v>
      </c>
      <c r="B43" s="27" t="s">
        <v>1334</v>
      </c>
      <c r="C43" s="10">
        <v>1495</v>
      </c>
      <c r="D43" s="10">
        <v>1495</v>
      </c>
      <c r="E43" s="27" t="s">
        <v>24</v>
      </c>
      <c r="F43" s="27" t="s">
        <v>25</v>
      </c>
      <c r="G43" s="27"/>
      <c r="H43" s="157" t="s">
        <v>27</v>
      </c>
      <c r="I43" s="27"/>
      <c r="J43" s="195" t="s">
        <v>28</v>
      </c>
      <c r="K43" s="27">
        <v>1495</v>
      </c>
      <c r="L43" s="27" t="s">
        <v>29</v>
      </c>
      <c r="M43" s="27"/>
      <c r="N43" s="155" t="s">
        <v>30</v>
      </c>
      <c r="S43" s="83" t="s">
        <v>1386</v>
      </c>
      <c r="T43" s="83" t="s">
        <v>1343</v>
      </c>
      <c r="U43" s="83">
        <v>2000</v>
      </c>
      <c r="V43" s="83" t="s">
        <v>95</v>
      </c>
    </row>
    <row r="44" spans="1:22" ht="29" x14ac:dyDescent="0.35">
      <c r="A44" s="27" t="s">
        <v>288</v>
      </c>
      <c r="B44" s="27" t="s">
        <v>1334</v>
      </c>
      <c r="C44" s="10">
        <v>1495</v>
      </c>
      <c r="D44" s="10">
        <v>1495</v>
      </c>
      <c r="E44" s="27" t="s">
        <v>24</v>
      </c>
      <c r="F44" s="27" t="s">
        <v>107</v>
      </c>
      <c r="G44" s="27"/>
      <c r="H44" s="27"/>
      <c r="I44" s="27" t="s">
        <v>1361</v>
      </c>
      <c r="J44" s="195">
        <v>45902</v>
      </c>
      <c r="K44" s="27">
        <v>1495</v>
      </c>
      <c r="L44" s="27" t="s">
        <v>827</v>
      </c>
      <c r="M44" s="27"/>
      <c r="N44" s="155" t="s">
        <v>828</v>
      </c>
      <c r="S44" s="27" t="s">
        <v>778</v>
      </c>
      <c r="T44" s="27" t="s">
        <v>1355</v>
      </c>
      <c r="U44" s="27">
        <v>2595</v>
      </c>
      <c r="V44" s="27" t="s">
        <v>93</v>
      </c>
    </row>
    <row r="45" spans="1:22" ht="29" x14ac:dyDescent="0.35">
      <c r="A45" s="27" t="s">
        <v>226</v>
      </c>
      <c r="B45" s="27" t="s">
        <v>1334</v>
      </c>
      <c r="C45" s="10">
        <v>1495</v>
      </c>
      <c r="D45" s="10">
        <v>1495</v>
      </c>
      <c r="E45" s="27" t="s">
        <v>24</v>
      </c>
      <c r="F45" s="27" t="s">
        <v>172</v>
      </c>
      <c r="G45" s="27"/>
      <c r="H45" s="27"/>
      <c r="I45" s="27" t="s">
        <v>1361</v>
      </c>
      <c r="J45" s="195">
        <v>45896</v>
      </c>
      <c r="K45" s="27">
        <v>1495</v>
      </c>
      <c r="L45" s="27" t="s">
        <v>315</v>
      </c>
      <c r="M45" s="27"/>
      <c r="N45" s="27" t="s">
        <v>316</v>
      </c>
      <c r="S45" s="83" t="s">
        <v>356</v>
      </c>
      <c r="T45" s="83" t="s">
        <v>1334</v>
      </c>
      <c r="U45" s="83">
        <v>1495</v>
      </c>
      <c r="V45" s="83" t="s">
        <v>93</v>
      </c>
    </row>
    <row r="46" spans="1:22" x14ac:dyDescent="0.35">
      <c r="A46" s="27" t="s">
        <v>1387</v>
      </c>
      <c r="B46" s="27" t="s">
        <v>1334</v>
      </c>
      <c r="C46" s="10">
        <v>1495</v>
      </c>
      <c r="D46" s="10">
        <v>1495</v>
      </c>
      <c r="E46" s="27" t="s">
        <v>95</v>
      </c>
      <c r="F46" s="27" t="s">
        <v>282</v>
      </c>
      <c r="G46" s="27" t="s">
        <v>1388</v>
      </c>
      <c r="H46" s="27"/>
      <c r="I46" s="27" t="s">
        <v>1361</v>
      </c>
      <c r="J46" s="195">
        <v>45902</v>
      </c>
      <c r="K46" s="27">
        <v>1495</v>
      </c>
      <c r="L46" s="27" t="s">
        <v>1389</v>
      </c>
      <c r="M46" s="27"/>
      <c r="N46" s="155" t="s">
        <v>1390</v>
      </c>
      <c r="S46" s="83" t="s">
        <v>764</v>
      </c>
      <c r="T46" s="83" t="s">
        <v>1334</v>
      </c>
      <c r="U46" s="83">
        <v>1495</v>
      </c>
      <c r="V46" s="83" t="s">
        <v>92</v>
      </c>
    </row>
    <row r="47" spans="1:22" x14ac:dyDescent="0.35">
      <c r="A47" s="27" t="s">
        <v>1391</v>
      </c>
      <c r="B47" s="27" t="s">
        <v>1334</v>
      </c>
      <c r="C47" s="10">
        <v>1495</v>
      </c>
      <c r="D47" s="10">
        <v>1495</v>
      </c>
      <c r="E47" s="27" t="s">
        <v>92</v>
      </c>
      <c r="F47" s="27" t="s">
        <v>650</v>
      </c>
      <c r="G47" s="27"/>
      <c r="H47" s="27"/>
      <c r="I47" s="27" t="s">
        <v>1361</v>
      </c>
      <c r="J47" s="195"/>
      <c r="K47" s="27"/>
      <c r="L47" s="27" t="s">
        <v>1380</v>
      </c>
      <c r="M47" s="27"/>
      <c r="N47" s="155" t="s">
        <v>1392</v>
      </c>
      <c r="S47" s="202" t="s">
        <v>352</v>
      </c>
      <c r="T47" s="202" t="s">
        <v>1334</v>
      </c>
      <c r="U47" s="202">
        <v>1495</v>
      </c>
      <c r="V47" s="202" t="s">
        <v>93</v>
      </c>
    </row>
    <row r="48" spans="1:22" ht="29" x14ac:dyDescent="0.35">
      <c r="A48" s="27" t="s">
        <v>679</v>
      </c>
      <c r="B48" s="27" t="s">
        <v>1334</v>
      </c>
      <c r="C48" s="10">
        <v>1495</v>
      </c>
      <c r="D48" s="10">
        <v>1495</v>
      </c>
      <c r="E48" s="27" t="s">
        <v>93</v>
      </c>
      <c r="F48" s="27" t="s">
        <v>663</v>
      </c>
      <c r="G48" s="27"/>
      <c r="H48" s="27"/>
      <c r="I48" s="27" t="s">
        <v>1361</v>
      </c>
      <c r="J48" s="195"/>
      <c r="K48" s="27"/>
      <c r="L48" s="27" t="s">
        <v>682</v>
      </c>
      <c r="M48" s="27"/>
      <c r="N48" s="155" t="s">
        <v>683</v>
      </c>
      <c r="S48" s="202" t="s">
        <v>1393</v>
      </c>
      <c r="T48" s="202" t="s">
        <v>1334</v>
      </c>
      <c r="U48" s="202">
        <v>1495</v>
      </c>
      <c r="V48" s="202" t="s">
        <v>91</v>
      </c>
    </row>
    <row r="49" spans="1:22" x14ac:dyDescent="0.35">
      <c r="A49" s="27" t="s">
        <v>531</v>
      </c>
      <c r="B49" s="27" t="s">
        <v>1334</v>
      </c>
      <c r="C49" s="10">
        <v>1495</v>
      </c>
      <c r="D49" s="10">
        <v>1495</v>
      </c>
      <c r="E49" s="27" t="s">
        <v>95</v>
      </c>
      <c r="F49" s="27" t="s">
        <v>663</v>
      </c>
      <c r="G49" s="27"/>
      <c r="H49" s="27"/>
      <c r="I49" s="27" t="s">
        <v>1361</v>
      </c>
      <c r="J49" s="195">
        <v>45902</v>
      </c>
      <c r="K49" s="27">
        <v>1495</v>
      </c>
      <c r="L49" s="27" t="s">
        <v>535</v>
      </c>
      <c r="M49" s="27"/>
      <c r="N49" s="155" t="s">
        <v>1394</v>
      </c>
      <c r="S49" s="202" t="s">
        <v>1395</v>
      </c>
      <c r="T49" s="202" t="s">
        <v>1343</v>
      </c>
      <c r="U49" s="202">
        <v>2295</v>
      </c>
      <c r="V49" s="202" t="s">
        <v>37</v>
      </c>
    </row>
    <row r="50" spans="1:22" x14ac:dyDescent="0.35">
      <c r="A50" s="27" t="s">
        <v>1396</v>
      </c>
      <c r="B50" s="27" t="s">
        <v>1334</v>
      </c>
      <c r="C50" s="10">
        <v>1495</v>
      </c>
      <c r="D50" s="10">
        <v>1495</v>
      </c>
      <c r="E50" s="27" t="s">
        <v>95</v>
      </c>
      <c r="F50" s="27" t="s">
        <v>1397</v>
      </c>
      <c r="G50" s="27"/>
      <c r="H50" s="27"/>
      <c r="I50" s="27" t="s">
        <v>1361</v>
      </c>
      <c r="J50" s="195">
        <v>45898</v>
      </c>
      <c r="K50" s="27">
        <v>1495</v>
      </c>
      <c r="L50" s="27" t="s">
        <v>1398</v>
      </c>
      <c r="M50" s="27"/>
      <c r="N50" s="87" t="s">
        <v>1399</v>
      </c>
      <c r="S50" s="27" t="s">
        <v>1400</v>
      </c>
      <c r="T50" s="27" t="s">
        <v>1334</v>
      </c>
      <c r="U50" s="27">
        <v>1495</v>
      </c>
      <c r="V50" s="27" t="s">
        <v>93</v>
      </c>
    </row>
    <row r="51" spans="1:22" x14ac:dyDescent="0.35">
      <c r="A51" s="27" t="s">
        <v>472</v>
      </c>
      <c r="B51" s="27" t="s">
        <v>1334</v>
      </c>
      <c r="C51" s="10">
        <v>1495</v>
      </c>
      <c r="D51" s="10">
        <v>1495</v>
      </c>
      <c r="E51" s="27" t="s">
        <v>76</v>
      </c>
      <c r="F51" s="27" t="s">
        <v>1401</v>
      </c>
      <c r="G51" s="27"/>
      <c r="H51" s="27"/>
      <c r="I51" s="27" t="s">
        <v>1336</v>
      </c>
      <c r="J51" s="195">
        <v>45894</v>
      </c>
      <c r="K51" s="27">
        <v>1495</v>
      </c>
      <c r="L51" s="27" t="s">
        <v>1402</v>
      </c>
      <c r="M51" s="27"/>
      <c r="N51" s="92" t="s">
        <v>1403</v>
      </c>
      <c r="S51" s="83" t="s">
        <v>235</v>
      </c>
      <c r="T51" s="83" t="s">
        <v>1334</v>
      </c>
      <c r="U51" s="83">
        <v>1495</v>
      </c>
      <c r="V51" s="83" t="s">
        <v>24</v>
      </c>
    </row>
    <row r="52" spans="1:22" x14ac:dyDescent="0.35">
      <c r="A52" s="202" t="s">
        <v>1404</v>
      </c>
      <c r="B52" s="202" t="s">
        <v>1334</v>
      </c>
      <c r="C52" s="113">
        <v>1495</v>
      </c>
      <c r="D52" s="113" t="s">
        <v>842</v>
      </c>
      <c r="E52" s="202" t="s">
        <v>93</v>
      </c>
      <c r="F52" s="202" t="s">
        <v>567</v>
      </c>
      <c r="G52" s="202"/>
      <c r="H52" s="202"/>
      <c r="I52" s="202" t="s">
        <v>1361</v>
      </c>
      <c r="J52" s="270">
        <v>0</v>
      </c>
      <c r="K52" s="202">
        <v>0</v>
      </c>
      <c r="L52" s="202" t="s">
        <v>1405</v>
      </c>
      <c r="M52" s="202"/>
      <c r="N52" s="276" t="s">
        <v>1406</v>
      </c>
      <c r="S52" s="83" t="s">
        <v>69</v>
      </c>
      <c r="T52" s="83" t="s">
        <v>1334</v>
      </c>
      <c r="U52" s="83">
        <v>1495</v>
      </c>
      <c r="V52" s="83" t="s">
        <v>24</v>
      </c>
    </row>
    <row r="53" spans="1:22" x14ac:dyDescent="0.35">
      <c r="A53" s="27" t="s">
        <v>1407</v>
      </c>
      <c r="B53" s="27" t="s">
        <v>1334</v>
      </c>
      <c r="C53" s="10">
        <v>1495</v>
      </c>
      <c r="D53" s="10">
        <v>1495</v>
      </c>
      <c r="E53" s="27" t="s">
        <v>92</v>
      </c>
      <c r="F53" s="27" t="s">
        <v>952</v>
      </c>
      <c r="G53" s="27"/>
      <c r="H53" s="27"/>
      <c r="I53" s="27" t="s">
        <v>1361</v>
      </c>
      <c r="J53" s="195"/>
      <c r="K53" s="27"/>
      <c r="L53" s="27" t="s">
        <v>1408</v>
      </c>
      <c r="M53" s="27"/>
      <c r="N53" s="101" t="s">
        <v>1409</v>
      </c>
      <c r="S53" s="27" t="s">
        <v>1410</v>
      </c>
      <c r="T53" s="27" t="s">
        <v>1411</v>
      </c>
      <c r="U53" s="27">
        <v>1295</v>
      </c>
      <c r="V53" s="27" t="s">
        <v>92</v>
      </c>
    </row>
    <row r="54" spans="1:22" x14ac:dyDescent="0.35">
      <c r="A54" s="27" t="s">
        <v>1412</v>
      </c>
      <c r="B54" s="27" t="s">
        <v>1334</v>
      </c>
      <c r="C54" s="10">
        <v>1495</v>
      </c>
      <c r="D54" s="10">
        <v>1495</v>
      </c>
      <c r="E54" s="27" t="s">
        <v>92</v>
      </c>
      <c r="F54" s="27" t="s">
        <v>499</v>
      </c>
      <c r="G54" s="27"/>
      <c r="H54" s="27"/>
      <c r="I54" s="27" t="s">
        <v>569</v>
      </c>
      <c r="J54" s="195">
        <v>45922</v>
      </c>
      <c r="K54" s="27">
        <v>1495</v>
      </c>
      <c r="L54" s="27" t="s">
        <v>1413</v>
      </c>
      <c r="M54" s="27"/>
      <c r="N54" s="92" t="s">
        <v>1414</v>
      </c>
      <c r="S54" s="83" t="s">
        <v>1415</v>
      </c>
      <c r="T54" s="83" t="s">
        <v>1334</v>
      </c>
      <c r="U54" s="83">
        <v>1495</v>
      </c>
      <c r="V54" s="83" t="s">
        <v>95</v>
      </c>
    </row>
    <row r="55" spans="1:22" ht="43.5" x14ac:dyDescent="0.35">
      <c r="A55" s="27" t="s">
        <v>1416</v>
      </c>
      <c r="B55" s="27" t="s">
        <v>1334</v>
      </c>
      <c r="C55" s="10">
        <v>1495</v>
      </c>
      <c r="D55" s="10">
        <v>2000</v>
      </c>
      <c r="E55" s="27" t="s">
        <v>90</v>
      </c>
      <c r="F55" s="27" t="s">
        <v>532</v>
      </c>
      <c r="G55" s="27" t="s">
        <v>1417</v>
      </c>
      <c r="H55" s="27"/>
      <c r="I55" s="27" t="s">
        <v>576</v>
      </c>
      <c r="J55" s="195">
        <v>45919</v>
      </c>
      <c r="K55" s="27">
        <v>2000</v>
      </c>
      <c r="L55" s="27"/>
      <c r="M55" s="27"/>
      <c r="N55" s="27"/>
      <c r="S55" s="83" t="s">
        <v>401</v>
      </c>
      <c r="T55" s="83" t="s">
        <v>1334</v>
      </c>
      <c r="U55" s="83">
        <v>1495</v>
      </c>
      <c r="V55" s="83" t="s">
        <v>24</v>
      </c>
    </row>
    <row r="56" spans="1:22" x14ac:dyDescent="0.35">
      <c r="A56" s="27" t="s">
        <v>1418</v>
      </c>
      <c r="B56" s="27" t="s">
        <v>1334</v>
      </c>
      <c r="C56" s="10">
        <v>1495</v>
      </c>
      <c r="D56" s="10">
        <v>1495</v>
      </c>
      <c r="E56" s="27" t="s">
        <v>93</v>
      </c>
      <c r="F56" s="27" t="s">
        <v>894</v>
      </c>
      <c r="G56" s="27"/>
      <c r="H56" s="27"/>
      <c r="I56" s="27" t="s">
        <v>1419</v>
      </c>
      <c r="J56" s="195">
        <v>45967</v>
      </c>
      <c r="K56" s="27">
        <v>1495</v>
      </c>
      <c r="L56" s="27" t="s">
        <v>1420</v>
      </c>
      <c r="M56" s="27"/>
      <c r="N56" s="101" t="s">
        <v>1421</v>
      </c>
      <c r="S56" s="83" t="s">
        <v>1040</v>
      </c>
      <c r="T56" s="83" t="s">
        <v>1343</v>
      </c>
      <c r="U56" s="83">
        <v>2295</v>
      </c>
      <c r="V56" s="83" t="s">
        <v>95</v>
      </c>
    </row>
    <row r="57" spans="1:22" x14ac:dyDescent="0.35">
      <c r="A57" s="27" t="s">
        <v>1385</v>
      </c>
      <c r="B57" s="27" t="s">
        <v>1334</v>
      </c>
      <c r="C57" s="10">
        <v>1495</v>
      </c>
      <c r="D57" s="10">
        <v>1495</v>
      </c>
      <c r="E57" s="27" t="s">
        <v>24</v>
      </c>
      <c r="F57" s="27" t="s">
        <v>1422</v>
      </c>
      <c r="G57" s="27" t="s">
        <v>1423</v>
      </c>
      <c r="H57" s="27"/>
      <c r="I57" s="27" t="s">
        <v>1424</v>
      </c>
      <c r="J57" s="195">
        <v>45993</v>
      </c>
      <c r="K57" s="27">
        <v>1495</v>
      </c>
      <c r="L57" s="27" t="s">
        <v>1425</v>
      </c>
      <c r="M57" s="27"/>
      <c r="N57" s="81" t="s">
        <v>1426</v>
      </c>
      <c r="S57" s="83" t="s">
        <v>1427</v>
      </c>
      <c r="T57" s="83" t="s">
        <v>1334</v>
      </c>
      <c r="U57" s="83">
        <v>1495</v>
      </c>
      <c r="V57" s="83" t="s">
        <v>92</v>
      </c>
    </row>
    <row r="58" spans="1:22" x14ac:dyDescent="0.35">
      <c r="A58" s="27"/>
      <c r="B58" s="27" t="s">
        <v>1379</v>
      </c>
      <c r="C58" s="10">
        <v>1095</v>
      </c>
      <c r="D58" s="10"/>
      <c r="E58" s="27"/>
      <c r="F58" s="27"/>
      <c r="G58" s="27"/>
      <c r="H58" s="27"/>
      <c r="I58" s="27"/>
      <c r="J58" s="195"/>
      <c r="K58" s="27"/>
      <c r="L58" s="27"/>
      <c r="M58" s="27"/>
      <c r="N58" s="27"/>
      <c r="S58" s="27" t="s">
        <v>182</v>
      </c>
      <c r="T58" s="27" t="s">
        <v>1334</v>
      </c>
      <c r="U58" s="27">
        <v>1495</v>
      </c>
      <c r="V58" s="27" t="s">
        <v>24</v>
      </c>
    </row>
    <row r="59" spans="1:22" x14ac:dyDescent="0.35">
      <c r="A59" s="27"/>
      <c r="B59" s="27" t="s">
        <v>1379</v>
      </c>
      <c r="C59" s="10">
        <v>1095</v>
      </c>
      <c r="D59" s="10"/>
      <c r="E59" s="27"/>
      <c r="F59" s="27"/>
      <c r="G59" s="27"/>
      <c r="H59" s="27"/>
      <c r="I59" s="27"/>
      <c r="J59" s="195"/>
      <c r="K59" s="27"/>
      <c r="L59" s="27"/>
      <c r="M59" s="27"/>
      <c r="N59" s="27"/>
      <c r="S59" s="202" t="s">
        <v>212</v>
      </c>
      <c r="T59" s="202" t="s">
        <v>1334</v>
      </c>
      <c r="U59" s="202">
        <v>1500</v>
      </c>
      <c r="V59" s="202" t="s">
        <v>76</v>
      </c>
    </row>
    <row r="60" spans="1:22" x14ac:dyDescent="0.35">
      <c r="A60" s="27"/>
      <c r="B60" s="27" t="s">
        <v>1379</v>
      </c>
      <c r="C60" s="10">
        <v>1095</v>
      </c>
      <c r="D60" s="10"/>
      <c r="E60" s="27"/>
      <c r="F60" s="27"/>
      <c r="G60" s="27"/>
      <c r="H60" s="27"/>
      <c r="I60" s="27"/>
      <c r="J60" s="195"/>
      <c r="K60" s="27"/>
      <c r="L60" s="27"/>
      <c r="M60" s="27"/>
      <c r="N60" s="27"/>
      <c r="S60" s="83" t="s">
        <v>166</v>
      </c>
      <c r="T60" s="83" t="s">
        <v>1345</v>
      </c>
      <c r="U60" s="83">
        <v>2990</v>
      </c>
      <c r="V60" s="83" t="s">
        <v>97</v>
      </c>
    </row>
    <row r="61" spans="1:22" x14ac:dyDescent="0.35">
      <c r="A61" s="27"/>
      <c r="B61" s="27" t="s">
        <v>1428</v>
      </c>
      <c r="C61" s="10">
        <v>895</v>
      </c>
      <c r="D61" s="10"/>
      <c r="E61" s="27"/>
      <c r="F61" s="27"/>
      <c r="G61" s="27"/>
      <c r="H61" s="27"/>
      <c r="I61" s="27"/>
      <c r="J61" s="195"/>
      <c r="K61" s="27"/>
      <c r="L61" s="27"/>
      <c r="M61" s="27"/>
      <c r="N61" s="27"/>
      <c r="S61" s="202" t="s">
        <v>424</v>
      </c>
      <c r="T61" s="202" t="s">
        <v>1334</v>
      </c>
      <c r="U61" s="202">
        <v>1495</v>
      </c>
      <c r="V61" s="202" t="s">
        <v>90</v>
      </c>
    </row>
    <row r="62" spans="1:22" x14ac:dyDescent="0.35">
      <c r="A62" s="27"/>
      <c r="B62" s="27" t="s">
        <v>1428</v>
      </c>
      <c r="C62" s="10">
        <v>895</v>
      </c>
      <c r="D62" s="10"/>
      <c r="E62" s="27"/>
      <c r="F62" s="27"/>
      <c r="G62" s="27"/>
      <c r="H62" s="27"/>
      <c r="I62" s="27"/>
      <c r="J62" s="195"/>
      <c r="K62" s="27"/>
      <c r="L62" s="27"/>
      <c r="M62" s="27"/>
      <c r="N62" s="27"/>
      <c r="S62" s="83" t="s">
        <v>1396</v>
      </c>
      <c r="T62" s="83" t="s">
        <v>1343</v>
      </c>
      <c r="U62" s="83">
        <v>2295</v>
      </c>
      <c r="V62" s="83" t="s">
        <v>95</v>
      </c>
    </row>
    <row r="63" spans="1:22" x14ac:dyDescent="0.35">
      <c r="A63" s="27"/>
      <c r="B63" s="27" t="s">
        <v>1429</v>
      </c>
      <c r="C63" s="10">
        <v>475</v>
      </c>
      <c r="D63" s="10"/>
      <c r="E63" s="27"/>
      <c r="F63" s="27"/>
      <c r="G63" s="27"/>
      <c r="H63" s="27"/>
      <c r="I63" s="27"/>
      <c r="J63" s="195"/>
      <c r="K63" s="27"/>
      <c r="L63" s="27"/>
      <c r="M63" s="27"/>
      <c r="N63" s="27"/>
      <c r="S63" s="219" t="s">
        <v>1373</v>
      </c>
      <c r="T63" s="219" t="s">
        <v>1343</v>
      </c>
      <c r="U63" s="219">
        <v>2000</v>
      </c>
      <c r="V63" s="219"/>
    </row>
    <row r="64" spans="1:22" x14ac:dyDescent="0.35">
      <c r="S64" s="83" t="s">
        <v>1407</v>
      </c>
      <c r="T64" s="83" t="s">
        <v>1334</v>
      </c>
      <c r="U64" s="83">
        <v>1495</v>
      </c>
      <c r="V64" s="83" t="s">
        <v>93</v>
      </c>
    </row>
    <row r="65" spans="11:22" x14ac:dyDescent="0.35">
      <c r="K65" s="25">
        <f>SUM(K9:K64)</f>
        <v>84005</v>
      </c>
      <c r="S65" s="27" t="s">
        <v>552</v>
      </c>
      <c r="T65" s="27" t="s">
        <v>1334</v>
      </c>
      <c r="U65" s="27">
        <v>1495</v>
      </c>
      <c r="V65" s="27" t="s">
        <v>93</v>
      </c>
    </row>
    <row r="300" spans="5:5" x14ac:dyDescent="0.35">
      <c r="E300" s="23" t="s">
        <v>47</v>
      </c>
    </row>
    <row r="301" spans="5:5" x14ac:dyDescent="0.35">
      <c r="E301" s="23" t="s">
        <v>37</v>
      </c>
    </row>
    <row r="302" spans="5:5" x14ac:dyDescent="0.35">
      <c r="E302" s="23" t="s">
        <v>24</v>
      </c>
    </row>
    <row r="303" spans="5:5" x14ac:dyDescent="0.35">
      <c r="E303" s="23" t="s">
        <v>62</v>
      </c>
    </row>
    <row r="304" spans="5:5" x14ac:dyDescent="0.35">
      <c r="E304" s="23" t="s">
        <v>56</v>
      </c>
    </row>
    <row r="305" spans="5:5" x14ac:dyDescent="0.35">
      <c r="E305" s="23" t="s">
        <v>50</v>
      </c>
    </row>
    <row r="306" spans="5:5" x14ac:dyDescent="0.35">
      <c r="E306" s="23" t="s">
        <v>91</v>
      </c>
    </row>
    <row r="307" spans="5:5" x14ac:dyDescent="0.35">
      <c r="E307" s="23" t="s">
        <v>90</v>
      </c>
    </row>
    <row r="308" spans="5:5" x14ac:dyDescent="0.35">
      <c r="E308" s="23" t="s">
        <v>86</v>
      </c>
    </row>
    <row r="309" spans="5:5" x14ac:dyDescent="0.35">
      <c r="E309" s="23" t="s">
        <v>81</v>
      </c>
    </row>
    <row r="310" spans="5:5" x14ac:dyDescent="0.35">
      <c r="E310" s="23" t="s">
        <v>76</v>
      </c>
    </row>
    <row r="311" spans="5:5" x14ac:dyDescent="0.35">
      <c r="E311" s="23" t="s">
        <v>68</v>
      </c>
    </row>
    <row r="312" spans="5:5" x14ac:dyDescent="0.35">
      <c r="E312" s="23" t="s">
        <v>94</v>
      </c>
    </row>
    <row r="313" spans="5:5" x14ac:dyDescent="0.35">
      <c r="E313" s="23" t="s">
        <v>93</v>
      </c>
    </row>
    <row r="314" spans="5:5" x14ac:dyDescent="0.35">
      <c r="E314" s="23" t="s">
        <v>92</v>
      </c>
    </row>
    <row r="315" spans="5:5" x14ac:dyDescent="0.35">
      <c r="E315" s="23" t="s">
        <v>97</v>
      </c>
    </row>
    <row r="316" spans="5:5" x14ac:dyDescent="0.35">
      <c r="E316" s="23" t="s">
        <v>96</v>
      </c>
    </row>
    <row r="317" spans="5:5" x14ac:dyDescent="0.35">
      <c r="E317" s="23" t="s">
        <v>95</v>
      </c>
    </row>
  </sheetData>
  <sortState xmlns:xlrd2="http://schemas.microsoft.com/office/spreadsheetml/2017/richdata2" ref="S9:V84">
    <sortCondition ref="S9:S84"/>
  </sortState>
  <hyperlinks>
    <hyperlink ref="N23" r:id="rId2" display="mailto:Beth.Jimmerson@ConwayCorp.com" xr:uid="{16110531-C74E-4B32-A561-C6B9540DFAFA}"/>
    <hyperlink ref="N26" r:id="rId3" display="mailto:spencer.griffith@agfc.ar.gov" xr:uid="{3D80A073-2727-4575-927C-F8E18493E10C}"/>
    <hyperlink ref="N41" r:id="rId4" display="mailto:mcahillwicks@arvest.com" xr:uid="{EFC2E1F0-E14B-42D8-9B05-48F97598E647}"/>
    <hyperlink ref="N42" r:id="rId5" display="mailto:karenferguson501@gmail.com" xr:uid="{2A991055-5775-4186-9BBE-E260A06A48AE}"/>
    <hyperlink ref="N15" r:id="rId6" display="mailto:cpledger@trinitydevelopmentinc.com" xr:uid="{FD4A3943-F937-44D3-9DB8-8B6FD6571777}"/>
    <hyperlink ref="N43" r:id="rId7" display="mailto:jay.bernard.l8if@statefarm.com" xr:uid="{121853F6-8C0B-4954-889D-51CB5B48917B}"/>
    <hyperlink ref="N24" r:id="rId8" display="mailto:jake.turpin@claytonhomes.com" xr:uid="{01D224FA-C6A9-4C31-8DE2-AD80C1AA1E5A}"/>
    <hyperlink ref="N44" r:id="rId9" display="mailto:Lori.Melton@firstcommunity.net" xr:uid="{F08BBF0F-F604-49A6-B829-A7457A24778C}"/>
    <hyperlink ref="N46" r:id="rId10" xr:uid="{02786F7C-4115-4AD1-BAF5-F195E5EA5908}"/>
    <hyperlink ref="N12" r:id="rId11" xr:uid="{D3683971-7EE5-4BF9-84E3-7902E3BB52FA}"/>
    <hyperlink ref="N47" r:id="rId12" display="mailto:leahbrownera@gmail.com" xr:uid="{29F4FA01-E977-48CA-BE85-8406BD105D01}"/>
    <hyperlink ref="N48" r:id="rId13" display="mailto:nick@nrgins.com" xr:uid="{1F99E3BB-87A1-4CD1-B23E-4CD4B9371D57}"/>
    <hyperlink ref="N49" r:id="rId14" display="mailto:dgoforth@afcu.org" xr:uid="{524292D3-6994-4C40-8E84-28FFEC6FE8A8}"/>
    <hyperlink ref="N20" r:id="rId15" display="mailto:michellemallett@ottinsurance.com" xr:uid="{0FE1AE9D-C0F3-4E2B-A407-45D4F6C71B57}"/>
    <hyperlink ref="N11" r:id="rId16" display="mailto:lhammers@cbrpm.com" xr:uid="{E7AB4022-54BB-4AE6-87FA-BFB0CF0A8C52}"/>
    <hyperlink ref="N50" r:id="rId17" display="mailto:mwhiting@uca.edu" xr:uid="{F3639762-7290-404C-B00E-9B53AD459835}"/>
    <hyperlink ref="N30" r:id="rId18" display="mailto:elizabeth.bondoc@smilebrands.com" xr:uid="{09C00E45-3427-465D-B973-3580C4F8FBE3}"/>
    <hyperlink ref="N51" r:id="rId19" display="mailto:sthacker@harpsfood.com" xr:uid="{57402436-8A1E-4C0E-80F8-F26AE7CFD76A}"/>
    <hyperlink ref="N14" r:id="rId20" xr:uid="{CF5CC710-C02A-4CB6-A0EA-AD9B1C64A691}"/>
    <hyperlink ref="N52" r:id="rId21" display="mailto:huskyhvacr@gmail.com" xr:uid="{4922A491-5ACE-4D41-BC12-68D23EBAF1AC}"/>
    <hyperlink ref="N53" r:id="rId22" display="mailto:kent@wholehogconway.com" xr:uid="{759E2B83-EC0D-477E-87DE-023999653C29}"/>
    <hyperlink ref="N54" r:id="rId23" display="mailto:admin@superiorhrc.com" xr:uid="{12E1E9E8-0896-45BB-9D42-3E62939E759F}"/>
    <hyperlink ref="N56" r:id="rId24" display="mailto:matthew.carpenter@edwardjones.com" xr:uid="{9B7FAD48-8A59-4FCA-92EA-0EC0F6FC8FE8}"/>
    <hyperlink ref="N57" r:id="rId25" display="mailto:jmatlock@littlerock.gov" xr:uid="{3EBC4B17-E004-416C-9928-B9E1B3B9376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34F10-53AE-4EB6-91AA-88A0D6AFDF14}">
  <dimension ref="A1:V317"/>
  <sheetViews>
    <sheetView workbookViewId="0">
      <pane ySplit="8" topLeftCell="A9" activePane="bottomLeft" state="frozen"/>
      <selection pane="bottomLeft" activeCell="K20" sqref="K20"/>
    </sheetView>
  </sheetViews>
  <sheetFormatPr defaultColWidth="56.81640625" defaultRowHeight="14.5" x14ac:dyDescent="0.35"/>
  <cols>
    <col min="1" max="1" width="36.453125" style="5" bestFit="1" customWidth="1"/>
    <col min="2" max="2" width="35.81640625" style="5" bestFit="1" customWidth="1"/>
    <col min="3" max="3" width="11.54296875" style="5" customWidth="1"/>
    <col min="4" max="4" width="15.81640625" style="5" bestFit="1" customWidth="1"/>
    <col min="5" max="5" width="8.7265625" style="5" bestFit="1" customWidth="1"/>
    <col min="6" max="6" width="11.1796875" style="5" bestFit="1" customWidth="1"/>
    <col min="7" max="7" width="33.7265625" style="5" customWidth="1"/>
    <col min="8" max="8" width="16.26953125" style="5" bestFit="1" customWidth="1"/>
    <col min="9" max="9" width="10.1796875" style="5" bestFit="1" customWidth="1"/>
    <col min="10" max="10" width="10.26953125" style="5" bestFit="1" customWidth="1"/>
    <col min="11" max="11" width="14.453125" style="5" bestFit="1" customWidth="1"/>
    <col min="12" max="12" width="18.26953125" style="5" customWidth="1"/>
    <col min="13" max="13" width="7.54296875" style="5" bestFit="1" customWidth="1"/>
    <col min="14" max="14" width="41.81640625" style="5" bestFit="1" customWidth="1"/>
    <col min="15" max="15" width="9.1796875" style="5" customWidth="1"/>
    <col min="16" max="16" width="11" style="5" bestFit="1" customWidth="1"/>
    <col min="17" max="17" width="10.1796875" style="5" bestFit="1" customWidth="1"/>
    <col min="18" max="18" width="9.1796875" style="5" customWidth="1"/>
    <col min="19" max="19" width="36.453125" style="5" bestFit="1" customWidth="1"/>
    <col min="20" max="20" width="43.7265625" style="5" bestFit="1" customWidth="1"/>
    <col min="21" max="21" width="15.81640625" style="5" bestFit="1" customWidth="1"/>
    <col min="22" max="22" width="8.7265625" style="5" bestFit="1" customWidth="1"/>
    <col min="23" max="16384" width="56.81640625" style="5"/>
  </cols>
  <sheetData>
    <row r="1" spans="1:22" x14ac:dyDescent="0.35">
      <c r="A1" s="4" t="s">
        <v>1430</v>
      </c>
      <c r="B1" s="4">
        <v>2025</v>
      </c>
      <c r="S1" s="4" t="s">
        <v>1430</v>
      </c>
      <c r="T1" s="4">
        <v>2024</v>
      </c>
    </row>
    <row r="2" spans="1:22" x14ac:dyDescent="0.35">
      <c r="A2" s="6" t="s">
        <v>1</v>
      </c>
      <c r="B2" s="7">
        <f>SUM(D9:D52)</f>
        <v>43900</v>
      </c>
      <c r="K2" s="11" t="s">
        <v>2</v>
      </c>
      <c r="S2" s="6" t="s">
        <v>1</v>
      </c>
      <c r="T2" s="7">
        <f>SUM(U9:U31)</f>
        <v>29850</v>
      </c>
    </row>
    <row r="3" spans="1:22" x14ac:dyDescent="0.35">
      <c r="A3" s="6" t="s">
        <v>3</v>
      </c>
      <c r="B3" s="7">
        <v>27500</v>
      </c>
      <c r="K3" s="7">
        <f>SUM(K33-B2)</f>
        <v>0</v>
      </c>
      <c r="S3" s="6" t="s">
        <v>3</v>
      </c>
      <c r="T3" s="7">
        <v>26000</v>
      </c>
    </row>
    <row r="4" spans="1:22" x14ac:dyDescent="0.35">
      <c r="A4" s="6" t="s">
        <v>4</v>
      </c>
      <c r="B4" s="7">
        <f>MIN(B2-B3)</f>
        <v>16400</v>
      </c>
      <c r="K4" s="42">
        <f>K33/B2</f>
        <v>1</v>
      </c>
      <c r="S4" s="6" t="s">
        <v>4</v>
      </c>
      <c r="T4" s="7">
        <f>MIN(T2-T3)</f>
        <v>3850</v>
      </c>
    </row>
    <row r="5" spans="1:22" x14ac:dyDescent="0.35">
      <c r="A5" s="6" t="s">
        <v>5</v>
      </c>
      <c r="B5" s="7">
        <v>30000</v>
      </c>
      <c r="S5" s="6" t="s">
        <v>5</v>
      </c>
      <c r="T5" s="7">
        <v>37000</v>
      </c>
    </row>
    <row r="6" spans="1:22" x14ac:dyDescent="0.35">
      <c r="A6" s="6" t="s">
        <v>4</v>
      </c>
      <c r="B6" s="7">
        <f>MIN(B2-B5)</f>
        <v>13900</v>
      </c>
      <c r="S6" s="6" t="s">
        <v>4</v>
      </c>
      <c r="T6" s="7">
        <f>MIN(T2-T5)</f>
        <v>-7150</v>
      </c>
    </row>
    <row r="8" spans="1:22"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c r="S8" s="8" t="s">
        <v>6</v>
      </c>
      <c r="T8" s="8" t="s">
        <v>21</v>
      </c>
      <c r="U8" s="8" t="s">
        <v>9</v>
      </c>
      <c r="V8" s="8" t="s">
        <v>10</v>
      </c>
    </row>
    <row r="9" spans="1:22" x14ac:dyDescent="0.35">
      <c r="A9" s="9" t="s">
        <v>175</v>
      </c>
      <c r="B9" s="9" t="s">
        <v>23</v>
      </c>
      <c r="C9" s="10">
        <v>15000</v>
      </c>
      <c r="D9" s="10">
        <v>10000</v>
      </c>
      <c r="E9" s="9" t="s">
        <v>96</v>
      </c>
      <c r="F9" s="9" t="s">
        <v>115</v>
      </c>
      <c r="G9" s="9"/>
      <c r="H9" s="9"/>
      <c r="I9" s="9"/>
      <c r="J9" s="9" t="s">
        <v>930</v>
      </c>
      <c r="K9" s="10">
        <v>10000</v>
      </c>
      <c r="L9" s="9" t="s">
        <v>1072</v>
      </c>
      <c r="M9" s="9"/>
      <c r="N9" s="87" t="s">
        <v>1073</v>
      </c>
      <c r="P9" s="39" t="s">
        <v>24</v>
      </c>
      <c r="Q9" s="10">
        <v>7700</v>
      </c>
      <c r="S9" s="112" t="s">
        <v>1431</v>
      </c>
      <c r="T9" s="112" t="s">
        <v>275</v>
      </c>
      <c r="U9" s="113">
        <v>225</v>
      </c>
      <c r="V9" s="112"/>
    </row>
    <row r="10" spans="1:22" x14ac:dyDescent="0.35">
      <c r="A10" s="9" t="s">
        <v>515</v>
      </c>
      <c r="B10" s="9" t="s">
        <v>32</v>
      </c>
      <c r="C10" s="10">
        <v>10000</v>
      </c>
      <c r="D10" s="10">
        <v>8000</v>
      </c>
      <c r="E10" s="9" t="s">
        <v>37</v>
      </c>
      <c r="F10" s="9" t="s">
        <v>115</v>
      </c>
      <c r="G10" s="9"/>
      <c r="H10" s="9"/>
      <c r="I10" s="9"/>
      <c r="J10" s="195">
        <v>46003</v>
      </c>
      <c r="K10" s="10">
        <v>8000</v>
      </c>
      <c r="L10" s="9" t="s">
        <v>518</v>
      </c>
      <c r="M10" s="9"/>
      <c r="N10" s="87" t="s">
        <v>1432</v>
      </c>
      <c r="P10" s="39" t="s">
        <v>37</v>
      </c>
      <c r="Q10" s="10">
        <v>8000</v>
      </c>
      <c r="S10" s="48" t="s">
        <v>1433</v>
      </c>
      <c r="T10" s="48" t="s">
        <v>1434</v>
      </c>
      <c r="U10" s="55">
        <v>2500</v>
      </c>
      <c r="V10" s="48" t="s">
        <v>37</v>
      </c>
    </row>
    <row r="11" spans="1:22" x14ac:dyDescent="0.35">
      <c r="A11" s="9"/>
      <c r="B11" s="9" t="s">
        <v>1435</v>
      </c>
      <c r="C11" s="10">
        <v>5000</v>
      </c>
      <c r="D11" s="10"/>
      <c r="E11" s="9"/>
      <c r="F11" s="9"/>
      <c r="G11" s="9"/>
      <c r="H11" s="9"/>
      <c r="I11" s="9"/>
      <c r="J11" s="9"/>
      <c r="K11" s="10"/>
      <c r="L11" s="9"/>
      <c r="M11" s="9"/>
      <c r="N11" s="9"/>
      <c r="P11" s="39" t="s">
        <v>47</v>
      </c>
      <c r="Q11" s="10"/>
      <c r="S11" s="48" t="s">
        <v>699</v>
      </c>
      <c r="T11" s="48" t="s">
        <v>1245</v>
      </c>
      <c r="U11" s="55">
        <v>600</v>
      </c>
      <c r="V11" s="48"/>
    </row>
    <row r="12" spans="1:22" x14ac:dyDescent="0.35">
      <c r="A12" s="9" t="s">
        <v>1436</v>
      </c>
      <c r="B12" s="9" t="s">
        <v>1437</v>
      </c>
      <c r="C12" s="10">
        <v>5000</v>
      </c>
      <c r="D12" s="10">
        <v>5000</v>
      </c>
      <c r="E12" s="9" t="s">
        <v>96</v>
      </c>
      <c r="F12" s="9" t="s">
        <v>691</v>
      </c>
      <c r="G12" s="9" t="s">
        <v>1438</v>
      </c>
      <c r="H12" s="9"/>
      <c r="I12" s="9"/>
      <c r="J12" s="9" t="s">
        <v>635</v>
      </c>
      <c r="K12" s="10">
        <v>5000</v>
      </c>
      <c r="L12" s="9" t="s">
        <v>1439</v>
      </c>
      <c r="M12" s="9"/>
      <c r="N12" s="86" t="s">
        <v>1440</v>
      </c>
      <c r="P12" s="39" t="s">
        <v>50</v>
      </c>
      <c r="Q12" s="10"/>
      <c r="S12" s="112" t="s">
        <v>1441</v>
      </c>
      <c r="T12" s="112" t="s">
        <v>1245</v>
      </c>
      <c r="U12" s="113">
        <v>600</v>
      </c>
      <c r="V12" s="112"/>
    </row>
    <row r="13" spans="1:22" x14ac:dyDescent="0.35">
      <c r="A13" s="9" t="s">
        <v>1442</v>
      </c>
      <c r="B13" s="9" t="s">
        <v>1443</v>
      </c>
      <c r="C13" s="10">
        <v>2500</v>
      </c>
      <c r="D13" s="10">
        <v>2500</v>
      </c>
      <c r="E13" s="9" t="s">
        <v>95</v>
      </c>
      <c r="F13" s="9" t="s">
        <v>438</v>
      </c>
      <c r="G13" s="9"/>
      <c r="H13" s="9"/>
      <c r="I13" s="9"/>
      <c r="J13" s="9" t="s">
        <v>44</v>
      </c>
      <c r="K13" s="10">
        <v>2500</v>
      </c>
      <c r="L13" s="9" t="s">
        <v>1444</v>
      </c>
      <c r="M13" s="9"/>
      <c r="N13" s="87" t="s">
        <v>1445</v>
      </c>
      <c r="P13" s="39" t="s">
        <v>56</v>
      </c>
      <c r="Q13" s="10"/>
      <c r="S13" s="112" t="s">
        <v>490</v>
      </c>
      <c r="T13" s="112" t="s">
        <v>1245</v>
      </c>
      <c r="U13" s="113">
        <v>600</v>
      </c>
      <c r="V13" s="112" t="s">
        <v>92</v>
      </c>
    </row>
    <row r="14" spans="1:22" ht="58" x14ac:dyDescent="0.35">
      <c r="A14" s="9" t="s">
        <v>117</v>
      </c>
      <c r="B14" s="9" t="s">
        <v>1446</v>
      </c>
      <c r="C14" s="10">
        <v>2500</v>
      </c>
      <c r="D14" s="10">
        <v>2500</v>
      </c>
      <c r="E14" s="9" t="s">
        <v>95</v>
      </c>
      <c r="F14" s="9" t="s">
        <v>119</v>
      </c>
      <c r="G14" s="9" t="s">
        <v>1447</v>
      </c>
      <c r="H14" s="9"/>
      <c r="I14" s="9"/>
      <c r="J14" s="9" t="s">
        <v>649</v>
      </c>
      <c r="K14" s="10">
        <v>2500</v>
      </c>
      <c r="L14" s="9" t="s">
        <v>122</v>
      </c>
      <c r="M14" s="9"/>
      <c r="N14" s="87" t="s">
        <v>123</v>
      </c>
      <c r="P14" s="39" t="s">
        <v>62</v>
      </c>
      <c r="Q14" s="10"/>
      <c r="S14" s="9" t="s">
        <v>951</v>
      </c>
      <c r="T14" s="9" t="s">
        <v>732</v>
      </c>
      <c r="U14" s="10">
        <v>300</v>
      </c>
      <c r="V14" s="9" t="s">
        <v>76</v>
      </c>
    </row>
    <row r="15" spans="1:22" x14ac:dyDescent="0.35">
      <c r="A15" s="9" t="s">
        <v>368</v>
      </c>
      <c r="B15" s="9" t="s">
        <v>1448</v>
      </c>
      <c r="C15" s="10">
        <v>2500</v>
      </c>
      <c r="D15" s="10">
        <v>2500</v>
      </c>
      <c r="E15" s="9" t="s">
        <v>92</v>
      </c>
      <c r="F15" s="9" t="s">
        <v>111</v>
      </c>
      <c r="G15" s="9"/>
      <c r="H15" s="9"/>
      <c r="I15" s="9"/>
      <c r="J15" s="9" t="s">
        <v>1449</v>
      </c>
      <c r="K15" s="10">
        <v>2500</v>
      </c>
      <c r="L15" s="9" t="s">
        <v>369</v>
      </c>
      <c r="M15" s="9"/>
      <c r="N15" s="87" t="s">
        <v>370</v>
      </c>
      <c r="P15" s="39" t="s">
        <v>68</v>
      </c>
      <c r="Q15" s="10"/>
      <c r="S15" s="48" t="s">
        <v>368</v>
      </c>
      <c r="T15" s="48" t="s">
        <v>1450</v>
      </c>
      <c r="U15" s="55">
        <v>2500</v>
      </c>
      <c r="V15" s="48" t="s">
        <v>92</v>
      </c>
    </row>
    <row r="16" spans="1:22" x14ac:dyDescent="0.35">
      <c r="A16" s="9"/>
      <c r="B16" s="9" t="s">
        <v>1451</v>
      </c>
      <c r="C16" s="10">
        <v>2500</v>
      </c>
      <c r="D16" s="10"/>
      <c r="E16" s="9"/>
      <c r="F16" s="9"/>
      <c r="G16" s="9"/>
      <c r="H16" s="9"/>
      <c r="I16" s="9"/>
      <c r="J16" s="9"/>
      <c r="K16" s="10"/>
      <c r="L16" s="9"/>
      <c r="M16" s="9"/>
      <c r="N16" s="9"/>
      <c r="P16" s="39" t="s">
        <v>76</v>
      </c>
      <c r="Q16" s="10">
        <v>3100</v>
      </c>
      <c r="S16" s="112" t="s">
        <v>1452</v>
      </c>
      <c r="T16" s="112" t="s">
        <v>1245</v>
      </c>
      <c r="U16" s="113">
        <v>0</v>
      </c>
      <c r="V16" s="112"/>
    </row>
    <row r="17" spans="1:22" ht="29" x14ac:dyDescent="0.35">
      <c r="A17" s="9" t="s">
        <v>841</v>
      </c>
      <c r="B17" s="9" t="s">
        <v>1453</v>
      </c>
      <c r="C17" s="10">
        <v>2500</v>
      </c>
      <c r="D17" s="10">
        <v>2000</v>
      </c>
      <c r="E17" s="9" t="s">
        <v>86</v>
      </c>
      <c r="F17" s="9" t="s">
        <v>121</v>
      </c>
      <c r="G17" s="9" t="s">
        <v>843</v>
      </c>
      <c r="H17" s="9"/>
      <c r="I17" s="9"/>
      <c r="J17" s="9" t="s">
        <v>557</v>
      </c>
      <c r="K17" s="10">
        <v>2000</v>
      </c>
      <c r="L17" s="9" t="s">
        <v>844</v>
      </c>
      <c r="M17" s="9"/>
      <c r="N17" s="87" t="s">
        <v>845</v>
      </c>
      <c r="P17" s="39" t="s">
        <v>81</v>
      </c>
      <c r="Q17" s="10"/>
      <c r="S17" s="112" t="s">
        <v>1452</v>
      </c>
      <c r="T17" s="112" t="s">
        <v>1245</v>
      </c>
      <c r="U17" s="113">
        <v>0</v>
      </c>
      <c r="V17" s="112"/>
    </row>
    <row r="18" spans="1:22" x14ac:dyDescent="0.35">
      <c r="A18" s="9" t="s">
        <v>1454</v>
      </c>
      <c r="B18" s="9" t="s">
        <v>1455</v>
      </c>
      <c r="C18" s="10">
        <v>2500</v>
      </c>
      <c r="D18" s="10">
        <v>2500</v>
      </c>
      <c r="E18" s="9" t="s">
        <v>24</v>
      </c>
      <c r="F18" s="9" t="s">
        <v>375</v>
      </c>
      <c r="G18" s="9"/>
      <c r="H18" s="9"/>
      <c r="I18" s="9"/>
      <c r="J18" s="9" t="s">
        <v>644</v>
      </c>
      <c r="K18" s="10">
        <v>2500</v>
      </c>
      <c r="L18" s="9" t="s">
        <v>1456</v>
      </c>
      <c r="M18" s="9"/>
      <c r="N18" s="87" t="s">
        <v>1457</v>
      </c>
      <c r="P18" s="39" t="s">
        <v>86</v>
      </c>
      <c r="Q18" s="10">
        <v>2600</v>
      </c>
      <c r="S18" s="48" t="s">
        <v>175</v>
      </c>
      <c r="T18" s="48" t="s">
        <v>1458</v>
      </c>
      <c r="U18" s="55">
        <v>2450</v>
      </c>
      <c r="V18" s="48" t="s">
        <v>95</v>
      </c>
    </row>
    <row r="19" spans="1:22" ht="29" x14ac:dyDescent="0.35">
      <c r="A19" s="9" t="s">
        <v>40</v>
      </c>
      <c r="B19" s="9" t="s">
        <v>1459</v>
      </c>
      <c r="C19" s="10">
        <v>2500</v>
      </c>
      <c r="D19" s="10">
        <v>2500</v>
      </c>
      <c r="E19" s="9" t="s">
        <v>24</v>
      </c>
      <c r="F19" s="9" t="s">
        <v>42</v>
      </c>
      <c r="G19" s="9" t="s">
        <v>1254</v>
      </c>
      <c r="H19" s="94" t="s">
        <v>27</v>
      </c>
      <c r="I19" s="9"/>
      <c r="J19" s="9" t="s">
        <v>1460</v>
      </c>
      <c r="K19" s="10">
        <f>447.5+2052.5</f>
        <v>2500</v>
      </c>
      <c r="L19" s="9" t="s">
        <v>45</v>
      </c>
      <c r="M19" s="9"/>
      <c r="N19" s="9" t="s">
        <v>46</v>
      </c>
      <c r="P19" s="39" t="s">
        <v>90</v>
      </c>
      <c r="Q19" s="10"/>
      <c r="S19" s="48" t="s">
        <v>48</v>
      </c>
      <c r="T19" s="48" t="s">
        <v>1245</v>
      </c>
      <c r="U19" s="55">
        <v>1200</v>
      </c>
      <c r="V19" s="48" t="s">
        <v>24</v>
      </c>
    </row>
    <row r="20" spans="1:22" x14ac:dyDescent="0.35">
      <c r="A20" s="9"/>
      <c r="B20" s="9"/>
      <c r="C20" s="10"/>
      <c r="D20" s="10"/>
      <c r="K20" s="21"/>
      <c r="P20" s="39" t="s">
        <v>91</v>
      </c>
      <c r="Q20" s="10"/>
      <c r="S20" s="48" t="s">
        <v>1442</v>
      </c>
      <c r="T20" s="48" t="s">
        <v>1461</v>
      </c>
      <c r="U20" s="55">
        <v>2500</v>
      </c>
      <c r="V20" s="48" t="s">
        <v>95</v>
      </c>
    </row>
    <row r="21" spans="1:22" ht="29" x14ac:dyDescent="0.35">
      <c r="A21" s="9" t="s">
        <v>1462</v>
      </c>
      <c r="B21" s="9" t="s">
        <v>1463</v>
      </c>
      <c r="C21" s="10">
        <v>2500</v>
      </c>
      <c r="D21" s="10">
        <v>2500</v>
      </c>
      <c r="E21" s="9" t="s">
        <v>76</v>
      </c>
      <c r="F21" s="9" t="s">
        <v>650</v>
      </c>
      <c r="G21" s="9" t="s">
        <v>1464</v>
      </c>
      <c r="H21" s="9"/>
      <c r="I21" s="9"/>
      <c r="J21" s="9" t="s">
        <v>158</v>
      </c>
      <c r="K21" s="10">
        <v>2500</v>
      </c>
      <c r="L21" s="9" t="s">
        <v>1465</v>
      </c>
      <c r="M21" s="9"/>
      <c r="N21" s="87" t="s">
        <v>1466</v>
      </c>
      <c r="P21" s="39" t="s">
        <v>92</v>
      </c>
      <c r="Q21" s="10">
        <v>2500</v>
      </c>
      <c r="S21" s="112" t="s">
        <v>220</v>
      </c>
      <c r="T21" s="112" t="s">
        <v>1467</v>
      </c>
      <c r="U21" s="113">
        <v>2500</v>
      </c>
      <c r="V21" s="112" t="s">
        <v>37</v>
      </c>
    </row>
    <row r="22" spans="1:22" x14ac:dyDescent="0.35">
      <c r="A22" s="9" t="s">
        <v>1433</v>
      </c>
      <c r="B22" s="9" t="s">
        <v>1468</v>
      </c>
      <c r="C22" s="10">
        <v>2500</v>
      </c>
      <c r="D22" s="10">
        <v>1500</v>
      </c>
      <c r="E22" s="9" t="s">
        <v>24</v>
      </c>
      <c r="F22" s="9" t="s">
        <v>287</v>
      </c>
      <c r="G22" s="9"/>
      <c r="H22" s="9"/>
      <c r="I22" s="195">
        <v>45749</v>
      </c>
      <c r="J22" s="9" t="s">
        <v>446</v>
      </c>
      <c r="K22" s="18">
        <v>1500</v>
      </c>
      <c r="L22" s="9" t="s">
        <v>1469</v>
      </c>
      <c r="M22" s="9"/>
      <c r="N22" s="9" t="s">
        <v>1470</v>
      </c>
      <c r="P22" s="39" t="s">
        <v>93</v>
      </c>
      <c r="Q22" s="10"/>
      <c r="S22" s="48" t="s">
        <v>1471</v>
      </c>
      <c r="T22" s="48" t="s">
        <v>1472</v>
      </c>
      <c r="U22" s="55">
        <v>2500</v>
      </c>
      <c r="V22" s="48" t="s">
        <v>24</v>
      </c>
    </row>
    <row r="23" spans="1:22" x14ac:dyDescent="0.35">
      <c r="A23" s="9" t="s">
        <v>48</v>
      </c>
      <c r="B23" s="9" t="s">
        <v>1245</v>
      </c>
      <c r="C23" s="10">
        <v>600</v>
      </c>
      <c r="D23" s="10">
        <v>1200</v>
      </c>
      <c r="E23" s="9" t="s">
        <v>24</v>
      </c>
      <c r="F23" s="9" t="s">
        <v>1473</v>
      </c>
      <c r="G23" s="9"/>
      <c r="H23" s="9"/>
      <c r="I23" s="9"/>
      <c r="J23" s="9" t="s">
        <v>649</v>
      </c>
      <c r="K23" s="18">
        <v>1200</v>
      </c>
      <c r="L23" s="9" t="s">
        <v>66</v>
      </c>
      <c r="M23" s="9"/>
      <c r="N23" s="9" t="s">
        <v>67</v>
      </c>
      <c r="P23" s="39" t="s">
        <v>94</v>
      </c>
      <c r="Q23" s="10"/>
      <c r="S23" s="112" t="s">
        <v>1474</v>
      </c>
      <c r="T23" s="112" t="s">
        <v>1245</v>
      </c>
      <c r="U23" s="113">
        <v>600</v>
      </c>
      <c r="V23" s="112"/>
    </row>
    <row r="24" spans="1:22" x14ac:dyDescent="0.35">
      <c r="A24" s="9" t="s">
        <v>141</v>
      </c>
      <c r="B24" s="9" t="s">
        <v>1245</v>
      </c>
      <c r="C24" s="10">
        <v>600</v>
      </c>
      <c r="D24" s="10">
        <v>600</v>
      </c>
      <c r="E24" s="9" t="s">
        <v>86</v>
      </c>
      <c r="F24" s="9" t="s">
        <v>142</v>
      </c>
      <c r="G24" s="9"/>
      <c r="H24" s="9"/>
      <c r="I24" s="9"/>
      <c r="J24" s="195">
        <v>45831</v>
      </c>
      <c r="K24" s="18">
        <v>600</v>
      </c>
      <c r="L24" s="9" t="s">
        <v>144</v>
      </c>
      <c r="M24" s="9"/>
      <c r="N24" s="9"/>
      <c r="P24" s="39" t="s">
        <v>95</v>
      </c>
      <c r="Q24" s="10">
        <v>5000</v>
      </c>
      <c r="S24" s="9" t="s">
        <v>1475</v>
      </c>
      <c r="T24" s="9" t="s">
        <v>275</v>
      </c>
      <c r="U24" s="10">
        <v>150</v>
      </c>
      <c r="V24" s="9"/>
    </row>
    <row r="25" spans="1:22" x14ac:dyDescent="0.35">
      <c r="A25" s="9" t="s">
        <v>1476</v>
      </c>
      <c r="B25" s="9" t="s">
        <v>1245</v>
      </c>
      <c r="C25" s="10">
        <v>600</v>
      </c>
      <c r="D25" s="10">
        <v>600</v>
      </c>
      <c r="E25" s="9" t="s">
        <v>76</v>
      </c>
      <c r="F25" s="9" t="s">
        <v>678</v>
      </c>
      <c r="G25" s="9"/>
      <c r="H25" s="9"/>
      <c r="I25" s="9"/>
      <c r="J25" s="9" t="s">
        <v>1477</v>
      </c>
      <c r="K25" s="18">
        <v>600</v>
      </c>
      <c r="L25" s="9" t="s">
        <v>1478</v>
      </c>
      <c r="M25" s="9"/>
      <c r="N25" s="81" t="s">
        <v>1479</v>
      </c>
      <c r="P25" s="39" t="s">
        <v>96</v>
      </c>
      <c r="Q25" s="10">
        <v>15000</v>
      </c>
      <c r="S25" s="112" t="s">
        <v>836</v>
      </c>
      <c r="T25" s="112" t="s">
        <v>1480</v>
      </c>
      <c r="U25" s="113">
        <v>2500</v>
      </c>
      <c r="V25" s="112" t="s">
        <v>93</v>
      </c>
    </row>
    <row r="26" spans="1:22" x14ac:dyDescent="0.35">
      <c r="A26" s="9"/>
      <c r="B26" s="9" t="s">
        <v>1245</v>
      </c>
      <c r="C26" s="10">
        <v>600</v>
      </c>
      <c r="D26" s="10"/>
      <c r="E26" s="9"/>
      <c r="F26" s="9"/>
      <c r="G26" s="9"/>
      <c r="H26" s="9"/>
      <c r="I26" s="9"/>
      <c r="J26" s="9"/>
      <c r="K26" s="18"/>
      <c r="L26" s="9"/>
      <c r="M26" s="9"/>
      <c r="N26" s="9"/>
      <c r="P26" s="39" t="s">
        <v>97</v>
      </c>
      <c r="Q26" s="10"/>
      <c r="S26" s="48" t="s">
        <v>841</v>
      </c>
      <c r="T26" s="48" t="s">
        <v>1481</v>
      </c>
      <c r="U26" s="55">
        <v>2000</v>
      </c>
      <c r="V26" s="48" t="s">
        <v>90</v>
      </c>
    </row>
    <row r="27" spans="1:22" x14ac:dyDescent="0.35">
      <c r="A27" s="9"/>
      <c r="B27" s="9" t="s">
        <v>1245</v>
      </c>
      <c r="C27" s="10">
        <v>600</v>
      </c>
      <c r="D27" s="10"/>
      <c r="E27" s="9"/>
      <c r="F27" s="9"/>
      <c r="G27" s="9"/>
      <c r="H27" s="9"/>
      <c r="I27" s="9"/>
      <c r="J27" s="9"/>
      <c r="K27" s="18"/>
      <c r="L27" s="9"/>
      <c r="M27" s="9"/>
      <c r="N27" s="9"/>
      <c r="P27" s="39" t="s">
        <v>98</v>
      </c>
      <c r="Q27" s="10"/>
      <c r="S27" s="112" t="s">
        <v>1482</v>
      </c>
      <c r="T27" s="112" t="s">
        <v>275</v>
      </c>
      <c r="U27" s="113">
        <v>375</v>
      </c>
      <c r="V27" s="112"/>
    </row>
    <row r="28" spans="1:22" x14ac:dyDescent="0.35">
      <c r="A28" s="9"/>
      <c r="B28" s="9" t="s">
        <v>1245</v>
      </c>
      <c r="C28" s="10">
        <v>600</v>
      </c>
      <c r="D28" s="10"/>
      <c r="E28" s="9"/>
      <c r="F28" s="9"/>
      <c r="G28" s="9"/>
      <c r="H28" s="9"/>
      <c r="I28" s="9"/>
      <c r="J28" s="9"/>
      <c r="K28" s="18"/>
      <c r="L28" s="9"/>
      <c r="M28" s="9"/>
      <c r="N28" s="9"/>
      <c r="P28" s="45" t="s">
        <v>99</v>
      </c>
      <c r="Q28" s="46">
        <v>43900</v>
      </c>
      <c r="S28" s="112" t="s">
        <v>778</v>
      </c>
      <c r="T28" s="112" t="s">
        <v>1245</v>
      </c>
      <c r="U28" s="113">
        <v>600</v>
      </c>
      <c r="V28" s="112" t="s">
        <v>93</v>
      </c>
    </row>
    <row r="29" spans="1:22" x14ac:dyDescent="0.35">
      <c r="A29" s="9"/>
      <c r="B29" s="9" t="s">
        <v>1245</v>
      </c>
      <c r="C29" s="10">
        <v>600</v>
      </c>
      <c r="D29" s="10"/>
      <c r="E29" s="9"/>
      <c r="F29" s="9"/>
      <c r="G29" s="9"/>
      <c r="H29" s="9"/>
      <c r="I29" s="9"/>
      <c r="J29" s="9"/>
      <c r="K29" s="18"/>
      <c r="L29" s="9"/>
      <c r="M29" s="9"/>
      <c r="N29" s="9"/>
      <c r="S29" s="112" t="s">
        <v>1320</v>
      </c>
      <c r="T29" s="112" t="s">
        <v>275</v>
      </c>
      <c r="U29" s="113">
        <v>150</v>
      </c>
      <c r="V29" s="113"/>
    </row>
    <row r="30" spans="1:22" x14ac:dyDescent="0.35">
      <c r="A30" s="9"/>
      <c r="B30" s="9" t="s">
        <v>1245</v>
      </c>
      <c r="C30" s="10">
        <v>600</v>
      </c>
      <c r="D30" s="10"/>
      <c r="E30" s="9"/>
      <c r="F30" s="9"/>
      <c r="G30" s="9"/>
      <c r="H30" s="9"/>
      <c r="I30" s="9"/>
      <c r="J30" s="9"/>
      <c r="K30" s="18"/>
      <c r="L30" s="9"/>
      <c r="M30" s="9"/>
      <c r="N30" s="9"/>
      <c r="S30" s="48" t="s">
        <v>40</v>
      </c>
      <c r="T30" s="48" t="s">
        <v>1461</v>
      </c>
      <c r="U30" s="55">
        <v>2500</v>
      </c>
      <c r="V30" s="48" t="s">
        <v>24</v>
      </c>
    </row>
    <row r="31" spans="1:22" x14ac:dyDescent="0.35">
      <c r="A31" s="9"/>
      <c r="B31" s="9" t="s">
        <v>1245</v>
      </c>
      <c r="C31" s="10">
        <v>600</v>
      </c>
      <c r="D31" s="10"/>
      <c r="E31" s="9"/>
      <c r="F31" s="9"/>
      <c r="G31" s="9"/>
      <c r="H31" s="9"/>
      <c r="I31" s="9"/>
      <c r="J31" s="9"/>
      <c r="K31" s="18"/>
      <c r="L31" s="9"/>
      <c r="M31" s="9"/>
      <c r="N31" s="9"/>
      <c r="S31" s="48" t="s">
        <v>117</v>
      </c>
      <c r="T31" s="48" t="s">
        <v>1483</v>
      </c>
      <c r="U31" s="55">
        <v>2500</v>
      </c>
      <c r="V31" s="48" t="s">
        <v>95</v>
      </c>
    </row>
    <row r="32" spans="1:22" x14ac:dyDescent="0.35">
      <c r="C32" s="21"/>
      <c r="D32" s="21"/>
    </row>
    <row r="33" spans="3:11" x14ac:dyDescent="0.35">
      <c r="C33" s="21"/>
      <c r="D33" s="21"/>
      <c r="K33" s="29">
        <f>SUM(K9:K32)</f>
        <v>43900</v>
      </c>
    </row>
    <row r="34" spans="3:11" x14ac:dyDescent="0.35">
      <c r="C34" s="21"/>
      <c r="D34" s="21"/>
    </row>
    <row r="35" spans="3:11" x14ac:dyDescent="0.35">
      <c r="C35" s="21"/>
      <c r="D35" s="21"/>
    </row>
    <row r="36" spans="3:11" x14ac:dyDescent="0.35">
      <c r="C36" s="21"/>
      <c r="D36" s="21"/>
    </row>
    <row r="37" spans="3:11" x14ac:dyDescent="0.35">
      <c r="C37" s="21"/>
      <c r="D37" s="21"/>
    </row>
    <row r="38" spans="3:11" x14ac:dyDescent="0.35">
      <c r="C38" s="21"/>
      <c r="D38" s="21"/>
    </row>
    <row r="39" spans="3:11" x14ac:dyDescent="0.35">
      <c r="C39" s="21"/>
      <c r="D39" s="21"/>
    </row>
    <row r="40" spans="3:11" x14ac:dyDescent="0.35">
      <c r="C40" s="21"/>
      <c r="D40" s="21"/>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V31">
    <sortCondition ref="S9:S31"/>
  </sortState>
  <hyperlinks>
    <hyperlink ref="N14" r:id="rId2" display="amyw@uca.edu; " xr:uid="{FB33BA2E-2F46-4338-9A53-B2F29294A522}"/>
    <hyperlink ref="N15" r:id="rId3" display="mailto:CarrollJo.Malloy@CARTI.com" xr:uid="{65D9A6B1-101D-48ED-82A3-049CC3F6E611}"/>
    <hyperlink ref="N9" r:id="rId4" display="mailto:HoppisM@cintas.com" xr:uid="{81935D48-370B-47C1-A270-1A800C9FEB26}"/>
    <hyperlink ref="N10" r:id="rId5" xr:uid="{3767B2D7-F53A-4C70-B5BB-A05D6D28CD1D}"/>
    <hyperlink ref="N18" r:id="rId6" display="mailto:dhawsey@deltadentalar.com" xr:uid="{FC1D0E8F-5385-4F4E-B44D-02A8D1F2C330}"/>
    <hyperlink ref="N17" r:id="rId7" display="mailto:David@littlerockconwaysign.com" xr:uid="{EBCB4E01-FECF-4837-917A-324AAFB57C22}"/>
    <hyperlink ref="N12" r:id="rId8" display="mailto:tkane@stephens.com" xr:uid="{2FD11E3F-76A5-4B15-B4E7-32FD2E669570}"/>
    <hyperlink ref="N21" r:id="rId9" display="mailto:nedra.allen-jones@littlecreekbehavioral.com" xr:uid="{160BBF80-1DDA-4A51-9229-F2336DD3465E}"/>
    <hyperlink ref="N13" r:id="rId10" xr:uid="{1623D2F2-F839-42D1-839C-8C98FA2ED877}"/>
    <hyperlink ref="N25" r:id="rId11" display="mailto:bherrin@abbysl.com" xr:uid="{2DA564A6-21A4-4E8A-9FF8-0609FE19FB6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4D3F7-5222-4402-BB3C-C13DD8EFA010}">
  <dimension ref="A1:AB315"/>
  <sheetViews>
    <sheetView workbookViewId="0">
      <pane ySplit="8" topLeftCell="A44" activePane="bottomLeft" state="frozen"/>
      <selection pane="bottomLeft" activeCell="K52" sqref="K52"/>
    </sheetView>
  </sheetViews>
  <sheetFormatPr defaultColWidth="35.1796875" defaultRowHeight="14.5" x14ac:dyDescent="0.35"/>
  <cols>
    <col min="1" max="1" width="39.81640625" style="5" bestFit="1" customWidth="1"/>
    <col min="2" max="2" width="14.26953125" style="5" customWidth="1"/>
    <col min="3" max="3" width="9.1796875" style="5" bestFit="1" customWidth="1"/>
    <col min="4" max="4" width="15.81640625" style="5" bestFit="1" customWidth="1"/>
    <col min="5" max="5" width="8.7265625" style="5" bestFit="1" customWidth="1"/>
    <col min="6" max="6" width="11.1796875" style="5" bestFit="1" customWidth="1"/>
    <col min="7" max="7" width="36" style="5" customWidth="1"/>
    <col min="8" max="8" width="16.26953125" style="5" bestFit="1" customWidth="1"/>
    <col min="9" max="9" width="10.1796875" bestFit="1" customWidth="1"/>
    <col min="10" max="10" width="10.453125" style="5" bestFit="1" customWidth="1"/>
    <col min="11" max="11" width="14.453125" style="5" bestFit="1" customWidth="1"/>
    <col min="12" max="12" width="9.81640625" style="5" bestFit="1" customWidth="1"/>
    <col min="13" max="13" width="7.54296875" style="5" bestFit="1" customWidth="1"/>
    <col min="14" max="14" width="6.453125" style="5" bestFit="1" customWidth="1"/>
    <col min="15" max="15" width="0" style="5" hidden="1" customWidth="1"/>
    <col min="16" max="16" width="17" style="5" customWidth="1"/>
    <col min="17" max="17" width="11" style="5" bestFit="1" customWidth="1"/>
    <col min="18" max="18" width="10.1796875" style="5" bestFit="1" customWidth="1"/>
    <col min="19" max="19" width="29.54296875" style="5" hidden="1" customWidth="1"/>
    <col min="20" max="20" width="29.54296875" style="5" customWidth="1"/>
    <col min="21" max="21" width="30.453125" style="5" bestFit="1" customWidth="1"/>
    <col min="22" max="22" width="10.1796875" style="5" bestFit="1" customWidth="1"/>
    <col min="23" max="23" width="9.1796875" style="5" bestFit="1" customWidth="1"/>
    <col min="24" max="24" width="15.81640625" style="5" bestFit="1" customWidth="1"/>
    <col min="25" max="25" width="8.7265625" style="5" bestFit="1" customWidth="1"/>
    <col min="26" max="16384" width="35.1796875" style="5"/>
  </cols>
  <sheetData>
    <row r="1" spans="1:28" x14ac:dyDescent="0.35">
      <c r="A1" s="4" t="s">
        <v>1484</v>
      </c>
      <c r="B1" s="4">
        <v>2025</v>
      </c>
      <c r="U1" s="4" t="s">
        <v>1485</v>
      </c>
      <c r="V1" s="4">
        <v>2024</v>
      </c>
    </row>
    <row r="2" spans="1:28" ht="58" x14ac:dyDescent="0.35">
      <c r="A2" s="6" t="s">
        <v>1</v>
      </c>
      <c r="B2" s="7">
        <f>SUM(D9:D66)</f>
        <v>85865</v>
      </c>
      <c r="G2" s="47" t="s">
        <v>1486</v>
      </c>
      <c r="K2" s="11" t="s">
        <v>2</v>
      </c>
      <c r="U2" s="6" t="s">
        <v>1</v>
      </c>
      <c r="V2" s="7">
        <f>SUM(X9:X59)</f>
        <v>91647.5</v>
      </c>
    </row>
    <row r="3" spans="1:28" x14ac:dyDescent="0.35">
      <c r="A3" s="6" t="s">
        <v>3</v>
      </c>
      <c r="B3" s="7">
        <v>92750</v>
      </c>
      <c r="K3" s="7">
        <f>SUM(K69-B2)</f>
        <v>-1795</v>
      </c>
      <c r="U3" s="6" t="s">
        <v>3</v>
      </c>
      <c r="V3" s="7">
        <v>80775</v>
      </c>
    </row>
    <row r="4" spans="1:28" x14ac:dyDescent="0.35">
      <c r="A4" s="6" t="s">
        <v>4</v>
      </c>
      <c r="B4" s="7">
        <f>MIN(B2-B3)</f>
        <v>-6885</v>
      </c>
      <c r="K4" s="42">
        <f>K69/B2</f>
        <v>0.97909509113142723</v>
      </c>
      <c r="U4" s="6" t="s">
        <v>4</v>
      </c>
      <c r="V4" s="7">
        <f>MIN(V2-V3)</f>
        <v>10872.5</v>
      </c>
    </row>
    <row r="5" spans="1:28" x14ac:dyDescent="0.35">
      <c r="A5" s="6" t="s">
        <v>5</v>
      </c>
      <c r="B5" s="7">
        <v>92750</v>
      </c>
      <c r="U5" s="6" t="s">
        <v>5</v>
      </c>
      <c r="V5" s="7">
        <v>80775</v>
      </c>
    </row>
    <row r="6" spans="1:28" x14ac:dyDescent="0.35">
      <c r="A6" s="6" t="s">
        <v>4</v>
      </c>
      <c r="B6" s="7">
        <f>MIN(B2-B5)</f>
        <v>-6885</v>
      </c>
      <c r="U6" s="6" t="s">
        <v>4</v>
      </c>
      <c r="V6" s="7">
        <f>MIN(V2-V5)</f>
        <v>10872.5</v>
      </c>
    </row>
    <row r="8" spans="1:28" x14ac:dyDescent="0.35">
      <c r="A8" s="12" t="s">
        <v>6</v>
      </c>
      <c r="B8" s="12" t="s">
        <v>1487</v>
      </c>
      <c r="C8" s="12" t="s">
        <v>8</v>
      </c>
      <c r="D8" s="12" t="s">
        <v>9</v>
      </c>
      <c r="E8" s="12" t="s">
        <v>10</v>
      </c>
      <c r="F8" s="12" t="s">
        <v>11</v>
      </c>
      <c r="G8" s="12" t="s">
        <v>12</v>
      </c>
      <c r="H8" s="11" t="s">
        <v>13</v>
      </c>
      <c r="I8" s="12" t="s">
        <v>14</v>
      </c>
      <c r="J8" s="12" t="s">
        <v>15</v>
      </c>
      <c r="K8" s="12" t="s">
        <v>16</v>
      </c>
      <c r="L8" s="12" t="s">
        <v>17</v>
      </c>
      <c r="M8" s="12" t="s">
        <v>18</v>
      </c>
      <c r="N8" s="12" t="s">
        <v>19</v>
      </c>
      <c r="Q8" s="44" t="s">
        <v>10</v>
      </c>
      <c r="R8" s="44" t="s">
        <v>20</v>
      </c>
      <c r="U8" s="8" t="s">
        <v>6</v>
      </c>
      <c r="V8" s="8" t="s">
        <v>1487</v>
      </c>
      <c r="W8" s="8" t="s">
        <v>8</v>
      </c>
      <c r="X8" s="8" t="s">
        <v>9</v>
      </c>
      <c r="Y8" s="133" t="s">
        <v>10</v>
      </c>
      <c r="Z8" s="134"/>
      <c r="AA8" s="134"/>
      <c r="AB8" s="134"/>
    </row>
    <row r="9" spans="1:28" x14ac:dyDescent="0.35">
      <c r="A9" s="34" t="s">
        <v>31</v>
      </c>
      <c r="B9" s="9" t="s">
        <v>1488</v>
      </c>
      <c r="C9" s="10">
        <v>1795</v>
      </c>
      <c r="D9" s="146">
        <v>1795</v>
      </c>
      <c r="E9" s="9" t="s">
        <v>1489</v>
      </c>
      <c r="F9" s="9"/>
      <c r="G9" s="9"/>
      <c r="H9" s="9"/>
      <c r="I9" s="34"/>
      <c r="J9" s="9" t="s">
        <v>270</v>
      </c>
      <c r="K9" s="10">
        <v>1795</v>
      </c>
      <c r="L9" s="9"/>
      <c r="M9" s="9"/>
      <c r="N9" s="87"/>
      <c r="Q9" s="39" t="s">
        <v>24</v>
      </c>
      <c r="R9" s="10"/>
      <c r="U9" s="48" t="s">
        <v>31</v>
      </c>
      <c r="V9" s="48" t="s">
        <v>1488</v>
      </c>
      <c r="W9" s="55">
        <v>1795</v>
      </c>
      <c r="X9" s="55">
        <v>3590</v>
      </c>
      <c r="Y9" s="48" t="s">
        <v>24</v>
      </c>
      <c r="Z9" s="135"/>
      <c r="AA9" s="135"/>
      <c r="AB9" s="135"/>
    </row>
    <row r="10" spans="1:28" x14ac:dyDescent="0.35">
      <c r="A10" s="34" t="s">
        <v>31</v>
      </c>
      <c r="B10" s="9" t="s">
        <v>1488</v>
      </c>
      <c r="C10" s="10">
        <v>1795</v>
      </c>
      <c r="D10" s="146">
        <v>1795</v>
      </c>
      <c r="E10" s="9" t="s">
        <v>1489</v>
      </c>
      <c r="F10" s="9"/>
      <c r="G10" s="9"/>
      <c r="H10" s="9"/>
      <c r="I10" s="34"/>
      <c r="J10" s="9"/>
      <c r="K10" s="10"/>
      <c r="L10" s="9"/>
      <c r="M10" s="9"/>
      <c r="N10" s="9"/>
      <c r="Q10" s="39" t="s">
        <v>1489</v>
      </c>
      <c r="R10" s="10">
        <v>41285</v>
      </c>
      <c r="U10" s="48" t="s">
        <v>108</v>
      </c>
      <c r="V10" s="48" t="s">
        <v>1488</v>
      </c>
      <c r="W10" s="55">
        <v>1795</v>
      </c>
      <c r="X10" s="55">
        <v>1795</v>
      </c>
      <c r="Y10" s="48" t="s">
        <v>96</v>
      </c>
      <c r="Z10" s="135"/>
      <c r="AA10" s="135"/>
      <c r="AB10" s="135"/>
    </row>
    <row r="11" spans="1:28" x14ac:dyDescent="0.35">
      <c r="A11" s="34" t="s">
        <v>108</v>
      </c>
      <c r="B11" s="9" t="s">
        <v>1488</v>
      </c>
      <c r="C11" s="10">
        <v>1795</v>
      </c>
      <c r="D11" s="146">
        <v>1795</v>
      </c>
      <c r="E11" s="9" t="s">
        <v>96</v>
      </c>
      <c r="F11" s="9"/>
      <c r="G11" s="9"/>
      <c r="H11" s="147"/>
      <c r="I11" s="34"/>
      <c r="J11" s="9"/>
      <c r="K11" s="10">
        <v>1795</v>
      </c>
      <c r="L11" s="9"/>
      <c r="M11" s="9"/>
      <c r="N11" s="9"/>
      <c r="Q11" s="39" t="s">
        <v>47</v>
      </c>
      <c r="R11" s="10"/>
      <c r="U11" s="48" t="s">
        <v>126</v>
      </c>
      <c r="V11" s="48" t="s">
        <v>1488</v>
      </c>
      <c r="W11" s="55">
        <v>1795</v>
      </c>
      <c r="X11" s="55">
        <v>1795</v>
      </c>
      <c r="Y11" s="48" t="s">
        <v>37</v>
      </c>
      <c r="Z11" s="135"/>
      <c r="AA11" s="135"/>
      <c r="AB11" s="135"/>
    </row>
    <row r="12" spans="1:28" x14ac:dyDescent="0.35">
      <c r="A12" s="34" t="s">
        <v>114</v>
      </c>
      <c r="B12" s="9" t="s">
        <v>1488</v>
      </c>
      <c r="C12" s="10">
        <v>1795</v>
      </c>
      <c r="D12" s="146">
        <v>1795</v>
      </c>
      <c r="E12" s="9" t="s">
        <v>96</v>
      </c>
      <c r="F12" s="9"/>
      <c r="G12" s="9"/>
      <c r="H12" s="9"/>
      <c r="I12" s="34"/>
      <c r="J12" s="195">
        <v>45891</v>
      </c>
      <c r="K12" s="10">
        <v>1795</v>
      </c>
      <c r="L12" s="9"/>
      <c r="M12" s="9"/>
      <c r="N12" s="9"/>
      <c r="Q12" s="39" t="s">
        <v>50</v>
      </c>
      <c r="R12" s="10"/>
      <c r="U12" s="48" t="s">
        <v>135</v>
      </c>
      <c r="V12" s="48" t="s">
        <v>1488</v>
      </c>
      <c r="W12" s="55">
        <v>1795</v>
      </c>
      <c r="X12" s="55">
        <v>1795</v>
      </c>
      <c r="Y12" s="48" t="s">
        <v>90</v>
      </c>
      <c r="Z12" s="135"/>
      <c r="AA12" s="135"/>
      <c r="AB12" s="135"/>
    </row>
    <row r="13" spans="1:28" x14ac:dyDescent="0.35">
      <c r="A13" s="34" t="s">
        <v>531</v>
      </c>
      <c r="B13" s="9" t="s">
        <v>1488</v>
      </c>
      <c r="C13" s="10">
        <v>1795</v>
      </c>
      <c r="D13" s="146">
        <v>1795</v>
      </c>
      <c r="E13" s="9" t="s">
        <v>96</v>
      </c>
      <c r="F13" s="9"/>
      <c r="G13" s="9"/>
      <c r="H13" s="9"/>
      <c r="I13" s="34"/>
      <c r="J13" s="9" t="s">
        <v>162</v>
      </c>
      <c r="K13" s="10">
        <v>1795</v>
      </c>
      <c r="L13" s="9"/>
      <c r="M13" s="9"/>
      <c r="N13" s="9"/>
      <c r="Q13" s="39" t="s">
        <v>56</v>
      </c>
      <c r="R13" s="10">
        <v>5385</v>
      </c>
      <c r="U13" s="112" t="s">
        <v>135</v>
      </c>
      <c r="V13" s="112" t="s">
        <v>1488</v>
      </c>
      <c r="W13" s="113">
        <v>1795</v>
      </c>
      <c r="X13" s="113">
        <v>0</v>
      </c>
      <c r="Y13" s="112" t="s">
        <v>86</v>
      </c>
      <c r="Z13" s="135"/>
      <c r="AA13" s="135"/>
      <c r="AB13" s="135"/>
    </row>
    <row r="14" spans="1:28" x14ac:dyDescent="0.35">
      <c r="A14" s="34" t="s">
        <v>1137</v>
      </c>
      <c r="B14" s="9" t="s">
        <v>1488</v>
      </c>
      <c r="C14" s="10">
        <v>1795</v>
      </c>
      <c r="D14" s="146">
        <v>1795</v>
      </c>
      <c r="E14" s="9" t="s">
        <v>1489</v>
      </c>
      <c r="F14" s="9"/>
      <c r="G14" s="9"/>
      <c r="H14" s="94" t="s">
        <v>27</v>
      </c>
      <c r="I14" s="34"/>
      <c r="J14" s="9" t="s">
        <v>407</v>
      </c>
      <c r="K14" s="10">
        <v>1795</v>
      </c>
      <c r="L14" s="9"/>
      <c r="M14" s="9"/>
      <c r="N14" s="9"/>
      <c r="Q14" s="39" t="s">
        <v>62</v>
      </c>
      <c r="R14" s="10"/>
      <c r="U14" s="9" t="s">
        <v>1490</v>
      </c>
      <c r="V14" s="9" t="s">
        <v>1488</v>
      </c>
      <c r="W14" s="10">
        <v>1795</v>
      </c>
      <c r="X14" s="10">
        <v>897.5</v>
      </c>
      <c r="Y14" s="9"/>
      <c r="Z14" s="135"/>
      <c r="AA14" s="135"/>
      <c r="AB14" s="135"/>
    </row>
    <row r="15" spans="1:28" x14ac:dyDescent="0.35">
      <c r="A15" s="34" t="s">
        <v>132</v>
      </c>
      <c r="B15" s="9" t="s">
        <v>1488</v>
      </c>
      <c r="C15" s="10">
        <v>1795</v>
      </c>
      <c r="D15" s="146">
        <v>1795</v>
      </c>
      <c r="E15" s="9"/>
      <c r="F15" s="9"/>
      <c r="G15" s="9"/>
      <c r="H15" s="9"/>
      <c r="I15" s="34"/>
      <c r="J15" s="9" t="s">
        <v>299</v>
      </c>
      <c r="K15" s="10">
        <v>1795</v>
      </c>
      <c r="L15" s="9"/>
      <c r="M15" s="9"/>
      <c r="N15" s="9"/>
      <c r="Q15" s="39" t="s">
        <v>68</v>
      </c>
      <c r="R15" s="10"/>
      <c r="U15" s="9" t="s">
        <v>1491</v>
      </c>
      <c r="V15" s="9" t="s">
        <v>1488</v>
      </c>
      <c r="W15" s="10">
        <v>1795</v>
      </c>
      <c r="X15" s="10">
        <v>1795</v>
      </c>
      <c r="Y15" s="9"/>
      <c r="Z15" s="135"/>
      <c r="AA15" s="135"/>
      <c r="AB15" s="135"/>
    </row>
    <row r="16" spans="1:28" x14ac:dyDescent="0.35">
      <c r="A16" s="34" t="s">
        <v>135</v>
      </c>
      <c r="B16" s="9" t="s">
        <v>1488</v>
      </c>
      <c r="C16" s="10">
        <v>1795</v>
      </c>
      <c r="D16" s="146">
        <v>1795</v>
      </c>
      <c r="E16" s="9" t="s">
        <v>90</v>
      </c>
      <c r="F16" s="9"/>
      <c r="G16" s="9"/>
      <c r="H16" s="9"/>
      <c r="I16" s="34"/>
      <c r="J16" s="9" t="s">
        <v>287</v>
      </c>
      <c r="K16" s="10">
        <v>1795</v>
      </c>
      <c r="L16" s="9"/>
      <c r="M16" s="9"/>
      <c r="N16" s="9"/>
      <c r="Q16" s="39" t="s">
        <v>76</v>
      </c>
      <c r="R16" s="10">
        <v>1795</v>
      </c>
      <c r="U16" s="9" t="s">
        <v>140</v>
      </c>
      <c r="V16" s="9" t="s">
        <v>1488</v>
      </c>
      <c r="W16" s="10">
        <v>1795</v>
      </c>
      <c r="X16" s="10">
        <v>1795</v>
      </c>
      <c r="Y16" s="9" t="s">
        <v>37</v>
      </c>
      <c r="Z16" s="135"/>
      <c r="AA16" s="135"/>
      <c r="AB16" s="135"/>
    </row>
    <row r="17" spans="1:28" x14ac:dyDescent="0.35">
      <c r="A17" s="34" t="s">
        <v>1311</v>
      </c>
      <c r="B17" s="9" t="s">
        <v>1488</v>
      </c>
      <c r="C17" s="10">
        <v>1795</v>
      </c>
      <c r="D17" s="146">
        <v>0</v>
      </c>
      <c r="E17" s="9"/>
      <c r="F17" s="9"/>
      <c r="G17" s="9"/>
      <c r="H17" s="9"/>
      <c r="I17" s="34"/>
      <c r="J17" s="9"/>
      <c r="K17" s="10">
        <v>0</v>
      </c>
      <c r="L17" s="9"/>
      <c r="M17" s="9"/>
      <c r="N17" s="9"/>
      <c r="Q17" s="39" t="s">
        <v>81</v>
      </c>
      <c r="R17" s="10"/>
      <c r="U17" s="112" t="s">
        <v>338</v>
      </c>
      <c r="V17" s="112" t="s">
        <v>1488</v>
      </c>
      <c r="W17" s="113">
        <v>1795</v>
      </c>
      <c r="X17" s="113">
        <v>1795</v>
      </c>
      <c r="Y17" s="112" t="s">
        <v>96</v>
      </c>
      <c r="Z17" s="135"/>
      <c r="AA17" s="135"/>
      <c r="AB17" s="135"/>
    </row>
    <row r="18" spans="1:28" x14ac:dyDescent="0.35">
      <c r="A18" s="34" t="s">
        <v>140</v>
      </c>
      <c r="B18" s="9" t="s">
        <v>1488</v>
      </c>
      <c r="C18" s="10">
        <v>1795</v>
      </c>
      <c r="D18" s="146">
        <v>1795</v>
      </c>
      <c r="E18" s="9" t="s">
        <v>37</v>
      </c>
      <c r="F18" s="9"/>
      <c r="G18" s="9"/>
      <c r="H18" s="9"/>
      <c r="I18" s="34"/>
      <c r="J18" s="9" t="s">
        <v>143</v>
      </c>
      <c r="K18" s="10">
        <v>1795</v>
      </c>
      <c r="L18" s="9"/>
      <c r="M18" s="9"/>
      <c r="N18" s="9"/>
      <c r="Q18" s="39" t="s">
        <v>86</v>
      </c>
      <c r="R18" s="10"/>
      <c r="U18" s="9" t="s">
        <v>157</v>
      </c>
      <c r="V18" s="9" t="s">
        <v>1488</v>
      </c>
      <c r="W18" s="10">
        <v>1795</v>
      </c>
      <c r="X18" s="10">
        <v>1795</v>
      </c>
      <c r="Y18" s="9" t="s">
        <v>93</v>
      </c>
      <c r="Z18" s="135"/>
      <c r="AA18" s="135"/>
      <c r="AB18" s="135"/>
    </row>
    <row r="19" spans="1:28" x14ac:dyDescent="0.35">
      <c r="A19" s="34" t="s">
        <v>170</v>
      </c>
      <c r="B19" s="9" t="s">
        <v>1488</v>
      </c>
      <c r="C19" s="10">
        <v>1795</v>
      </c>
      <c r="D19" s="146">
        <v>1795</v>
      </c>
      <c r="E19" s="9" t="s">
        <v>1489</v>
      </c>
      <c r="F19" s="9"/>
      <c r="G19" s="9"/>
      <c r="H19" s="9"/>
      <c r="I19" s="34"/>
      <c r="J19" s="195">
        <v>45960</v>
      </c>
      <c r="K19" s="10">
        <v>1795</v>
      </c>
      <c r="L19" s="9"/>
      <c r="M19" s="9"/>
      <c r="N19" s="9"/>
      <c r="Q19" s="39" t="s">
        <v>90</v>
      </c>
      <c r="R19" s="10">
        <v>5090</v>
      </c>
      <c r="U19" s="48" t="s">
        <v>170</v>
      </c>
      <c r="V19" s="48" t="s">
        <v>1488</v>
      </c>
      <c r="W19" s="55">
        <v>1795</v>
      </c>
      <c r="X19" s="55">
        <v>1795</v>
      </c>
      <c r="Y19" s="48" t="s">
        <v>37</v>
      </c>
      <c r="Z19" s="135"/>
      <c r="AA19" s="135"/>
      <c r="AB19" s="135"/>
    </row>
    <row r="20" spans="1:28" x14ac:dyDescent="0.35">
      <c r="A20" s="34" t="s">
        <v>181</v>
      </c>
      <c r="B20" s="9" t="s">
        <v>1488</v>
      </c>
      <c r="C20" s="10">
        <v>1795</v>
      </c>
      <c r="D20" s="146">
        <v>1795</v>
      </c>
      <c r="E20" s="9"/>
      <c r="F20" s="9"/>
      <c r="G20" s="9"/>
      <c r="H20" s="9"/>
      <c r="I20" s="34"/>
      <c r="J20" s="9" t="s">
        <v>522</v>
      </c>
      <c r="K20" s="10">
        <v>1795</v>
      </c>
      <c r="L20" s="9"/>
      <c r="M20" s="9"/>
      <c r="N20" s="9"/>
      <c r="Q20" s="39" t="s">
        <v>91</v>
      </c>
      <c r="R20" s="10"/>
      <c r="U20" s="48" t="s">
        <v>181</v>
      </c>
      <c r="V20" s="48" t="s">
        <v>1488</v>
      </c>
      <c r="W20" s="55">
        <v>1795</v>
      </c>
      <c r="X20" s="55">
        <v>1795</v>
      </c>
      <c r="Y20" s="48" t="s">
        <v>56</v>
      </c>
      <c r="Z20" s="135"/>
      <c r="AA20" s="135"/>
      <c r="AB20" s="135"/>
    </row>
    <row r="21" spans="1:28" x14ac:dyDescent="0.35">
      <c r="A21" s="34" t="s">
        <v>1492</v>
      </c>
      <c r="B21" s="9" t="s">
        <v>1488</v>
      </c>
      <c r="C21" s="10">
        <v>1795</v>
      </c>
      <c r="D21" s="146">
        <v>1795</v>
      </c>
      <c r="E21" s="9" t="s">
        <v>1489</v>
      </c>
      <c r="F21" s="9"/>
      <c r="G21" s="9"/>
      <c r="H21" s="94" t="s">
        <v>27</v>
      </c>
      <c r="I21" s="34"/>
      <c r="J21" s="9" t="s">
        <v>172</v>
      </c>
      <c r="K21" s="10">
        <v>1795</v>
      </c>
      <c r="L21" s="9"/>
      <c r="M21" s="9"/>
      <c r="N21" s="9"/>
      <c r="Q21" s="39" t="s">
        <v>92</v>
      </c>
      <c r="R21" s="10"/>
      <c r="U21" s="48" t="s">
        <v>1493</v>
      </c>
      <c r="V21" s="48" t="s">
        <v>1488</v>
      </c>
      <c r="W21" s="55">
        <v>1795</v>
      </c>
      <c r="X21" s="55">
        <v>4590</v>
      </c>
      <c r="Y21" s="48" t="s">
        <v>24</v>
      </c>
      <c r="Z21" s="135"/>
      <c r="AA21" s="135"/>
      <c r="AB21" s="135"/>
    </row>
    <row r="22" spans="1:28" x14ac:dyDescent="0.35">
      <c r="A22" s="34" t="s">
        <v>1492</v>
      </c>
      <c r="B22" s="9" t="s">
        <v>1488</v>
      </c>
      <c r="C22" s="10">
        <v>1795</v>
      </c>
      <c r="D22" s="146">
        <v>1795</v>
      </c>
      <c r="E22" s="9" t="s">
        <v>1489</v>
      </c>
      <c r="F22" s="9"/>
      <c r="G22" s="9"/>
      <c r="H22" s="94" t="s">
        <v>27</v>
      </c>
      <c r="I22" s="34"/>
      <c r="J22" s="9" t="s">
        <v>172</v>
      </c>
      <c r="K22" s="10">
        <v>1795</v>
      </c>
      <c r="L22" s="9"/>
      <c r="M22" s="9"/>
      <c r="N22" s="9"/>
      <c r="Q22" s="39" t="s">
        <v>93</v>
      </c>
      <c r="R22" s="10">
        <v>3590</v>
      </c>
      <c r="U22" s="48" t="s">
        <v>48</v>
      </c>
      <c r="V22" s="48" t="s">
        <v>1488</v>
      </c>
      <c r="W22" s="55">
        <v>1795</v>
      </c>
      <c r="X22" s="55">
        <v>1795</v>
      </c>
      <c r="Y22" s="48" t="s">
        <v>37</v>
      </c>
      <c r="Z22" s="135"/>
      <c r="AA22" s="135"/>
      <c r="AB22" s="135"/>
    </row>
    <row r="23" spans="1:28" x14ac:dyDescent="0.35">
      <c r="A23" s="34" t="s">
        <v>48</v>
      </c>
      <c r="B23" s="9" t="s">
        <v>1488</v>
      </c>
      <c r="C23" s="10">
        <v>1795</v>
      </c>
      <c r="D23" s="146">
        <v>1795</v>
      </c>
      <c r="E23" s="9" t="s">
        <v>1489</v>
      </c>
      <c r="F23" s="9"/>
      <c r="G23" s="9"/>
      <c r="H23" s="9"/>
      <c r="I23" s="34"/>
      <c r="J23" s="9" t="s">
        <v>65</v>
      </c>
      <c r="K23" s="10">
        <v>1795</v>
      </c>
      <c r="L23" s="9"/>
      <c r="M23" s="9"/>
      <c r="N23" s="9"/>
      <c r="Q23" s="39" t="s">
        <v>94</v>
      </c>
      <c r="R23" s="10"/>
      <c r="U23" s="48" t="s">
        <v>1494</v>
      </c>
      <c r="V23" s="48" t="s">
        <v>1488</v>
      </c>
      <c r="W23" s="55">
        <v>1795</v>
      </c>
      <c r="X23" s="55">
        <v>3590</v>
      </c>
      <c r="Y23" s="48" t="s">
        <v>56</v>
      </c>
      <c r="Z23" s="135"/>
      <c r="AA23" s="135"/>
      <c r="AB23" s="135"/>
    </row>
    <row r="24" spans="1:28" x14ac:dyDescent="0.35">
      <c r="A24" s="34" t="s">
        <v>48</v>
      </c>
      <c r="B24" s="9" t="s">
        <v>1488</v>
      </c>
      <c r="C24" s="10">
        <v>1795</v>
      </c>
      <c r="D24" s="146">
        <v>1795</v>
      </c>
      <c r="E24" s="9" t="s">
        <v>1489</v>
      </c>
      <c r="F24" s="9"/>
      <c r="G24" s="9"/>
      <c r="H24" s="9"/>
      <c r="I24" s="34"/>
      <c r="J24" s="9" t="s">
        <v>65</v>
      </c>
      <c r="K24" s="10">
        <v>1795</v>
      </c>
      <c r="L24" s="9"/>
      <c r="M24" s="9"/>
      <c r="N24" s="9"/>
      <c r="Q24" s="39" t="s">
        <v>95</v>
      </c>
      <c r="R24" s="10"/>
      <c r="U24" s="48" t="s">
        <v>51</v>
      </c>
      <c r="V24" s="48" t="s">
        <v>1488</v>
      </c>
      <c r="W24" s="55">
        <v>1795</v>
      </c>
      <c r="X24" s="55">
        <v>1795</v>
      </c>
      <c r="Y24" s="48" t="s">
        <v>24</v>
      </c>
      <c r="Z24" s="135"/>
      <c r="AA24" s="135"/>
      <c r="AB24" s="135"/>
    </row>
    <row r="25" spans="1:28" x14ac:dyDescent="0.35">
      <c r="A25" s="34" t="s">
        <v>48</v>
      </c>
      <c r="B25" s="9" t="s">
        <v>1488</v>
      </c>
      <c r="C25" s="10">
        <v>1795</v>
      </c>
      <c r="D25" s="146">
        <v>1795</v>
      </c>
      <c r="E25" s="9" t="s">
        <v>1489</v>
      </c>
      <c r="F25" s="9"/>
      <c r="G25" s="9"/>
      <c r="H25" s="9"/>
      <c r="I25" s="34"/>
      <c r="J25" s="9" t="s">
        <v>65</v>
      </c>
      <c r="K25" s="10">
        <v>1795</v>
      </c>
      <c r="L25" s="9"/>
      <c r="M25" s="9"/>
      <c r="N25" s="9"/>
      <c r="Q25" s="39" t="s">
        <v>96</v>
      </c>
      <c r="R25" s="10">
        <v>16155</v>
      </c>
      <c r="U25" s="9" t="s">
        <v>276</v>
      </c>
      <c r="V25" s="9" t="s">
        <v>1488</v>
      </c>
      <c r="W25" s="10">
        <v>1795</v>
      </c>
      <c r="X25" s="10">
        <v>1795</v>
      </c>
      <c r="Y25" s="9" t="s">
        <v>76</v>
      </c>
      <c r="Z25" s="135"/>
      <c r="AA25" s="135"/>
      <c r="AB25" s="135"/>
    </row>
    <row r="26" spans="1:28" x14ac:dyDescent="0.35">
      <c r="A26" s="34" t="s">
        <v>51</v>
      </c>
      <c r="B26" s="9" t="s">
        <v>1488</v>
      </c>
      <c r="C26" s="10">
        <v>1795</v>
      </c>
      <c r="D26" s="146">
        <v>1795</v>
      </c>
      <c r="E26" s="9" t="s">
        <v>1489</v>
      </c>
      <c r="F26" s="9"/>
      <c r="G26" s="9"/>
      <c r="H26" s="94" t="s">
        <v>27</v>
      </c>
      <c r="I26" s="34"/>
      <c r="J26" s="195">
        <v>45887</v>
      </c>
      <c r="K26" s="10">
        <v>1795</v>
      </c>
      <c r="L26" s="9"/>
      <c r="M26" s="9"/>
      <c r="N26" s="9"/>
      <c r="Q26" s="39" t="s">
        <v>97</v>
      </c>
      <c r="R26" s="10"/>
      <c r="U26" s="48" t="s">
        <v>285</v>
      </c>
      <c r="V26" s="48" t="s">
        <v>1488</v>
      </c>
      <c r="W26" s="55">
        <v>1795</v>
      </c>
      <c r="X26" s="55">
        <v>0</v>
      </c>
      <c r="Y26" s="48"/>
      <c r="Z26" s="135"/>
      <c r="AA26" s="135"/>
      <c r="AB26" s="135"/>
    </row>
    <row r="27" spans="1:28" x14ac:dyDescent="0.35">
      <c r="A27" s="34" t="s">
        <v>1495</v>
      </c>
      <c r="B27" s="9" t="s">
        <v>1488</v>
      </c>
      <c r="C27" s="10">
        <v>1795</v>
      </c>
      <c r="D27" s="146">
        <v>1795</v>
      </c>
      <c r="E27" s="9"/>
      <c r="F27" s="9"/>
      <c r="G27" s="9"/>
      <c r="H27" s="9"/>
      <c r="I27" s="34"/>
      <c r="J27" s="9"/>
      <c r="K27" s="10">
        <v>1795</v>
      </c>
      <c r="L27" s="9"/>
      <c r="M27" s="9"/>
      <c r="N27" s="9"/>
      <c r="Q27" s="39" t="s">
        <v>98</v>
      </c>
      <c r="R27" s="10">
        <v>14360</v>
      </c>
      <c r="U27" s="48" t="s">
        <v>515</v>
      </c>
      <c r="V27" s="48" t="s">
        <v>1488</v>
      </c>
      <c r="W27" s="55">
        <v>1795</v>
      </c>
      <c r="X27" s="55">
        <v>1795</v>
      </c>
      <c r="Y27" s="48" t="s">
        <v>24</v>
      </c>
      <c r="Z27" s="135"/>
      <c r="AA27" s="135"/>
      <c r="AB27" s="135"/>
    </row>
    <row r="28" spans="1:28" x14ac:dyDescent="0.35">
      <c r="A28" s="34"/>
      <c r="B28" s="9" t="s">
        <v>1488</v>
      </c>
      <c r="C28" s="10">
        <v>1795</v>
      </c>
      <c r="D28" s="146"/>
      <c r="E28" s="9"/>
      <c r="F28" s="9"/>
      <c r="G28" s="9"/>
      <c r="H28" s="9"/>
      <c r="I28" s="34"/>
      <c r="J28" s="9"/>
      <c r="K28" s="10"/>
      <c r="L28" s="9"/>
      <c r="M28" s="9"/>
      <c r="N28" s="9"/>
      <c r="Q28" s="45" t="s">
        <v>99</v>
      </c>
      <c r="R28" s="46">
        <v>87660</v>
      </c>
      <c r="U28" s="48" t="s">
        <v>57</v>
      </c>
      <c r="V28" s="48" t="s">
        <v>1488</v>
      </c>
      <c r="W28" s="55">
        <v>1795</v>
      </c>
      <c r="X28" s="55">
        <v>1795</v>
      </c>
      <c r="Y28" s="48" t="s">
        <v>37</v>
      </c>
      <c r="Z28" s="135"/>
      <c r="AA28" s="135"/>
      <c r="AB28" s="135"/>
    </row>
    <row r="29" spans="1:28" x14ac:dyDescent="0.35">
      <c r="A29" s="34" t="s">
        <v>130</v>
      </c>
      <c r="B29" s="9" t="s">
        <v>1488</v>
      </c>
      <c r="C29" s="10">
        <v>1795</v>
      </c>
      <c r="D29" s="146">
        <v>1795</v>
      </c>
      <c r="E29" s="9" t="s">
        <v>56</v>
      </c>
      <c r="F29" s="9"/>
      <c r="G29" s="9"/>
      <c r="H29" s="9"/>
      <c r="I29" s="34"/>
      <c r="J29" s="9" t="s">
        <v>299</v>
      </c>
      <c r="K29" s="10">
        <v>1795</v>
      </c>
      <c r="L29" s="9"/>
      <c r="M29" s="9"/>
      <c r="N29" s="9"/>
      <c r="U29" s="9" t="s">
        <v>1496</v>
      </c>
      <c r="V29" s="9" t="s">
        <v>1488</v>
      </c>
      <c r="W29" s="10">
        <v>1795</v>
      </c>
      <c r="X29" s="10">
        <v>1795</v>
      </c>
      <c r="Y29" s="9"/>
      <c r="Z29" s="135"/>
      <c r="AA29" s="135"/>
      <c r="AB29" s="135"/>
    </row>
    <row r="30" spans="1:28" x14ac:dyDescent="0.35">
      <c r="A30" s="34" t="s">
        <v>285</v>
      </c>
      <c r="B30" s="9" t="s">
        <v>1488</v>
      </c>
      <c r="C30" s="10">
        <v>1795</v>
      </c>
      <c r="D30" s="146">
        <v>0</v>
      </c>
      <c r="E30" s="9" t="s">
        <v>96</v>
      </c>
      <c r="F30" s="9"/>
      <c r="G30" s="9"/>
      <c r="H30" s="9"/>
      <c r="I30" s="34"/>
      <c r="J30" s="9"/>
      <c r="K30" s="10">
        <v>0</v>
      </c>
      <c r="L30" s="9"/>
      <c r="M30" s="9"/>
      <c r="N30" s="9"/>
      <c r="U30" s="9" t="s">
        <v>854</v>
      </c>
      <c r="V30" s="9" t="s">
        <v>1488</v>
      </c>
      <c r="W30" s="10">
        <v>1795</v>
      </c>
      <c r="X30" s="10">
        <v>1795</v>
      </c>
      <c r="Y30" s="9"/>
      <c r="Z30" s="135"/>
      <c r="AA30" s="135"/>
      <c r="AB30" s="135"/>
    </row>
    <row r="31" spans="1:28" x14ac:dyDescent="0.35">
      <c r="A31" s="34" t="s">
        <v>515</v>
      </c>
      <c r="B31" s="9" t="s">
        <v>1488</v>
      </c>
      <c r="C31" s="10">
        <v>1795</v>
      </c>
      <c r="D31" s="146">
        <v>1795</v>
      </c>
      <c r="E31" s="9" t="s">
        <v>1489</v>
      </c>
      <c r="F31" s="9"/>
      <c r="G31" s="9"/>
      <c r="H31" s="9"/>
      <c r="I31" s="34"/>
      <c r="J31" s="9" t="s">
        <v>375</v>
      </c>
      <c r="K31" s="10">
        <v>1795</v>
      </c>
      <c r="L31" s="9"/>
      <c r="M31" s="9"/>
      <c r="N31" s="9"/>
      <c r="U31" s="48" t="s">
        <v>194</v>
      </c>
      <c r="V31" s="48" t="s">
        <v>1488</v>
      </c>
      <c r="W31" s="55">
        <v>1795</v>
      </c>
      <c r="X31" s="55">
        <v>3590</v>
      </c>
      <c r="Y31" s="48" t="s">
        <v>56</v>
      </c>
      <c r="Z31" s="135"/>
      <c r="AA31" s="135"/>
      <c r="AB31" s="135"/>
    </row>
    <row r="32" spans="1:28" x14ac:dyDescent="0.35">
      <c r="A32" s="34" t="s">
        <v>248</v>
      </c>
      <c r="B32" s="9" t="s">
        <v>1488</v>
      </c>
      <c r="C32" s="10">
        <v>1795</v>
      </c>
      <c r="D32" s="146">
        <v>1795</v>
      </c>
      <c r="E32" s="9" t="s">
        <v>1489</v>
      </c>
      <c r="F32" s="9"/>
      <c r="G32" s="9"/>
      <c r="H32" s="9"/>
      <c r="I32" s="34"/>
      <c r="J32" s="9" t="s">
        <v>162</v>
      </c>
      <c r="K32" s="10">
        <v>1795</v>
      </c>
      <c r="L32" s="9"/>
      <c r="M32" s="9"/>
      <c r="N32" s="9"/>
      <c r="U32" s="9" t="s">
        <v>673</v>
      </c>
      <c r="V32" s="9" t="s">
        <v>1488</v>
      </c>
      <c r="W32" s="10">
        <v>1795</v>
      </c>
      <c r="X32" s="10">
        <v>5385</v>
      </c>
      <c r="Y32" s="9"/>
      <c r="Z32" s="135"/>
      <c r="AA32" s="135"/>
      <c r="AB32" s="135"/>
    </row>
    <row r="33" spans="1:28" x14ac:dyDescent="0.35">
      <c r="A33" s="34" t="s">
        <v>57</v>
      </c>
      <c r="B33" s="9" t="s">
        <v>1488</v>
      </c>
      <c r="C33" s="10">
        <v>1795</v>
      </c>
      <c r="D33" s="146">
        <v>1795</v>
      </c>
      <c r="E33" s="9" t="s">
        <v>1489</v>
      </c>
      <c r="F33" s="9"/>
      <c r="G33" s="9"/>
      <c r="H33" s="94" t="s">
        <v>27</v>
      </c>
      <c r="I33" s="34"/>
      <c r="J33" s="9"/>
      <c r="K33" s="10">
        <v>1795</v>
      </c>
      <c r="L33" s="9"/>
      <c r="M33" s="9"/>
      <c r="N33" s="9"/>
      <c r="U33" s="9" t="s">
        <v>1497</v>
      </c>
      <c r="V33" s="9" t="s">
        <v>1488</v>
      </c>
      <c r="W33" s="10">
        <v>1795</v>
      </c>
      <c r="X33" s="10">
        <v>1795</v>
      </c>
      <c r="Y33" s="9"/>
      <c r="Z33" s="135"/>
      <c r="AA33" s="135"/>
      <c r="AB33" s="135"/>
    </row>
    <row r="34" spans="1:28" x14ac:dyDescent="0.35">
      <c r="A34" s="34" t="s">
        <v>57</v>
      </c>
      <c r="B34" s="9" t="s">
        <v>1488</v>
      </c>
      <c r="C34" s="10">
        <v>1795</v>
      </c>
      <c r="D34" s="146">
        <v>1795</v>
      </c>
      <c r="E34" s="9" t="s">
        <v>1489</v>
      </c>
      <c r="F34" s="9"/>
      <c r="G34" s="9"/>
      <c r="H34" s="94" t="s">
        <v>27</v>
      </c>
      <c r="I34" s="34"/>
      <c r="J34" s="9"/>
      <c r="K34" s="10"/>
      <c r="L34" s="9"/>
      <c r="M34" s="9"/>
      <c r="N34" s="9"/>
      <c r="U34" s="9" t="s">
        <v>1498</v>
      </c>
      <c r="V34" s="9" t="s">
        <v>1488</v>
      </c>
      <c r="W34" s="10">
        <v>1795</v>
      </c>
      <c r="X34" s="10">
        <v>1795</v>
      </c>
      <c r="Y34" s="9" t="s">
        <v>56</v>
      </c>
      <c r="Z34" s="135"/>
      <c r="AA34" s="135"/>
      <c r="AB34" s="135"/>
    </row>
    <row r="35" spans="1:28" x14ac:dyDescent="0.35">
      <c r="A35" s="34" t="s">
        <v>1499</v>
      </c>
      <c r="B35" s="9" t="s">
        <v>1488</v>
      </c>
      <c r="C35" s="10">
        <v>1795</v>
      </c>
      <c r="D35" s="146">
        <v>1795</v>
      </c>
      <c r="E35" s="9"/>
      <c r="F35" s="9"/>
      <c r="G35" s="9"/>
      <c r="H35" s="9"/>
      <c r="I35" s="34"/>
      <c r="J35" s="9"/>
      <c r="K35" s="10">
        <v>1795</v>
      </c>
      <c r="L35" s="9"/>
      <c r="M35" s="9"/>
      <c r="N35" s="9"/>
      <c r="U35" s="9" t="s">
        <v>1500</v>
      </c>
      <c r="V35" s="9" t="s">
        <v>1488</v>
      </c>
      <c r="W35" s="10">
        <v>1795</v>
      </c>
      <c r="X35" s="10">
        <v>1795</v>
      </c>
      <c r="Y35" s="9"/>
      <c r="Z35" s="135"/>
      <c r="AA35" s="135"/>
      <c r="AB35" s="135"/>
    </row>
    <row r="36" spans="1:28" x14ac:dyDescent="0.35">
      <c r="A36" s="34" t="s">
        <v>194</v>
      </c>
      <c r="B36" s="9" t="s">
        <v>1488</v>
      </c>
      <c r="C36" s="10">
        <v>1795</v>
      </c>
      <c r="D36" s="146">
        <v>1795</v>
      </c>
      <c r="E36" s="9" t="s">
        <v>56</v>
      </c>
      <c r="F36" s="9"/>
      <c r="G36" s="9"/>
      <c r="H36" s="94" t="s">
        <v>27</v>
      </c>
      <c r="I36" s="34"/>
      <c r="J36" s="9" t="s">
        <v>439</v>
      </c>
      <c r="K36" s="10">
        <v>1795</v>
      </c>
      <c r="L36" s="9"/>
      <c r="M36" s="9"/>
      <c r="N36" s="9"/>
      <c r="U36" s="48" t="s">
        <v>363</v>
      </c>
      <c r="V36" s="48" t="s">
        <v>1488</v>
      </c>
      <c r="W36" s="55">
        <v>1795</v>
      </c>
      <c r="X36" s="55">
        <v>1795</v>
      </c>
      <c r="Y36" s="48" t="s">
        <v>96</v>
      </c>
      <c r="Z36" s="135"/>
      <c r="AA36" s="135"/>
      <c r="AB36" s="135"/>
    </row>
    <row r="37" spans="1:28" x14ac:dyDescent="0.35">
      <c r="A37" s="34" t="s">
        <v>194</v>
      </c>
      <c r="B37" s="9" t="s">
        <v>1488</v>
      </c>
      <c r="C37" s="10">
        <v>1795</v>
      </c>
      <c r="D37" s="146">
        <v>1795</v>
      </c>
      <c r="E37" s="9" t="s">
        <v>56</v>
      </c>
      <c r="F37" s="9"/>
      <c r="G37" s="9"/>
      <c r="H37" s="94" t="s">
        <v>27</v>
      </c>
      <c r="I37" s="34"/>
      <c r="J37" s="9"/>
      <c r="K37" s="10">
        <v>1795</v>
      </c>
      <c r="L37" s="9"/>
      <c r="M37" s="9"/>
      <c r="N37" s="9"/>
      <c r="U37" s="48" t="s">
        <v>1501</v>
      </c>
      <c r="V37" s="48" t="s">
        <v>1488</v>
      </c>
      <c r="W37" s="55">
        <v>1795</v>
      </c>
      <c r="X37" s="55">
        <v>1795</v>
      </c>
      <c r="Y37" s="48" t="s">
        <v>76</v>
      </c>
      <c r="Z37" s="135"/>
      <c r="AA37" s="135"/>
      <c r="AB37" s="135"/>
    </row>
    <row r="38" spans="1:28" x14ac:dyDescent="0.35">
      <c r="A38" s="34" t="s">
        <v>1502</v>
      </c>
      <c r="B38" s="9" t="s">
        <v>1488</v>
      </c>
      <c r="C38" s="10">
        <v>1795</v>
      </c>
      <c r="D38" s="146">
        <v>1795</v>
      </c>
      <c r="E38" s="9" t="s">
        <v>1489</v>
      </c>
      <c r="F38" s="9"/>
      <c r="G38" s="9"/>
      <c r="H38" s="9"/>
      <c r="I38" s="34"/>
      <c r="J38" s="9" t="s">
        <v>162</v>
      </c>
      <c r="K38" s="10">
        <v>1795</v>
      </c>
      <c r="L38" s="9"/>
      <c r="M38" s="9"/>
      <c r="N38" s="9"/>
      <c r="U38" s="9" t="s">
        <v>1503</v>
      </c>
      <c r="V38" s="9" t="s">
        <v>1488</v>
      </c>
      <c r="W38" s="10">
        <v>1795</v>
      </c>
      <c r="X38" s="10">
        <v>1795</v>
      </c>
      <c r="Y38" s="9" t="s">
        <v>90</v>
      </c>
      <c r="Z38" s="135"/>
      <c r="AA38" s="135"/>
      <c r="AB38" s="135"/>
    </row>
    <row r="39" spans="1:28" x14ac:dyDescent="0.35">
      <c r="A39" s="34" t="s">
        <v>152</v>
      </c>
      <c r="B39" s="9" t="s">
        <v>1488</v>
      </c>
      <c r="C39" s="10">
        <v>1795</v>
      </c>
      <c r="D39" s="146">
        <v>1795</v>
      </c>
      <c r="E39" s="9" t="s">
        <v>96</v>
      </c>
      <c r="F39" s="9"/>
      <c r="G39" s="9"/>
      <c r="H39" s="94" t="s">
        <v>27</v>
      </c>
      <c r="I39" s="34"/>
      <c r="J39" s="9" t="s">
        <v>1194</v>
      </c>
      <c r="K39" s="10">
        <v>1795</v>
      </c>
      <c r="L39" s="9"/>
      <c r="M39" s="9"/>
      <c r="N39" s="9"/>
      <c r="U39" s="9" t="s">
        <v>1504</v>
      </c>
      <c r="V39" s="9" t="s">
        <v>1488</v>
      </c>
      <c r="W39" s="10">
        <v>1795</v>
      </c>
      <c r="X39" s="10">
        <v>1795</v>
      </c>
      <c r="Y39" s="9" t="s">
        <v>56</v>
      </c>
      <c r="Z39" s="135"/>
      <c r="AA39" s="135"/>
      <c r="AB39" s="135"/>
    </row>
    <row r="40" spans="1:28" x14ac:dyDescent="0.35">
      <c r="A40" s="34" t="s">
        <v>1505</v>
      </c>
      <c r="B40" s="9" t="s">
        <v>1488</v>
      </c>
      <c r="C40" s="10">
        <v>1795</v>
      </c>
      <c r="D40" s="146">
        <v>1795</v>
      </c>
      <c r="E40" s="9"/>
      <c r="F40" s="9"/>
      <c r="G40" s="9"/>
      <c r="H40" s="9"/>
      <c r="I40" s="34"/>
      <c r="J40" s="9" t="s">
        <v>143</v>
      </c>
      <c r="K40" s="10">
        <v>1795</v>
      </c>
      <c r="L40" s="9"/>
      <c r="M40" s="9"/>
      <c r="N40" s="9"/>
      <c r="U40" s="9" t="s">
        <v>1506</v>
      </c>
      <c r="V40" s="9" t="s">
        <v>1488</v>
      </c>
      <c r="W40" s="10">
        <v>1795</v>
      </c>
      <c r="X40" s="10">
        <v>1795</v>
      </c>
      <c r="Y40" s="9"/>
      <c r="Z40" s="135"/>
      <c r="AA40" s="135"/>
      <c r="AB40" s="135"/>
    </row>
    <row r="41" spans="1:28" x14ac:dyDescent="0.35">
      <c r="A41" s="34" t="s">
        <v>363</v>
      </c>
      <c r="B41" s="9" t="s">
        <v>1488</v>
      </c>
      <c r="C41" s="10">
        <v>1795</v>
      </c>
      <c r="D41" s="146">
        <v>1795</v>
      </c>
      <c r="E41" s="9" t="s">
        <v>96</v>
      </c>
      <c r="F41" s="9"/>
      <c r="G41" s="9"/>
      <c r="H41" s="9"/>
      <c r="I41" s="34"/>
      <c r="J41" s="9" t="s">
        <v>651</v>
      </c>
      <c r="K41" s="10">
        <v>1795</v>
      </c>
      <c r="L41" s="9"/>
      <c r="M41" s="9"/>
      <c r="N41" s="9"/>
      <c r="U41" s="48" t="s">
        <v>146</v>
      </c>
      <c r="V41" s="48" t="s">
        <v>1488</v>
      </c>
      <c r="W41" s="55">
        <v>1795</v>
      </c>
      <c r="X41" s="55">
        <v>1795</v>
      </c>
      <c r="Y41" s="48" t="s">
        <v>37</v>
      </c>
      <c r="Z41" s="135"/>
      <c r="AA41" s="135"/>
      <c r="AB41" s="135"/>
    </row>
    <row r="42" spans="1:28" x14ac:dyDescent="0.35">
      <c r="A42" s="34" t="s">
        <v>1501</v>
      </c>
      <c r="B42" s="9" t="s">
        <v>1488</v>
      </c>
      <c r="C42" s="10">
        <v>1795</v>
      </c>
      <c r="D42" s="146">
        <v>1795</v>
      </c>
      <c r="E42" s="9" t="s">
        <v>76</v>
      </c>
      <c r="F42" s="9"/>
      <c r="G42" s="9"/>
      <c r="H42" s="9"/>
      <c r="I42" s="34"/>
      <c r="J42" s="9" t="s">
        <v>418</v>
      </c>
      <c r="K42" s="10">
        <v>1795</v>
      </c>
      <c r="L42" s="9"/>
      <c r="M42" s="9"/>
      <c r="N42" s="9"/>
      <c r="U42" s="9" t="s">
        <v>307</v>
      </c>
      <c r="V42" s="9" t="s">
        <v>1488</v>
      </c>
      <c r="W42" s="10">
        <v>1795</v>
      </c>
      <c r="X42" s="10">
        <v>1795</v>
      </c>
      <c r="Y42" s="9" t="s">
        <v>90</v>
      </c>
      <c r="Z42" s="135"/>
      <c r="AA42" s="135"/>
      <c r="AB42" s="135"/>
    </row>
    <row r="43" spans="1:28" x14ac:dyDescent="0.35">
      <c r="A43" s="34"/>
      <c r="B43" s="9" t="s">
        <v>1488</v>
      </c>
      <c r="C43" s="10">
        <v>1795</v>
      </c>
      <c r="D43" s="146"/>
      <c r="E43" s="9"/>
      <c r="F43" s="9"/>
      <c r="G43" s="9"/>
      <c r="H43" s="9"/>
      <c r="I43" s="34"/>
      <c r="J43" s="9"/>
      <c r="K43" s="10"/>
      <c r="L43" s="9"/>
      <c r="M43" s="9"/>
      <c r="N43" s="9"/>
      <c r="U43" s="48" t="s">
        <v>376</v>
      </c>
      <c r="V43" s="48" t="s">
        <v>1488</v>
      </c>
      <c r="W43" s="55">
        <v>1795</v>
      </c>
      <c r="X43" s="55">
        <v>1795</v>
      </c>
      <c r="Y43" s="48" t="s">
        <v>96</v>
      </c>
      <c r="Z43" s="135"/>
      <c r="AA43" s="135"/>
      <c r="AB43" s="135"/>
    </row>
    <row r="44" spans="1:28" x14ac:dyDescent="0.35">
      <c r="A44" s="34" t="s">
        <v>1507</v>
      </c>
      <c r="B44" s="9" t="s">
        <v>1488</v>
      </c>
      <c r="C44" s="10">
        <v>1795</v>
      </c>
      <c r="D44" s="146">
        <v>1795</v>
      </c>
      <c r="E44" s="9" t="s">
        <v>1489</v>
      </c>
      <c r="F44" s="9"/>
      <c r="G44" s="9"/>
      <c r="H44" s="9"/>
      <c r="I44" s="34"/>
      <c r="J44" s="9" t="s">
        <v>148</v>
      </c>
      <c r="K44" s="10">
        <v>1795</v>
      </c>
      <c r="L44" s="9"/>
      <c r="M44" s="9"/>
      <c r="N44" s="9"/>
      <c r="U44" s="9" t="s">
        <v>1508</v>
      </c>
      <c r="V44" s="9" t="s">
        <v>1488</v>
      </c>
      <c r="W44" s="10">
        <v>1795</v>
      </c>
      <c r="X44" s="10">
        <v>1795</v>
      </c>
      <c r="Y44" s="9"/>
      <c r="Z44" s="135"/>
      <c r="AA44" s="135"/>
      <c r="AB44" s="135"/>
    </row>
    <row r="45" spans="1:28" x14ac:dyDescent="0.35">
      <c r="A45" s="34" t="s">
        <v>1509</v>
      </c>
      <c r="B45" s="9" t="s">
        <v>1488</v>
      </c>
      <c r="C45" s="10">
        <v>1795</v>
      </c>
      <c r="D45" s="146">
        <v>1795</v>
      </c>
      <c r="E45" s="9"/>
      <c r="F45" s="9"/>
      <c r="G45" s="9"/>
      <c r="H45" s="9"/>
      <c r="I45" s="34"/>
      <c r="J45" s="9"/>
      <c r="K45" s="10"/>
      <c r="L45" s="9"/>
      <c r="M45" s="9"/>
      <c r="N45" s="9"/>
      <c r="U45" s="48" t="s">
        <v>232</v>
      </c>
      <c r="V45" s="48" t="s">
        <v>1488</v>
      </c>
      <c r="W45" s="55">
        <v>1795</v>
      </c>
      <c r="X45" s="55">
        <v>1795</v>
      </c>
      <c r="Y45" s="48" t="s">
        <v>37</v>
      </c>
      <c r="Z45" s="135"/>
      <c r="AA45" s="135"/>
      <c r="AB45" s="135"/>
    </row>
    <row r="46" spans="1:28" x14ac:dyDescent="0.35">
      <c r="A46" s="34" t="s">
        <v>1308</v>
      </c>
      <c r="B46" s="9" t="s">
        <v>1488</v>
      </c>
      <c r="C46" s="10">
        <v>1795</v>
      </c>
      <c r="D46" s="146">
        <v>1795</v>
      </c>
      <c r="E46" s="9"/>
      <c r="F46" s="9"/>
      <c r="G46" s="9"/>
      <c r="H46" s="99"/>
      <c r="I46" s="34"/>
      <c r="J46" s="9"/>
      <c r="K46" s="10">
        <v>1795</v>
      </c>
      <c r="L46" s="9"/>
      <c r="M46" s="9"/>
      <c r="N46" s="9"/>
      <c r="U46" s="9" t="s">
        <v>1510</v>
      </c>
      <c r="V46" s="9" t="s">
        <v>1488</v>
      </c>
      <c r="W46" s="10">
        <v>1795</v>
      </c>
      <c r="X46" s="10">
        <v>1795</v>
      </c>
      <c r="Y46" s="9"/>
      <c r="Z46" s="135"/>
      <c r="AA46" s="135"/>
      <c r="AB46" s="135"/>
    </row>
    <row r="47" spans="1:28" ht="72.5" x14ac:dyDescent="0.35">
      <c r="A47" s="34" t="s">
        <v>376</v>
      </c>
      <c r="B47" s="9" t="s">
        <v>1488</v>
      </c>
      <c r="C47" s="10">
        <v>1795</v>
      </c>
      <c r="D47" s="146">
        <v>1795</v>
      </c>
      <c r="E47" s="9" t="s">
        <v>96</v>
      </c>
      <c r="F47" s="9"/>
      <c r="G47" s="9"/>
      <c r="H47" s="94" t="s">
        <v>27</v>
      </c>
      <c r="I47" s="34"/>
      <c r="J47" s="195" t="s">
        <v>1511</v>
      </c>
      <c r="K47" s="10">
        <f>137+414.5+414.5+414.5+414.5</f>
        <v>1795</v>
      </c>
      <c r="L47" s="9"/>
      <c r="M47" s="9"/>
      <c r="N47" s="9"/>
      <c r="P47" s="21"/>
      <c r="U47" s="48" t="s">
        <v>235</v>
      </c>
      <c r="V47" s="48" t="s">
        <v>1488</v>
      </c>
      <c r="W47" s="55">
        <v>1795</v>
      </c>
      <c r="X47" s="55">
        <v>1795</v>
      </c>
      <c r="Y47" s="48" t="s">
        <v>24</v>
      </c>
      <c r="Z47" s="135"/>
      <c r="AA47" s="135"/>
      <c r="AB47" s="135"/>
    </row>
    <row r="48" spans="1:28" x14ac:dyDescent="0.35">
      <c r="A48" s="34" t="s">
        <v>1512</v>
      </c>
      <c r="B48" s="9" t="s">
        <v>1488</v>
      </c>
      <c r="C48" s="10">
        <v>1795</v>
      </c>
      <c r="D48" s="146">
        <v>1795</v>
      </c>
      <c r="E48" s="9" t="s">
        <v>93</v>
      </c>
      <c r="F48" s="9"/>
      <c r="G48" s="9"/>
      <c r="H48" s="9"/>
      <c r="I48" s="34"/>
      <c r="J48" s="9" t="s">
        <v>418</v>
      </c>
      <c r="K48" s="10">
        <v>1795</v>
      </c>
      <c r="L48" s="9"/>
      <c r="M48" s="9"/>
      <c r="N48" s="101"/>
      <c r="U48" s="9" t="s">
        <v>507</v>
      </c>
      <c r="V48" s="9" t="s">
        <v>1488</v>
      </c>
      <c r="W48" s="10">
        <v>1795</v>
      </c>
      <c r="X48" s="10">
        <v>1795</v>
      </c>
      <c r="Y48" s="9" t="s">
        <v>56</v>
      </c>
      <c r="Z48" s="135"/>
      <c r="AA48" s="135"/>
      <c r="AB48" s="135"/>
    </row>
    <row r="49" spans="1:28" x14ac:dyDescent="0.35">
      <c r="A49" s="34" t="s">
        <v>1513</v>
      </c>
      <c r="B49" s="9" t="s">
        <v>1488</v>
      </c>
      <c r="C49" s="10">
        <v>1795</v>
      </c>
      <c r="D49" s="146">
        <v>1795</v>
      </c>
      <c r="E49" s="9" t="s">
        <v>93</v>
      </c>
      <c r="F49" s="9"/>
      <c r="G49" s="9"/>
      <c r="H49" s="9"/>
      <c r="I49" s="34"/>
      <c r="J49" s="9" t="s">
        <v>172</v>
      </c>
      <c r="K49" s="10">
        <v>1795</v>
      </c>
      <c r="L49" s="9"/>
      <c r="M49" s="9"/>
      <c r="N49" s="9"/>
      <c r="U49" s="9" t="s">
        <v>1514</v>
      </c>
      <c r="V49" s="9" t="s">
        <v>1488</v>
      </c>
      <c r="W49" s="10">
        <v>1795</v>
      </c>
      <c r="X49" s="10">
        <v>1795</v>
      </c>
      <c r="Y49" s="9"/>
      <c r="Z49" s="135"/>
      <c r="AA49" s="135"/>
      <c r="AB49" s="135"/>
    </row>
    <row r="50" spans="1:28" x14ac:dyDescent="0.35">
      <c r="A50" s="34" t="s">
        <v>1515</v>
      </c>
      <c r="B50" s="9" t="s">
        <v>1488</v>
      </c>
      <c r="C50" s="10">
        <v>1795</v>
      </c>
      <c r="D50" s="146">
        <v>1795</v>
      </c>
      <c r="E50" s="9" t="s">
        <v>1489</v>
      </c>
      <c r="F50" s="9"/>
      <c r="G50" s="9"/>
      <c r="H50" s="9"/>
      <c r="I50" s="34"/>
      <c r="J50" s="9" t="s">
        <v>768</v>
      </c>
      <c r="K50" s="10">
        <v>1795</v>
      </c>
      <c r="L50" s="9"/>
      <c r="M50" s="9"/>
      <c r="N50" s="9"/>
      <c r="U50" s="9" t="s">
        <v>1516</v>
      </c>
      <c r="V50" s="9" t="s">
        <v>1488</v>
      </c>
      <c r="W50" s="10">
        <v>1795</v>
      </c>
      <c r="X50" s="10">
        <v>3590</v>
      </c>
      <c r="Y50" s="9" t="s">
        <v>90</v>
      </c>
      <c r="Z50" s="135"/>
      <c r="AA50" s="135"/>
      <c r="AB50" s="135"/>
    </row>
    <row r="51" spans="1:28" x14ac:dyDescent="0.35">
      <c r="A51" s="34" t="s">
        <v>1517</v>
      </c>
      <c r="B51" s="9" t="s">
        <v>1488</v>
      </c>
      <c r="C51" s="10">
        <v>1795</v>
      </c>
      <c r="D51" s="146">
        <v>1795</v>
      </c>
      <c r="E51" s="9" t="s">
        <v>1489</v>
      </c>
      <c r="F51" s="9"/>
      <c r="G51" s="9"/>
      <c r="H51" s="9"/>
      <c r="I51" s="34"/>
      <c r="J51" s="195">
        <v>46010</v>
      </c>
      <c r="K51" s="10">
        <v>1795</v>
      </c>
      <c r="L51" s="9"/>
      <c r="M51" s="9"/>
      <c r="N51" s="9"/>
      <c r="U51" s="48" t="s">
        <v>117</v>
      </c>
      <c r="V51" s="48" t="s">
        <v>1488</v>
      </c>
      <c r="W51" s="55">
        <v>1795</v>
      </c>
      <c r="X51" s="55">
        <v>5385</v>
      </c>
      <c r="Y51" s="48" t="s">
        <v>95</v>
      </c>
      <c r="Z51" s="135"/>
      <c r="AA51" s="135"/>
      <c r="AB51" s="135"/>
    </row>
    <row r="52" spans="1:28" x14ac:dyDescent="0.35">
      <c r="A52" s="34"/>
      <c r="B52" s="9" t="s">
        <v>1488</v>
      </c>
      <c r="C52" s="10">
        <v>1795</v>
      </c>
      <c r="D52" s="146"/>
      <c r="E52" s="9"/>
      <c r="F52" s="9"/>
      <c r="G52" s="9"/>
      <c r="H52" s="9"/>
      <c r="I52" s="34"/>
      <c r="J52" s="9"/>
      <c r="K52" s="10"/>
      <c r="L52" s="9"/>
      <c r="M52" s="9"/>
      <c r="N52" s="9"/>
      <c r="U52" s="9" t="s">
        <v>374</v>
      </c>
      <c r="V52" s="9" t="s">
        <v>1488</v>
      </c>
      <c r="W52" s="10">
        <v>1795</v>
      </c>
      <c r="X52" s="10"/>
      <c r="Y52" s="9"/>
      <c r="Z52" s="135"/>
      <c r="AA52" s="135"/>
      <c r="AB52" s="135"/>
    </row>
    <row r="53" spans="1:28" x14ac:dyDescent="0.35">
      <c r="A53" s="34" t="s">
        <v>235</v>
      </c>
      <c r="B53" s="9" t="s">
        <v>1488</v>
      </c>
      <c r="C53" s="10">
        <v>1795</v>
      </c>
      <c r="D53" s="146">
        <v>1795</v>
      </c>
      <c r="E53" s="9" t="s">
        <v>1489</v>
      </c>
      <c r="F53" s="9"/>
      <c r="G53" s="9"/>
      <c r="H53" s="9"/>
      <c r="I53" s="34"/>
      <c r="J53" s="9" t="s">
        <v>172</v>
      </c>
      <c r="K53" s="10">
        <v>1795</v>
      </c>
      <c r="L53" s="9"/>
      <c r="M53" s="9"/>
      <c r="N53" s="9"/>
      <c r="U53" s="48" t="s">
        <v>52</v>
      </c>
      <c r="V53" s="48" t="s">
        <v>1488</v>
      </c>
      <c r="W53" s="55">
        <v>1795</v>
      </c>
      <c r="X53" s="55">
        <v>1795</v>
      </c>
      <c r="Y53" s="48" t="s">
        <v>24</v>
      </c>
      <c r="Z53" s="135"/>
      <c r="AA53" s="135"/>
      <c r="AB53" s="135"/>
    </row>
    <row r="54" spans="1:28" x14ac:dyDescent="0.35">
      <c r="A54" s="34" t="s">
        <v>1518</v>
      </c>
      <c r="B54" s="9" t="s">
        <v>1488</v>
      </c>
      <c r="C54" s="10">
        <v>1795</v>
      </c>
      <c r="D54" s="146">
        <v>1795</v>
      </c>
      <c r="E54" s="9"/>
      <c r="F54" s="9"/>
      <c r="G54" s="9"/>
      <c r="H54" s="9"/>
      <c r="I54" s="34"/>
      <c r="J54" s="9" t="s">
        <v>299</v>
      </c>
      <c r="K54" s="10">
        <v>1795</v>
      </c>
      <c r="L54" s="9"/>
      <c r="M54" s="9"/>
      <c r="N54" s="9"/>
      <c r="W54" s="21"/>
      <c r="X54" s="21"/>
      <c r="Z54" s="135"/>
      <c r="AA54" s="135"/>
      <c r="AB54" s="135"/>
    </row>
    <row r="55" spans="1:28" x14ac:dyDescent="0.35">
      <c r="A55" s="34" t="s">
        <v>1519</v>
      </c>
      <c r="B55" s="9" t="s">
        <v>1488</v>
      </c>
      <c r="C55" s="10">
        <v>1795</v>
      </c>
      <c r="D55" s="146">
        <v>0</v>
      </c>
      <c r="E55" s="9" t="s">
        <v>1489</v>
      </c>
      <c r="F55" s="9"/>
      <c r="G55" s="9"/>
      <c r="H55" s="9"/>
      <c r="I55" s="34"/>
      <c r="J55" s="195">
        <v>46008</v>
      </c>
      <c r="K55" s="10">
        <v>1795</v>
      </c>
      <c r="L55" s="9"/>
      <c r="M55" s="9"/>
      <c r="N55" s="9"/>
      <c r="W55" s="21"/>
      <c r="X55" s="21"/>
      <c r="Z55" s="135"/>
      <c r="AA55" s="135"/>
      <c r="AB55" s="135"/>
    </row>
    <row r="56" spans="1:28" x14ac:dyDescent="0.35">
      <c r="A56" s="34" t="s">
        <v>1520</v>
      </c>
      <c r="B56" s="9" t="s">
        <v>1488</v>
      </c>
      <c r="C56" s="10">
        <v>1795</v>
      </c>
      <c r="D56" s="146">
        <v>0</v>
      </c>
      <c r="E56" s="9" t="s">
        <v>1489</v>
      </c>
      <c r="F56" s="9"/>
      <c r="G56" s="9"/>
      <c r="H56" s="9"/>
      <c r="I56" s="34"/>
      <c r="J56" s="195">
        <v>46008</v>
      </c>
      <c r="K56" s="10">
        <v>1795</v>
      </c>
      <c r="L56" s="9"/>
      <c r="M56" s="9"/>
      <c r="N56" s="9"/>
      <c r="W56" s="21"/>
      <c r="Z56" s="135"/>
      <c r="AA56" s="135"/>
      <c r="AB56" s="135"/>
    </row>
    <row r="57" spans="1:28" x14ac:dyDescent="0.35">
      <c r="A57" s="34" t="s">
        <v>1521</v>
      </c>
      <c r="B57" s="9" t="s">
        <v>1488</v>
      </c>
      <c r="C57" s="10">
        <v>1795</v>
      </c>
      <c r="D57" s="146">
        <v>0</v>
      </c>
      <c r="E57" s="9"/>
      <c r="F57" s="9"/>
      <c r="G57" s="9"/>
      <c r="H57" s="9"/>
      <c r="I57" s="34"/>
      <c r="J57" s="9"/>
      <c r="K57" s="10">
        <v>0</v>
      </c>
      <c r="L57" s="9"/>
      <c r="M57" s="9"/>
      <c r="N57" s="9"/>
      <c r="W57" s="21"/>
      <c r="X57" s="21"/>
      <c r="Z57" s="135"/>
      <c r="AA57" s="135"/>
      <c r="AB57" s="135"/>
    </row>
    <row r="58" spans="1:28" x14ac:dyDescent="0.35">
      <c r="A58" s="34" t="s">
        <v>1229</v>
      </c>
      <c r="B58" s="9" t="s">
        <v>1488</v>
      </c>
      <c r="C58" s="10">
        <v>1795</v>
      </c>
      <c r="D58" s="146">
        <v>1795</v>
      </c>
      <c r="E58" s="9" t="s">
        <v>96</v>
      </c>
      <c r="F58" s="9"/>
      <c r="G58" s="9"/>
      <c r="H58" s="9"/>
      <c r="I58" s="34"/>
      <c r="J58" s="9" t="s">
        <v>143</v>
      </c>
      <c r="K58" s="10">
        <v>1795</v>
      </c>
      <c r="L58" s="9"/>
      <c r="M58" s="9"/>
      <c r="N58" s="87"/>
      <c r="W58" s="21"/>
      <c r="X58" s="21"/>
      <c r="Z58" s="135"/>
      <c r="AA58" s="135"/>
      <c r="AB58" s="135"/>
    </row>
    <row r="59" spans="1:28" x14ac:dyDescent="0.35">
      <c r="A59" s="34" t="s">
        <v>1229</v>
      </c>
      <c r="B59" s="9" t="s">
        <v>1488</v>
      </c>
      <c r="C59" s="10">
        <v>1795</v>
      </c>
      <c r="D59" s="146">
        <v>1795</v>
      </c>
      <c r="E59" s="9" t="s">
        <v>96</v>
      </c>
      <c r="F59" s="9"/>
      <c r="G59" s="9"/>
      <c r="H59" s="9"/>
      <c r="I59" s="34"/>
      <c r="J59" s="9" t="s">
        <v>143</v>
      </c>
      <c r="K59" s="10">
        <v>1795</v>
      </c>
      <c r="L59" s="9"/>
      <c r="M59" s="9"/>
      <c r="N59" s="9"/>
      <c r="W59" s="21"/>
      <c r="X59" s="21"/>
      <c r="Z59" s="135"/>
      <c r="AA59" s="135"/>
      <c r="AB59" s="135"/>
    </row>
    <row r="60" spans="1:28" x14ac:dyDescent="0.35">
      <c r="A60" s="34" t="s">
        <v>1229</v>
      </c>
      <c r="B60" s="9" t="s">
        <v>1488</v>
      </c>
      <c r="C60" s="10">
        <v>1795</v>
      </c>
      <c r="D60" s="146">
        <v>1795</v>
      </c>
      <c r="E60" s="9" t="s">
        <v>96</v>
      </c>
      <c r="F60" s="9"/>
      <c r="G60" s="9"/>
      <c r="H60" s="9"/>
      <c r="I60" s="34"/>
      <c r="J60" s="9" t="s">
        <v>143</v>
      </c>
      <c r="K60" s="10">
        <v>1795</v>
      </c>
      <c r="L60" s="9"/>
      <c r="M60" s="9"/>
      <c r="N60" s="9"/>
      <c r="Z60" s="135"/>
      <c r="AA60" s="135"/>
      <c r="AB60" s="135"/>
    </row>
    <row r="61" spans="1:28" x14ac:dyDescent="0.35">
      <c r="A61" s="34" t="s">
        <v>1229</v>
      </c>
      <c r="B61" s="9" t="s">
        <v>1488</v>
      </c>
      <c r="C61" s="10">
        <v>1795</v>
      </c>
      <c r="D61" s="146">
        <v>0</v>
      </c>
      <c r="E61" s="9" t="s">
        <v>96</v>
      </c>
      <c r="F61" s="9"/>
      <c r="G61" s="9"/>
      <c r="H61" s="147"/>
      <c r="I61" s="34"/>
      <c r="J61" s="34"/>
      <c r="K61" s="35">
        <v>0</v>
      </c>
      <c r="L61" s="34"/>
      <c r="M61" s="34"/>
      <c r="N61" s="34"/>
      <c r="Z61" s="135"/>
      <c r="AA61" s="135"/>
      <c r="AB61" s="135"/>
    </row>
    <row r="62" spans="1:28" x14ac:dyDescent="0.35">
      <c r="A62" s="34" t="s">
        <v>52</v>
      </c>
      <c r="B62" s="9" t="s">
        <v>1488</v>
      </c>
      <c r="C62" s="10">
        <v>1795</v>
      </c>
      <c r="D62" s="146">
        <v>1795</v>
      </c>
      <c r="E62" s="9" t="s">
        <v>1489</v>
      </c>
      <c r="F62" s="9"/>
      <c r="G62" s="9"/>
      <c r="H62" s="9"/>
      <c r="I62" s="34"/>
      <c r="J62" s="195">
        <v>45902</v>
      </c>
      <c r="K62" s="10">
        <v>1795</v>
      </c>
      <c r="L62" s="9"/>
      <c r="M62" s="9"/>
      <c r="N62" s="9"/>
      <c r="Z62" s="135"/>
      <c r="AA62" s="135"/>
      <c r="AB62" s="135"/>
    </row>
    <row r="63" spans="1:28" x14ac:dyDescent="0.35">
      <c r="A63" s="34" t="s">
        <v>52</v>
      </c>
      <c r="B63" s="9" t="s">
        <v>1488</v>
      </c>
      <c r="C63" s="10">
        <v>0</v>
      </c>
      <c r="D63" s="146">
        <v>0</v>
      </c>
      <c r="E63" s="9" t="s">
        <v>1489</v>
      </c>
      <c r="F63" s="9"/>
      <c r="G63" s="9" t="s">
        <v>1522</v>
      </c>
      <c r="H63" s="9"/>
      <c r="I63" s="34"/>
      <c r="J63" s="9"/>
      <c r="K63" s="10"/>
      <c r="L63" s="9"/>
      <c r="M63" s="9"/>
      <c r="N63" s="9"/>
      <c r="Z63" s="135"/>
      <c r="AA63" s="135"/>
      <c r="AB63" s="135"/>
    </row>
    <row r="64" spans="1:28" x14ac:dyDescent="0.35">
      <c r="A64" s="34" t="s">
        <v>1233</v>
      </c>
      <c r="B64" s="9" t="s">
        <v>1488</v>
      </c>
      <c r="C64" s="10">
        <v>1795</v>
      </c>
      <c r="D64" s="146">
        <v>1795</v>
      </c>
      <c r="E64" s="9" t="s">
        <v>90</v>
      </c>
      <c r="F64" s="9"/>
      <c r="G64" s="9"/>
      <c r="H64" s="9"/>
      <c r="I64" s="34"/>
      <c r="J64" s="9" t="s">
        <v>280</v>
      </c>
      <c r="K64" s="10">
        <v>1795</v>
      </c>
      <c r="L64" s="9"/>
      <c r="M64" s="9"/>
      <c r="N64" s="9"/>
      <c r="Z64" s="135"/>
      <c r="AA64" s="135"/>
      <c r="AB64" s="135"/>
    </row>
    <row r="65" spans="1:28" x14ac:dyDescent="0.35">
      <c r="A65" s="34" t="s">
        <v>289</v>
      </c>
      <c r="B65" s="9" t="s">
        <v>1488</v>
      </c>
      <c r="C65" s="10">
        <v>1795</v>
      </c>
      <c r="D65" s="146">
        <v>1795</v>
      </c>
      <c r="E65" s="9" t="s">
        <v>1489</v>
      </c>
      <c r="F65" s="9"/>
      <c r="G65" s="9"/>
      <c r="H65" s="94" t="s">
        <v>27</v>
      </c>
      <c r="I65" s="34"/>
      <c r="J65" s="9" t="s">
        <v>277</v>
      </c>
      <c r="K65" s="10">
        <v>1795</v>
      </c>
      <c r="L65" s="9"/>
      <c r="M65" s="9"/>
      <c r="N65" s="9"/>
      <c r="Z65" s="135"/>
      <c r="AA65" s="135"/>
      <c r="AB65" s="135"/>
    </row>
    <row r="66" spans="1:28" x14ac:dyDescent="0.35">
      <c r="A66" s="34" t="s">
        <v>1523</v>
      </c>
      <c r="B66" s="9" t="s">
        <v>1488</v>
      </c>
      <c r="C66" s="10">
        <v>1795</v>
      </c>
      <c r="D66" s="146">
        <v>1500</v>
      </c>
      <c r="E66" s="9" t="s">
        <v>90</v>
      </c>
      <c r="F66" s="9"/>
      <c r="G66" s="9"/>
      <c r="H66" s="9"/>
      <c r="I66" s="34"/>
      <c r="J66" s="9" t="s">
        <v>172</v>
      </c>
      <c r="K66" s="10">
        <v>1500</v>
      </c>
      <c r="L66" s="9"/>
      <c r="M66" s="9"/>
      <c r="N66" s="9"/>
      <c r="Z66" s="135"/>
      <c r="AA66" s="135"/>
      <c r="AB66" s="135"/>
    </row>
    <row r="67" spans="1:28" x14ac:dyDescent="0.35">
      <c r="Z67" s="135"/>
      <c r="AA67" s="135"/>
      <c r="AB67" s="135"/>
    </row>
    <row r="68" spans="1:28" x14ac:dyDescent="0.35">
      <c r="Z68" s="135"/>
      <c r="AA68" s="135"/>
      <c r="AB68" s="135"/>
    </row>
    <row r="69" spans="1:28" x14ac:dyDescent="0.35">
      <c r="K69" s="29">
        <f>SUM(K9:K66)</f>
        <v>84070</v>
      </c>
      <c r="Z69" s="135"/>
      <c r="AA69" s="135"/>
      <c r="AB69" s="135"/>
    </row>
    <row r="298" spans="5:5" x14ac:dyDescent="0.35">
      <c r="E298" s="5" t="s">
        <v>47</v>
      </c>
    </row>
    <row r="299" spans="5:5" x14ac:dyDescent="0.35">
      <c r="E299" s="5" t="s">
        <v>37</v>
      </c>
    </row>
    <row r="300" spans="5:5" x14ac:dyDescent="0.35">
      <c r="E300" s="5" t="s">
        <v>24</v>
      </c>
    </row>
    <row r="301" spans="5:5" x14ac:dyDescent="0.35">
      <c r="E301" s="5" t="s">
        <v>62</v>
      </c>
    </row>
    <row r="302" spans="5:5" x14ac:dyDescent="0.35">
      <c r="E302" s="5" t="s">
        <v>56</v>
      </c>
    </row>
    <row r="303" spans="5:5" x14ac:dyDescent="0.35">
      <c r="E303" s="5" t="s">
        <v>50</v>
      </c>
    </row>
    <row r="304" spans="5:5" x14ac:dyDescent="0.35">
      <c r="E304" s="5" t="s">
        <v>91</v>
      </c>
    </row>
    <row r="305" spans="5:5" x14ac:dyDescent="0.35">
      <c r="E305" s="5" t="s">
        <v>90</v>
      </c>
    </row>
    <row r="306" spans="5:5" x14ac:dyDescent="0.35">
      <c r="E306" s="5" t="s">
        <v>86</v>
      </c>
    </row>
    <row r="307" spans="5:5" x14ac:dyDescent="0.35">
      <c r="E307" s="5" t="s">
        <v>81</v>
      </c>
    </row>
    <row r="308" spans="5:5" x14ac:dyDescent="0.35">
      <c r="E308" s="5" t="s">
        <v>76</v>
      </c>
    </row>
    <row r="309" spans="5:5" x14ac:dyDescent="0.35">
      <c r="E309" s="5" t="s">
        <v>68</v>
      </c>
    </row>
    <row r="310" spans="5:5" x14ac:dyDescent="0.35">
      <c r="E310" s="5" t="s">
        <v>94</v>
      </c>
    </row>
    <row r="311" spans="5:5" x14ac:dyDescent="0.35">
      <c r="E311" s="5" t="s">
        <v>93</v>
      </c>
    </row>
    <row r="312" spans="5:5" x14ac:dyDescent="0.35">
      <c r="E312" s="5" t="s">
        <v>92</v>
      </c>
    </row>
    <row r="313" spans="5:5" x14ac:dyDescent="0.35">
      <c r="E313" s="5" t="s">
        <v>97</v>
      </c>
    </row>
    <row r="314" spans="5:5" x14ac:dyDescent="0.35">
      <c r="E314" s="5" t="s">
        <v>96</v>
      </c>
    </row>
    <row r="315" spans="5:5" x14ac:dyDescent="0.35">
      <c r="E315" s="5" t="s">
        <v>95</v>
      </c>
    </row>
  </sheetData>
  <sortState xmlns:xlrd2="http://schemas.microsoft.com/office/spreadsheetml/2017/richdata2" ref="A9:M63">
    <sortCondition ref="A63"/>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530B5-EB05-4269-B0A3-B8E6CA7CE707}">
  <dimension ref="A1:V317"/>
  <sheetViews>
    <sheetView workbookViewId="0">
      <pane ySplit="8" topLeftCell="A32" activePane="bottomLeft" state="frozen"/>
      <selection pane="bottomLeft" activeCell="K44" sqref="K44"/>
    </sheetView>
  </sheetViews>
  <sheetFormatPr defaultColWidth="35.54296875" defaultRowHeight="14.5" x14ac:dyDescent="0.35"/>
  <cols>
    <col min="1" max="1" width="33.26953125" style="5" bestFit="1" customWidth="1"/>
    <col min="2" max="2" width="19.54296875" style="5" bestFit="1" customWidth="1"/>
    <col min="3" max="3" width="10.1796875" style="5" bestFit="1" customWidth="1"/>
    <col min="4" max="4" width="15.81640625" style="5" bestFit="1" customWidth="1"/>
    <col min="5" max="5" width="8.7265625" style="5" bestFit="1" customWidth="1"/>
    <col min="6" max="6" width="11.1796875" style="5" bestFit="1" customWidth="1"/>
    <col min="7" max="7" width="71.1796875" style="5" customWidth="1"/>
    <col min="8" max="8" width="16.26953125" style="5" bestFit="1" customWidth="1"/>
    <col min="9" max="9" width="10.1796875" bestFit="1" customWidth="1"/>
    <col min="10" max="10" width="10.26953125" style="5" bestFit="1" customWidth="1"/>
    <col min="11" max="11" width="14.453125" style="5" bestFit="1" customWidth="1"/>
    <col min="12" max="12" width="26.54296875" style="5" bestFit="1" customWidth="1"/>
    <col min="13" max="13" width="7.54296875" style="5" bestFit="1" customWidth="1"/>
    <col min="14" max="14" width="43.1796875" style="5" bestFit="1" customWidth="1"/>
    <col min="15" max="15" width="35.54296875" style="5"/>
    <col min="16" max="16" width="11" style="5" bestFit="1" customWidth="1"/>
    <col min="17" max="17" width="10.1796875" style="5" bestFit="1" customWidth="1"/>
    <col min="18" max="18" width="35.54296875" style="5"/>
    <col min="19" max="19" width="35.7265625" style="5" bestFit="1" customWidth="1"/>
    <col min="20" max="20" width="39" style="5" bestFit="1" customWidth="1"/>
    <col min="21" max="21" width="15.81640625" style="5" bestFit="1" customWidth="1"/>
    <col min="22" max="22" width="8.7265625" style="5" bestFit="1" customWidth="1"/>
    <col min="23" max="16384" width="35.54296875" style="5"/>
  </cols>
  <sheetData>
    <row r="1" spans="1:22" x14ac:dyDescent="0.35">
      <c r="A1" s="4" t="s">
        <v>1524</v>
      </c>
      <c r="B1" s="4">
        <v>2025</v>
      </c>
      <c r="S1" s="22" t="s">
        <v>1524</v>
      </c>
      <c r="T1" s="14">
        <v>2024</v>
      </c>
      <c r="U1" s="23"/>
      <c r="V1" s="23"/>
    </row>
    <row r="2" spans="1:22" x14ac:dyDescent="0.35">
      <c r="A2" s="6" t="s">
        <v>1</v>
      </c>
      <c r="B2" s="7">
        <f>SUM(H2:H3)</f>
        <v>50895</v>
      </c>
      <c r="G2" s="6" t="s">
        <v>1525</v>
      </c>
      <c r="H2" s="7">
        <f>SUM(D9:D34)</f>
        <v>43045</v>
      </c>
      <c r="K2" s="11" t="s">
        <v>2</v>
      </c>
      <c r="S2" s="24" t="s">
        <v>1</v>
      </c>
      <c r="T2" s="7">
        <f>SUM(U11:U27)</f>
        <v>33500</v>
      </c>
      <c r="U2" s="23"/>
      <c r="V2" s="23"/>
    </row>
    <row r="3" spans="1:22" x14ac:dyDescent="0.35">
      <c r="A3" s="6" t="s">
        <v>3</v>
      </c>
      <c r="B3" s="7">
        <v>46000</v>
      </c>
      <c r="G3" s="6" t="s">
        <v>1526</v>
      </c>
      <c r="H3" s="7">
        <f>SUM(D41:D61)</f>
        <v>7850</v>
      </c>
      <c r="K3" s="7">
        <f>SUM(K65-B2)</f>
        <v>-10090</v>
      </c>
      <c r="S3" s="24" t="s">
        <v>1527</v>
      </c>
      <c r="T3" s="7">
        <f>SUM(U30:U40)</f>
        <v>6900</v>
      </c>
      <c r="U3" s="23"/>
      <c r="V3" s="23"/>
    </row>
    <row r="4" spans="1:22" x14ac:dyDescent="0.35">
      <c r="A4" s="6" t="s">
        <v>4</v>
      </c>
      <c r="B4" s="7">
        <f>MIN(B2-B3)</f>
        <v>4895</v>
      </c>
      <c r="H4" s="21"/>
      <c r="K4" s="42">
        <f>K65/B2</f>
        <v>0.80174869830042239</v>
      </c>
      <c r="S4" s="25" t="s">
        <v>1528</v>
      </c>
      <c r="T4" s="29">
        <f>SUM(T2:T3)</f>
        <v>40400</v>
      </c>
      <c r="U4" s="23"/>
      <c r="V4" s="23"/>
    </row>
    <row r="5" spans="1:22" x14ac:dyDescent="0.35">
      <c r="A5" s="6" t="s">
        <v>5</v>
      </c>
      <c r="B5" s="7">
        <v>46000</v>
      </c>
      <c r="S5" s="25" t="s">
        <v>3</v>
      </c>
      <c r="T5" s="29">
        <v>41500</v>
      </c>
      <c r="U5" s="23"/>
      <c r="V5" s="23"/>
    </row>
    <row r="6" spans="1:22" x14ac:dyDescent="0.35">
      <c r="A6" s="6" t="s">
        <v>4</v>
      </c>
      <c r="B6" s="7">
        <f>MIN(B2-B5)</f>
        <v>4895</v>
      </c>
      <c r="S6" s="25" t="s">
        <v>4</v>
      </c>
      <c r="T6" s="29">
        <f>SUM(T4-T5)</f>
        <v>-1100</v>
      </c>
      <c r="U6" s="23"/>
      <c r="V6" s="23"/>
    </row>
    <row r="7" spans="1:22" x14ac:dyDescent="0.35">
      <c r="S7" s="24" t="s">
        <v>5</v>
      </c>
      <c r="T7" s="7">
        <v>41500</v>
      </c>
      <c r="U7" s="23"/>
      <c r="V7" s="23"/>
    </row>
    <row r="8" spans="1:22"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c r="S8" s="24" t="s">
        <v>4</v>
      </c>
      <c r="T8" s="7">
        <f>MIN(T4-T7)</f>
        <v>-1100</v>
      </c>
      <c r="U8" s="23"/>
      <c r="V8" s="23"/>
    </row>
    <row r="9" spans="1:22" ht="43.5" x14ac:dyDescent="0.35">
      <c r="A9" s="9" t="s">
        <v>285</v>
      </c>
      <c r="B9" s="9" t="s">
        <v>23</v>
      </c>
      <c r="C9" s="10">
        <v>20000</v>
      </c>
      <c r="D9" s="10">
        <v>15000</v>
      </c>
      <c r="E9" s="9" t="s">
        <v>95</v>
      </c>
      <c r="F9" s="9" t="s">
        <v>303</v>
      </c>
      <c r="G9" s="9"/>
      <c r="H9" s="172" t="s">
        <v>27</v>
      </c>
      <c r="I9" s="34"/>
      <c r="J9" s="127" t="s">
        <v>304</v>
      </c>
      <c r="K9" s="278">
        <v>15000</v>
      </c>
      <c r="L9" s="9" t="s">
        <v>305</v>
      </c>
      <c r="M9" s="9"/>
      <c r="N9" s="9" t="s">
        <v>306</v>
      </c>
      <c r="P9" s="39" t="s">
        <v>24</v>
      </c>
      <c r="Q9" s="10">
        <v>8100</v>
      </c>
      <c r="S9" s="23"/>
      <c r="T9" s="23"/>
      <c r="U9" s="23"/>
      <c r="V9" s="23"/>
    </row>
    <row r="10" spans="1:22" ht="29" x14ac:dyDescent="0.35">
      <c r="A10" s="9" t="s">
        <v>40</v>
      </c>
      <c r="B10" s="9" t="s">
        <v>32</v>
      </c>
      <c r="C10" s="10">
        <v>5000</v>
      </c>
      <c r="D10" s="10">
        <v>6795</v>
      </c>
      <c r="E10" s="9" t="s">
        <v>37</v>
      </c>
      <c r="F10" s="9" t="s">
        <v>42</v>
      </c>
      <c r="G10" s="9" t="s">
        <v>1529</v>
      </c>
      <c r="H10" s="123" t="s">
        <v>27</v>
      </c>
      <c r="I10" s="34"/>
      <c r="J10" s="267">
        <v>46008</v>
      </c>
      <c r="K10" s="279">
        <v>3205</v>
      </c>
      <c r="L10" s="5" t="s">
        <v>45</v>
      </c>
      <c r="N10" s="86" t="s">
        <v>46</v>
      </c>
      <c r="P10" s="39" t="s">
        <v>37</v>
      </c>
      <c r="Q10" s="10">
        <v>12545</v>
      </c>
      <c r="S10" s="26" t="s">
        <v>6</v>
      </c>
      <c r="T10" s="26" t="s">
        <v>21</v>
      </c>
      <c r="U10" s="26" t="s">
        <v>9</v>
      </c>
      <c r="V10" s="26" t="s">
        <v>10</v>
      </c>
    </row>
    <row r="11" spans="1:22" ht="29" x14ac:dyDescent="0.35">
      <c r="A11" s="9" t="s">
        <v>194</v>
      </c>
      <c r="B11" s="9" t="s">
        <v>32</v>
      </c>
      <c r="C11" s="10">
        <v>5000</v>
      </c>
      <c r="D11" s="10">
        <v>5000</v>
      </c>
      <c r="E11" s="9" t="s">
        <v>56</v>
      </c>
      <c r="F11" s="9" t="s">
        <v>195</v>
      </c>
      <c r="G11" s="9"/>
      <c r="H11" s="163" t="s">
        <v>27</v>
      </c>
      <c r="I11" s="34"/>
      <c r="J11" s="127"/>
      <c r="K11" s="278">
        <v>5000</v>
      </c>
      <c r="L11" s="9" t="s">
        <v>196</v>
      </c>
      <c r="M11" s="9"/>
      <c r="N11" s="9" t="s">
        <v>197</v>
      </c>
      <c r="P11" s="39" t="s">
        <v>47</v>
      </c>
      <c r="Q11" s="10"/>
      <c r="S11" s="83" t="s">
        <v>338</v>
      </c>
      <c r="T11" s="83" t="s">
        <v>1530</v>
      </c>
      <c r="U11" s="55">
        <v>0</v>
      </c>
      <c r="V11" s="83" t="s">
        <v>95</v>
      </c>
    </row>
    <row r="12" spans="1:22" x14ac:dyDescent="0.35">
      <c r="A12" s="9" t="s">
        <v>48</v>
      </c>
      <c r="B12" s="9" t="s">
        <v>1531</v>
      </c>
      <c r="C12" s="10">
        <v>3500</v>
      </c>
      <c r="D12" s="10">
        <v>2500</v>
      </c>
      <c r="E12" s="9" t="s">
        <v>24</v>
      </c>
      <c r="F12" s="9" t="s">
        <v>64</v>
      </c>
      <c r="G12" s="9"/>
      <c r="H12" s="165"/>
      <c r="I12" s="34"/>
      <c r="J12" s="127" t="s">
        <v>65</v>
      </c>
      <c r="K12" s="278">
        <v>2500</v>
      </c>
      <c r="L12" s="9" t="s">
        <v>66</v>
      </c>
      <c r="M12" s="9"/>
      <c r="N12" s="9" t="s">
        <v>67</v>
      </c>
      <c r="P12" s="39" t="s">
        <v>50</v>
      </c>
      <c r="Q12" s="10"/>
      <c r="S12" s="83" t="s">
        <v>1532</v>
      </c>
      <c r="T12" s="83" t="s">
        <v>1530</v>
      </c>
      <c r="U12" s="55">
        <v>1000</v>
      </c>
      <c r="V12" s="83" t="s">
        <v>56</v>
      </c>
    </row>
    <row r="13" spans="1:22" ht="29" x14ac:dyDescent="0.35">
      <c r="A13" s="9" t="s">
        <v>346</v>
      </c>
      <c r="B13" s="9" t="s">
        <v>1531</v>
      </c>
      <c r="C13" s="10">
        <v>3500</v>
      </c>
      <c r="D13" s="10">
        <v>3500</v>
      </c>
      <c r="E13" s="9" t="s">
        <v>86</v>
      </c>
      <c r="F13" s="9" t="s">
        <v>253</v>
      </c>
      <c r="G13" s="9"/>
      <c r="H13" s="165"/>
      <c r="I13" s="34"/>
      <c r="J13" s="127" t="s">
        <v>256</v>
      </c>
      <c r="K13" s="278">
        <v>3500</v>
      </c>
      <c r="L13" s="9" t="s">
        <v>348</v>
      </c>
      <c r="M13" s="9"/>
      <c r="N13" s="86" t="s">
        <v>349</v>
      </c>
      <c r="P13" s="39" t="s">
        <v>56</v>
      </c>
      <c r="Q13" s="10">
        <v>7250</v>
      </c>
      <c r="S13" s="83" t="s">
        <v>38</v>
      </c>
      <c r="T13" s="83" t="s">
        <v>1530</v>
      </c>
      <c r="U13" s="55">
        <v>1000</v>
      </c>
      <c r="V13" s="83" t="s">
        <v>24</v>
      </c>
    </row>
    <row r="14" spans="1:22" x14ac:dyDescent="0.35">
      <c r="A14" s="9"/>
      <c r="B14" s="9" t="s">
        <v>1531</v>
      </c>
      <c r="C14" s="10">
        <v>3500</v>
      </c>
      <c r="D14" s="10"/>
      <c r="E14" s="9"/>
      <c r="F14" s="9"/>
      <c r="G14" s="9"/>
      <c r="H14" s="165"/>
      <c r="I14" s="34"/>
      <c r="J14" s="127"/>
      <c r="K14" s="278"/>
      <c r="L14" s="9"/>
      <c r="M14" s="9"/>
      <c r="N14" s="9"/>
      <c r="P14" s="39" t="s">
        <v>62</v>
      </c>
      <c r="Q14" s="10"/>
      <c r="S14" s="83" t="s">
        <v>48</v>
      </c>
      <c r="T14" s="83" t="s">
        <v>1533</v>
      </c>
      <c r="U14" s="55">
        <v>2500</v>
      </c>
      <c r="V14" s="83" t="s">
        <v>37</v>
      </c>
    </row>
    <row r="15" spans="1:22" x14ac:dyDescent="0.35">
      <c r="A15" s="9" t="s">
        <v>57</v>
      </c>
      <c r="B15" s="9" t="s">
        <v>1530</v>
      </c>
      <c r="C15" s="10">
        <v>1250</v>
      </c>
      <c r="D15" s="10">
        <v>1000</v>
      </c>
      <c r="E15" s="9" t="s">
        <v>24</v>
      </c>
      <c r="F15" s="9" t="s">
        <v>58</v>
      </c>
      <c r="G15" s="9"/>
      <c r="H15" s="163" t="s">
        <v>27</v>
      </c>
      <c r="I15" s="34"/>
      <c r="J15" s="127" t="s">
        <v>1534</v>
      </c>
      <c r="K15" s="278">
        <v>253.75</v>
      </c>
      <c r="L15" s="9" t="s">
        <v>60</v>
      </c>
      <c r="M15" s="9"/>
      <c r="N15" s="9" t="s">
        <v>61</v>
      </c>
      <c r="P15" s="39" t="s">
        <v>68</v>
      </c>
      <c r="Q15" s="10"/>
      <c r="S15" s="27" t="s">
        <v>243</v>
      </c>
      <c r="T15" s="27" t="s">
        <v>1535</v>
      </c>
      <c r="U15" s="10">
        <v>0</v>
      </c>
      <c r="V15" s="27" t="s">
        <v>24</v>
      </c>
    </row>
    <row r="16" spans="1:22" x14ac:dyDescent="0.35">
      <c r="A16" s="43"/>
      <c r="B16" s="43"/>
      <c r="C16" s="43"/>
      <c r="D16" s="43"/>
      <c r="E16" s="43"/>
      <c r="F16" s="43"/>
      <c r="G16" s="43"/>
      <c r="H16" s="43"/>
      <c r="I16" s="33"/>
      <c r="J16" s="5" t="s">
        <v>59</v>
      </c>
      <c r="K16" s="280">
        <v>746.25</v>
      </c>
      <c r="L16" s="43"/>
      <c r="M16" s="43"/>
      <c r="N16" s="43"/>
      <c r="P16" s="39" t="s">
        <v>76</v>
      </c>
      <c r="Q16" s="10"/>
      <c r="S16" s="83" t="s">
        <v>285</v>
      </c>
      <c r="T16" s="83" t="s">
        <v>1531</v>
      </c>
      <c r="U16" s="55">
        <v>15000</v>
      </c>
      <c r="V16" s="83" t="s">
        <v>95</v>
      </c>
    </row>
    <row r="17" spans="1:22" x14ac:dyDescent="0.35">
      <c r="A17" s="9" t="s">
        <v>187</v>
      </c>
      <c r="B17" s="9" t="s">
        <v>1530</v>
      </c>
      <c r="C17" s="10">
        <v>1250</v>
      </c>
      <c r="D17" s="10">
        <v>1000</v>
      </c>
      <c r="E17" s="9" t="s">
        <v>24</v>
      </c>
      <c r="F17" s="9" t="s">
        <v>189</v>
      </c>
      <c r="G17" s="9"/>
      <c r="H17" s="163" t="s">
        <v>27</v>
      </c>
      <c r="I17" s="34"/>
      <c r="J17" s="127" t="s">
        <v>172</v>
      </c>
      <c r="K17" s="278">
        <v>1000</v>
      </c>
      <c r="L17" s="9" t="s">
        <v>190</v>
      </c>
      <c r="M17" s="9"/>
      <c r="N17" s="9" t="s">
        <v>191</v>
      </c>
      <c r="P17" s="39" t="s">
        <v>81</v>
      </c>
      <c r="Q17" s="10">
        <v>1000</v>
      </c>
      <c r="S17" s="83" t="s">
        <v>57</v>
      </c>
      <c r="T17" s="83" t="s">
        <v>1530</v>
      </c>
      <c r="U17" s="55">
        <v>1000</v>
      </c>
      <c r="V17" s="83" t="s">
        <v>24</v>
      </c>
    </row>
    <row r="18" spans="1:22" x14ac:dyDescent="0.35">
      <c r="A18" s="9" t="s">
        <v>313</v>
      </c>
      <c r="B18" s="9" t="s">
        <v>1530</v>
      </c>
      <c r="C18" s="10">
        <v>1250</v>
      </c>
      <c r="D18" s="10">
        <v>1000</v>
      </c>
      <c r="E18" s="9" t="s">
        <v>95</v>
      </c>
      <c r="F18" s="9" t="s">
        <v>643</v>
      </c>
      <c r="G18" s="9"/>
      <c r="H18" s="163" t="s">
        <v>27</v>
      </c>
      <c r="I18" s="34"/>
      <c r="J18" s="127" t="s">
        <v>290</v>
      </c>
      <c r="K18" s="278">
        <v>1000</v>
      </c>
      <c r="L18" s="9" t="s">
        <v>1173</v>
      </c>
      <c r="M18" s="9"/>
      <c r="N18" s="9" t="s">
        <v>1174</v>
      </c>
      <c r="P18" s="39" t="s">
        <v>86</v>
      </c>
      <c r="Q18" s="10">
        <v>3500</v>
      </c>
      <c r="S18" s="83" t="s">
        <v>313</v>
      </c>
      <c r="T18" s="83" t="s">
        <v>1530</v>
      </c>
      <c r="U18" s="55">
        <v>1000</v>
      </c>
      <c r="V18" s="83" t="s">
        <v>95</v>
      </c>
    </row>
    <row r="19" spans="1:22" x14ac:dyDescent="0.35">
      <c r="A19" s="9" t="s">
        <v>232</v>
      </c>
      <c r="B19" s="9" t="s">
        <v>1530</v>
      </c>
      <c r="C19" s="10">
        <v>1250</v>
      </c>
      <c r="D19" s="10">
        <v>1000</v>
      </c>
      <c r="E19" s="9" t="s">
        <v>24</v>
      </c>
      <c r="F19" s="9" t="s">
        <v>42</v>
      </c>
      <c r="G19" s="9"/>
      <c r="H19" s="165"/>
      <c r="I19" s="34"/>
      <c r="J19" s="127" t="s">
        <v>768</v>
      </c>
      <c r="K19" s="278">
        <v>1000</v>
      </c>
      <c r="L19" s="9" t="s">
        <v>233</v>
      </c>
      <c r="M19" s="9"/>
      <c r="N19" s="9" t="s">
        <v>234</v>
      </c>
      <c r="P19" s="39" t="s">
        <v>90</v>
      </c>
      <c r="Q19" s="10"/>
      <c r="S19" s="83" t="s">
        <v>87</v>
      </c>
      <c r="T19" s="83" t="s">
        <v>1530</v>
      </c>
      <c r="U19" s="55">
        <v>1000</v>
      </c>
      <c r="V19" s="83" t="s">
        <v>24</v>
      </c>
    </row>
    <row r="20" spans="1:22" x14ac:dyDescent="0.35">
      <c r="A20" s="9" t="s">
        <v>1532</v>
      </c>
      <c r="B20" s="9" t="s">
        <v>1530</v>
      </c>
      <c r="C20" s="10">
        <v>1250</v>
      </c>
      <c r="D20" s="10">
        <v>1000</v>
      </c>
      <c r="E20" s="9" t="s">
        <v>56</v>
      </c>
      <c r="F20" s="9" t="s">
        <v>1536</v>
      </c>
      <c r="G20" s="9" t="s">
        <v>1537</v>
      </c>
      <c r="H20" s="165"/>
      <c r="I20" s="34"/>
      <c r="J20" s="127"/>
      <c r="K20" s="278">
        <v>1000</v>
      </c>
      <c r="L20" s="9"/>
      <c r="M20" s="9"/>
      <c r="N20" s="9"/>
      <c r="P20" s="39" t="s">
        <v>91</v>
      </c>
      <c r="Q20" s="10"/>
      <c r="S20" s="27" t="s">
        <v>279</v>
      </c>
      <c r="T20" s="27" t="s">
        <v>1530</v>
      </c>
      <c r="U20" s="10">
        <v>1000</v>
      </c>
      <c r="V20" s="27" t="s">
        <v>24</v>
      </c>
    </row>
    <row r="21" spans="1:22" ht="29" x14ac:dyDescent="0.35">
      <c r="A21" s="9" t="s">
        <v>338</v>
      </c>
      <c r="B21" s="9" t="s">
        <v>1530</v>
      </c>
      <c r="C21" s="10">
        <v>1250</v>
      </c>
      <c r="D21" s="10">
        <v>0</v>
      </c>
      <c r="E21" s="9" t="s">
        <v>95</v>
      </c>
      <c r="F21" s="9" t="s">
        <v>103</v>
      </c>
      <c r="G21" s="9" t="s">
        <v>1538</v>
      </c>
      <c r="H21" s="165"/>
      <c r="I21" s="34"/>
      <c r="J21" s="127"/>
      <c r="K21" s="10">
        <v>0</v>
      </c>
      <c r="L21" s="9" t="s">
        <v>339</v>
      </c>
      <c r="M21" s="9"/>
      <c r="N21" s="87" t="s">
        <v>340</v>
      </c>
      <c r="P21" s="39" t="s">
        <v>92</v>
      </c>
      <c r="Q21" s="10">
        <v>1000</v>
      </c>
      <c r="S21" s="83" t="s">
        <v>146</v>
      </c>
      <c r="T21" s="83" t="s">
        <v>1530</v>
      </c>
      <c r="U21" s="55">
        <v>1000</v>
      </c>
      <c r="V21" s="83" t="s">
        <v>24</v>
      </c>
    </row>
    <row r="22" spans="1:22" x14ac:dyDescent="0.35">
      <c r="A22" s="9" t="s">
        <v>374</v>
      </c>
      <c r="B22" s="9" t="s">
        <v>1530</v>
      </c>
      <c r="C22" s="10">
        <v>1250</v>
      </c>
      <c r="D22" s="10">
        <v>1000</v>
      </c>
      <c r="E22" s="9" t="s">
        <v>81</v>
      </c>
      <c r="F22" s="9" t="s">
        <v>304</v>
      </c>
      <c r="G22" s="9" t="s">
        <v>1539</v>
      </c>
      <c r="H22" s="165"/>
      <c r="I22" s="34"/>
      <c r="J22" s="242">
        <v>45999</v>
      </c>
      <c r="K22" s="278">
        <v>1000</v>
      </c>
      <c r="L22" s="9" t="s">
        <v>1540</v>
      </c>
      <c r="M22" s="9"/>
      <c r="N22" s="119" t="s">
        <v>1541</v>
      </c>
      <c r="P22" s="39" t="s">
        <v>93</v>
      </c>
      <c r="Q22" s="10"/>
      <c r="S22" s="83" t="s">
        <v>352</v>
      </c>
      <c r="T22" s="83" t="s">
        <v>1530</v>
      </c>
      <c r="U22" s="55">
        <v>1000</v>
      </c>
      <c r="V22" s="83" t="s">
        <v>93</v>
      </c>
    </row>
    <row r="23" spans="1:22" x14ac:dyDescent="0.35">
      <c r="A23" s="9" t="s">
        <v>146</v>
      </c>
      <c r="B23" s="9" t="s">
        <v>1530</v>
      </c>
      <c r="C23" s="10">
        <v>1250</v>
      </c>
      <c r="D23" s="10">
        <v>1000</v>
      </c>
      <c r="E23" s="9" t="s">
        <v>24</v>
      </c>
      <c r="F23" s="9" t="s">
        <v>147</v>
      </c>
      <c r="G23" s="9"/>
      <c r="H23" s="165"/>
      <c r="I23" s="34"/>
      <c r="J23" s="127" t="s">
        <v>148</v>
      </c>
      <c r="K23" s="278">
        <v>1000</v>
      </c>
      <c r="L23" s="9" t="s">
        <v>149</v>
      </c>
      <c r="M23" s="9"/>
      <c r="N23" s="9" t="s">
        <v>150</v>
      </c>
      <c r="P23" s="39" t="s">
        <v>94</v>
      </c>
      <c r="Q23" s="10"/>
      <c r="S23" s="83" t="s">
        <v>232</v>
      </c>
      <c r="T23" s="83" t="s">
        <v>1530</v>
      </c>
      <c r="U23" s="55">
        <v>1000</v>
      </c>
      <c r="V23" s="83" t="s">
        <v>24</v>
      </c>
    </row>
    <row r="24" spans="1:22" x14ac:dyDescent="0.35">
      <c r="A24" s="9" t="s">
        <v>352</v>
      </c>
      <c r="B24" s="9" t="s">
        <v>1530</v>
      </c>
      <c r="C24" s="10">
        <v>1250</v>
      </c>
      <c r="D24" s="10">
        <v>1000</v>
      </c>
      <c r="E24" s="9" t="s">
        <v>92</v>
      </c>
      <c r="F24" s="9" t="s">
        <v>353</v>
      </c>
      <c r="G24" s="9"/>
      <c r="H24" s="165"/>
      <c r="I24" s="34"/>
      <c r="J24" s="127" t="s">
        <v>172</v>
      </c>
      <c r="K24" s="278">
        <v>1000</v>
      </c>
      <c r="L24" s="9" t="s">
        <v>354</v>
      </c>
      <c r="M24" s="9"/>
      <c r="N24" s="87" t="s">
        <v>355</v>
      </c>
      <c r="P24" s="39" t="s">
        <v>95</v>
      </c>
      <c r="Q24" s="10">
        <v>16000</v>
      </c>
      <c r="S24" s="27" t="s">
        <v>1542</v>
      </c>
      <c r="T24" s="27" t="s">
        <v>1543</v>
      </c>
      <c r="U24" s="10">
        <v>1500</v>
      </c>
      <c r="V24" s="27" t="s">
        <v>76</v>
      </c>
    </row>
    <row r="25" spans="1:22" x14ac:dyDescent="0.35">
      <c r="A25" s="9" t="s">
        <v>307</v>
      </c>
      <c r="B25" s="9" t="s">
        <v>1530</v>
      </c>
      <c r="C25" s="10">
        <v>1250</v>
      </c>
      <c r="D25" s="10">
        <v>1250</v>
      </c>
      <c r="E25" s="9" t="s">
        <v>56</v>
      </c>
      <c r="F25" s="9" t="s">
        <v>195</v>
      </c>
      <c r="G25" s="9"/>
      <c r="H25" s="165"/>
      <c r="I25" s="34"/>
      <c r="J25" s="127" t="s">
        <v>107</v>
      </c>
      <c r="K25" s="278">
        <v>1250</v>
      </c>
      <c r="L25" s="9" t="s">
        <v>1544</v>
      </c>
      <c r="M25" s="9"/>
      <c r="N25" s="9" t="s">
        <v>1545</v>
      </c>
      <c r="P25" s="39" t="s">
        <v>96</v>
      </c>
      <c r="Q25" s="10"/>
      <c r="S25" s="27" t="s">
        <v>507</v>
      </c>
      <c r="T25" s="27" t="s">
        <v>1530</v>
      </c>
      <c r="U25" s="10">
        <v>1000</v>
      </c>
      <c r="V25" s="27" t="s">
        <v>56</v>
      </c>
    </row>
    <row r="26" spans="1:22" x14ac:dyDescent="0.35">
      <c r="A26" s="9" t="s">
        <v>87</v>
      </c>
      <c r="B26" s="9" t="s">
        <v>1530</v>
      </c>
      <c r="C26" s="10">
        <v>1250</v>
      </c>
      <c r="D26" s="10">
        <v>1000</v>
      </c>
      <c r="E26" s="9" t="s">
        <v>24</v>
      </c>
      <c r="F26" s="9" t="s">
        <v>768</v>
      </c>
      <c r="G26" s="9"/>
      <c r="H26" s="165"/>
      <c r="I26" s="34"/>
      <c r="J26" s="127"/>
      <c r="K26" s="10"/>
      <c r="L26" s="9" t="s">
        <v>769</v>
      </c>
      <c r="M26" s="9"/>
      <c r="N26" s="9" t="s">
        <v>770</v>
      </c>
      <c r="P26" s="39" t="s">
        <v>97</v>
      </c>
      <c r="Q26" s="10">
        <v>1500</v>
      </c>
      <c r="S26" s="83" t="s">
        <v>1546</v>
      </c>
      <c r="T26" s="83" t="s">
        <v>1530</v>
      </c>
      <c r="U26" s="55">
        <v>1000</v>
      </c>
      <c r="V26" s="83" t="s">
        <v>56</v>
      </c>
    </row>
    <row r="27" spans="1:22" x14ac:dyDescent="0.35">
      <c r="A27" s="9"/>
      <c r="B27" s="9" t="s">
        <v>1530</v>
      </c>
      <c r="C27" s="10">
        <v>1250</v>
      </c>
      <c r="D27" s="10"/>
      <c r="E27" s="9"/>
      <c r="F27" s="9"/>
      <c r="G27" s="9"/>
      <c r="H27" s="165"/>
      <c r="I27" s="34"/>
      <c r="J27" s="127"/>
      <c r="K27" s="10"/>
      <c r="L27" s="9"/>
      <c r="M27" s="9"/>
      <c r="N27" s="9"/>
      <c r="P27" s="39" t="s">
        <v>98</v>
      </c>
      <c r="Q27" s="10"/>
      <c r="S27" s="83" t="s">
        <v>1523</v>
      </c>
      <c r="T27" s="83" t="s">
        <v>1533</v>
      </c>
      <c r="U27" s="55">
        <v>3500</v>
      </c>
      <c r="V27" s="83" t="s">
        <v>86</v>
      </c>
    </row>
    <row r="28" spans="1:22" x14ac:dyDescent="0.35">
      <c r="A28" s="9"/>
      <c r="B28" s="9" t="s">
        <v>1547</v>
      </c>
      <c r="C28" s="10">
        <v>2500</v>
      </c>
      <c r="D28" s="10"/>
      <c r="E28" s="9"/>
      <c r="F28" s="9"/>
      <c r="G28" s="9"/>
      <c r="H28" s="165"/>
      <c r="I28" s="34"/>
      <c r="J28" s="127"/>
      <c r="K28" s="10"/>
      <c r="L28" s="9"/>
      <c r="M28" s="9"/>
      <c r="N28" s="9"/>
      <c r="P28" s="39" t="s">
        <v>10</v>
      </c>
      <c r="Q28" s="10">
        <v>0</v>
      </c>
      <c r="S28" s="28"/>
      <c r="T28" s="28"/>
      <c r="U28" s="28"/>
      <c r="V28" s="28"/>
    </row>
    <row r="29" spans="1:22" x14ac:dyDescent="0.35">
      <c r="A29" s="9"/>
      <c r="B29" s="9" t="s">
        <v>1547</v>
      </c>
      <c r="C29" s="10">
        <v>2500</v>
      </c>
      <c r="D29" s="10"/>
      <c r="E29" s="9"/>
      <c r="F29" s="9"/>
      <c r="G29" s="9"/>
      <c r="H29" s="165"/>
      <c r="I29" s="34"/>
      <c r="J29" s="127"/>
      <c r="K29" s="10"/>
      <c r="L29" s="9"/>
      <c r="M29" s="9"/>
      <c r="N29" s="9"/>
      <c r="P29" s="45" t="s">
        <v>99</v>
      </c>
      <c r="Q29" s="46">
        <v>50895</v>
      </c>
      <c r="S29" s="28"/>
      <c r="T29" s="28"/>
      <c r="U29" s="28"/>
      <c r="V29" s="28"/>
    </row>
    <row r="30" spans="1:22" x14ac:dyDescent="0.35">
      <c r="A30" s="9"/>
      <c r="B30" s="9" t="s">
        <v>1547</v>
      </c>
      <c r="C30" s="10">
        <v>2500</v>
      </c>
      <c r="D30" s="10"/>
      <c r="E30" s="9"/>
      <c r="F30" s="9"/>
      <c r="G30" s="9"/>
      <c r="H30" s="165"/>
      <c r="I30" s="34"/>
      <c r="J30" s="127"/>
      <c r="K30" s="10"/>
      <c r="L30" s="9"/>
      <c r="M30" s="9"/>
      <c r="N30" s="9"/>
      <c r="S30" s="83" t="s">
        <v>31</v>
      </c>
      <c r="T30" s="83" t="s">
        <v>1548</v>
      </c>
      <c r="U30" s="55">
        <v>750</v>
      </c>
      <c r="V30" s="83" t="s">
        <v>37</v>
      </c>
    </row>
    <row r="31" spans="1:22" x14ac:dyDescent="0.35">
      <c r="A31" s="9"/>
      <c r="B31" s="9" t="s">
        <v>1549</v>
      </c>
      <c r="C31" s="10">
        <v>500</v>
      </c>
      <c r="D31" s="10"/>
      <c r="E31" s="9"/>
      <c r="F31" s="9"/>
      <c r="G31" s="9"/>
      <c r="H31" s="165"/>
      <c r="I31" s="34"/>
      <c r="J31" s="127"/>
      <c r="K31" s="10"/>
      <c r="L31" s="9"/>
      <c r="M31" s="9"/>
      <c r="N31" s="9"/>
      <c r="S31" s="83" t="s">
        <v>170</v>
      </c>
      <c r="T31" s="83" t="s">
        <v>1548</v>
      </c>
      <c r="U31" s="55">
        <v>750</v>
      </c>
      <c r="V31" s="83" t="s">
        <v>37</v>
      </c>
    </row>
    <row r="32" spans="1:22" x14ac:dyDescent="0.35">
      <c r="A32" s="9"/>
      <c r="B32" s="9" t="s">
        <v>1549</v>
      </c>
      <c r="C32" s="10">
        <v>500</v>
      </c>
      <c r="D32" s="10"/>
      <c r="E32" s="9"/>
      <c r="F32" s="9"/>
      <c r="G32" s="9"/>
      <c r="H32" s="165"/>
      <c r="I32" s="34"/>
      <c r="J32" s="127"/>
      <c r="K32" s="10"/>
      <c r="L32" s="9"/>
      <c r="M32" s="9"/>
      <c r="N32" s="9"/>
      <c r="S32" s="27" t="s">
        <v>38</v>
      </c>
      <c r="T32" s="27" t="s">
        <v>1548</v>
      </c>
      <c r="U32" s="10">
        <v>600</v>
      </c>
      <c r="V32" s="27" t="s">
        <v>24</v>
      </c>
    </row>
    <row r="33" spans="1:22" x14ac:dyDescent="0.35">
      <c r="A33" s="9"/>
      <c r="B33" s="9" t="s">
        <v>1549</v>
      </c>
      <c r="C33" s="10">
        <v>500</v>
      </c>
      <c r="D33" s="10"/>
      <c r="E33" s="9"/>
      <c r="F33" s="9"/>
      <c r="G33" s="9"/>
      <c r="H33" s="165"/>
      <c r="I33" s="34"/>
      <c r="J33" s="127"/>
      <c r="K33" s="10"/>
      <c r="L33" s="9"/>
      <c r="M33" s="9"/>
      <c r="N33" s="9"/>
      <c r="S33" s="27" t="s">
        <v>194</v>
      </c>
      <c r="T33" s="27" t="s">
        <v>1548</v>
      </c>
      <c r="U33" s="10">
        <v>750</v>
      </c>
      <c r="V33" s="27" t="s">
        <v>56</v>
      </c>
    </row>
    <row r="34" spans="1:22" x14ac:dyDescent="0.35">
      <c r="A34" s="9"/>
      <c r="B34" s="9" t="s">
        <v>1549</v>
      </c>
      <c r="C34" s="10">
        <v>500</v>
      </c>
      <c r="D34" s="10"/>
      <c r="E34" s="9"/>
      <c r="F34" s="9"/>
      <c r="G34" s="9"/>
      <c r="H34" s="165"/>
      <c r="I34" s="34"/>
      <c r="J34" s="127"/>
      <c r="K34" s="10"/>
      <c r="L34" s="9"/>
      <c r="M34" s="9"/>
      <c r="N34" s="9"/>
      <c r="S34" s="83" t="s">
        <v>146</v>
      </c>
      <c r="T34" s="83" t="s">
        <v>1548</v>
      </c>
      <c r="U34" s="55">
        <v>600</v>
      </c>
      <c r="V34" s="83" t="s">
        <v>24</v>
      </c>
    </row>
    <row r="35" spans="1:22" x14ac:dyDescent="0.35">
      <c r="K35" s="21"/>
      <c r="S35" s="83" t="s">
        <v>232</v>
      </c>
      <c r="T35" s="83" t="s">
        <v>1548</v>
      </c>
      <c r="U35" s="55">
        <v>600</v>
      </c>
      <c r="V35" s="83" t="s">
        <v>24</v>
      </c>
    </row>
    <row r="36" spans="1:22" x14ac:dyDescent="0.35">
      <c r="K36" s="21"/>
      <c r="S36" s="83" t="s">
        <v>235</v>
      </c>
      <c r="T36" s="83" t="s">
        <v>1548</v>
      </c>
      <c r="U36" s="55">
        <v>750</v>
      </c>
      <c r="V36" s="83" t="s">
        <v>37</v>
      </c>
    </row>
    <row r="37" spans="1:22" x14ac:dyDescent="0.35">
      <c r="K37" s="21"/>
      <c r="S37" s="27" t="s">
        <v>507</v>
      </c>
      <c r="T37" s="27" t="s">
        <v>1548</v>
      </c>
      <c r="U37" s="10">
        <v>750</v>
      </c>
      <c r="V37" s="27" t="s">
        <v>56</v>
      </c>
    </row>
    <row r="38" spans="1:22" x14ac:dyDescent="0.35">
      <c r="K38" s="21"/>
      <c r="S38" s="27" t="s">
        <v>584</v>
      </c>
      <c r="T38" s="27" t="s">
        <v>1550</v>
      </c>
      <c r="U38" s="10">
        <v>0</v>
      </c>
      <c r="V38" s="27"/>
    </row>
    <row r="39" spans="1:22" x14ac:dyDescent="0.35">
      <c r="K39" s="21"/>
      <c r="S39" s="83" t="s">
        <v>52</v>
      </c>
      <c r="T39" s="83" t="s">
        <v>1548</v>
      </c>
      <c r="U39" s="55">
        <v>600</v>
      </c>
      <c r="V39" s="83" t="s">
        <v>24</v>
      </c>
    </row>
    <row r="40" spans="1:22" x14ac:dyDescent="0.35">
      <c r="A40" s="12" t="s">
        <v>6</v>
      </c>
      <c r="B40" s="12" t="s">
        <v>1551</v>
      </c>
      <c r="C40" s="12" t="s">
        <v>8</v>
      </c>
      <c r="D40" s="12" t="s">
        <v>9</v>
      </c>
      <c r="E40" s="12" t="s">
        <v>10</v>
      </c>
      <c r="F40" s="12" t="s">
        <v>11</v>
      </c>
      <c r="G40" s="12" t="s">
        <v>12</v>
      </c>
      <c r="H40" s="11" t="s">
        <v>13</v>
      </c>
      <c r="I40" s="8" t="s">
        <v>14</v>
      </c>
      <c r="J40" s="12" t="s">
        <v>15</v>
      </c>
      <c r="K40" s="132" t="s">
        <v>16</v>
      </c>
      <c r="L40" s="12" t="s">
        <v>17</v>
      </c>
      <c r="M40" s="12" t="s">
        <v>18</v>
      </c>
      <c r="N40" s="12" t="s">
        <v>19</v>
      </c>
      <c r="S40" s="27" t="s">
        <v>718</v>
      </c>
      <c r="T40" s="27" t="s">
        <v>1548</v>
      </c>
      <c r="U40" s="10">
        <v>750</v>
      </c>
      <c r="V40" s="27" t="s">
        <v>90</v>
      </c>
    </row>
    <row r="41" spans="1:22" ht="29" x14ac:dyDescent="0.35">
      <c r="A41" s="9" t="s">
        <v>170</v>
      </c>
      <c r="B41" s="9" t="s">
        <v>1245</v>
      </c>
      <c r="C41" s="10">
        <v>850</v>
      </c>
      <c r="D41" s="10">
        <v>1000</v>
      </c>
      <c r="E41" s="9" t="s">
        <v>37</v>
      </c>
      <c r="F41" s="9" t="s">
        <v>227</v>
      </c>
      <c r="G41" s="9" t="s">
        <v>228</v>
      </c>
      <c r="H41" s="165"/>
      <c r="I41" s="34"/>
      <c r="J41" s="127"/>
      <c r="K41" s="10"/>
      <c r="L41" s="9" t="s">
        <v>230</v>
      </c>
      <c r="M41" s="9"/>
      <c r="N41" s="9" t="s">
        <v>231</v>
      </c>
    </row>
    <row r="42" spans="1:22" x14ac:dyDescent="0.35">
      <c r="A42" s="9" t="s">
        <v>52</v>
      </c>
      <c r="B42" s="9" t="s">
        <v>1245</v>
      </c>
      <c r="C42" s="10">
        <v>850</v>
      </c>
      <c r="D42" s="10">
        <v>1000</v>
      </c>
      <c r="E42" s="9" t="s">
        <v>37</v>
      </c>
      <c r="F42" s="9" t="s">
        <v>53</v>
      </c>
      <c r="G42" s="9"/>
      <c r="H42" s="173" t="s">
        <v>27</v>
      </c>
      <c r="I42" s="34"/>
      <c r="J42" s="254">
        <v>45908</v>
      </c>
      <c r="K42" s="35">
        <v>1000</v>
      </c>
      <c r="L42" s="34" t="s">
        <v>54</v>
      </c>
      <c r="M42" s="34"/>
      <c r="N42" s="34" t="s">
        <v>55</v>
      </c>
    </row>
    <row r="43" spans="1:22" x14ac:dyDescent="0.35">
      <c r="A43" s="9" t="s">
        <v>187</v>
      </c>
      <c r="B43" s="9" t="s">
        <v>1245</v>
      </c>
      <c r="C43" s="10">
        <v>850</v>
      </c>
      <c r="D43" s="10">
        <v>600</v>
      </c>
      <c r="E43" s="9" t="s">
        <v>24</v>
      </c>
      <c r="F43" s="9" t="s">
        <v>189</v>
      </c>
      <c r="G43" s="9"/>
      <c r="H43" s="163" t="s">
        <v>27</v>
      </c>
      <c r="I43" s="34"/>
      <c r="J43" s="127" t="s">
        <v>172</v>
      </c>
      <c r="K43" s="10">
        <v>600</v>
      </c>
      <c r="L43" s="9" t="s">
        <v>1552</v>
      </c>
      <c r="M43" s="9"/>
      <c r="N43" s="9" t="s">
        <v>191</v>
      </c>
    </row>
    <row r="44" spans="1:22" ht="29" x14ac:dyDescent="0.35">
      <c r="A44" s="9" t="s">
        <v>108</v>
      </c>
      <c r="B44" s="9" t="s">
        <v>1245</v>
      </c>
      <c r="C44" s="10">
        <v>850</v>
      </c>
      <c r="D44" s="10">
        <v>750</v>
      </c>
      <c r="E44" s="9" t="s">
        <v>97</v>
      </c>
      <c r="F44" s="9" t="s">
        <v>318</v>
      </c>
      <c r="G44" s="9"/>
      <c r="H44" s="163" t="s">
        <v>27</v>
      </c>
      <c r="I44" s="34"/>
      <c r="J44" s="127" t="s">
        <v>319</v>
      </c>
      <c r="K44" s="10">
        <v>750</v>
      </c>
      <c r="L44" s="9" t="s">
        <v>320</v>
      </c>
      <c r="M44" s="9"/>
      <c r="N44" s="9" t="s">
        <v>321</v>
      </c>
    </row>
    <row r="45" spans="1:22" x14ac:dyDescent="0.35">
      <c r="A45" s="9" t="s">
        <v>232</v>
      </c>
      <c r="B45" s="9" t="s">
        <v>1245</v>
      </c>
      <c r="C45" s="10">
        <v>850</v>
      </c>
      <c r="D45" s="10">
        <v>750</v>
      </c>
      <c r="E45" s="9" t="s">
        <v>37</v>
      </c>
      <c r="F45" s="9" t="s">
        <v>42</v>
      </c>
      <c r="G45" s="9"/>
      <c r="H45" s="165"/>
      <c r="I45" s="34"/>
      <c r="J45" s="127"/>
      <c r="K45" s="10"/>
      <c r="L45" s="9" t="s">
        <v>233</v>
      </c>
      <c r="M45" s="9"/>
      <c r="N45" s="9" t="s">
        <v>234</v>
      </c>
    </row>
    <row r="46" spans="1:22" x14ac:dyDescent="0.35">
      <c r="A46" s="9" t="s">
        <v>235</v>
      </c>
      <c r="B46" s="9" t="s">
        <v>1245</v>
      </c>
      <c r="C46" s="10">
        <v>850</v>
      </c>
      <c r="D46" s="10">
        <v>1000</v>
      </c>
      <c r="E46" s="9" t="s">
        <v>37</v>
      </c>
      <c r="F46" s="9" t="s">
        <v>236</v>
      </c>
      <c r="G46" s="9"/>
      <c r="H46" s="165"/>
      <c r="I46" s="34"/>
      <c r="J46" s="127"/>
      <c r="K46" s="10"/>
      <c r="L46" s="9" t="s">
        <v>237</v>
      </c>
      <c r="M46" s="9"/>
      <c r="N46" s="9" t="s">
        <v>238</v>
      </c>
    </row>
    <row r="47" spans="1:22" ht="29" x14ac:dyDescent="0.35">
      <c r="A47" s="9" t="s">
        <v>31</v>
      </c>
      <c r="B47" s="9" t="s">
        <v>1245</v>
      </c>
      <c r="C47" s="10">
        <v>850</v>
      </c>
      <c r="D47" s="10">
        <v>1000</v>
      </c>
      <c r="E47" s="9" t="s">
        <v>37</v>
      </c>
      <c r="F47" s="9" t="s">
        <v>33</v>
      </c>
      <c r="G47" s="9"/>
      <c r="H47" s="165"/>
      <c r="I47" s="34"/>
      <c r="J47" s="127"/>
      <c r="K47" s="10"/>
      <c r="L47" s="9" t="s">
        <v>35</v>
      </c>
      <c r="M47" s="9"/>
      <c r="N47" s="87" t="s">
        <v>36</v>
      </c>
    </row>
    <row r="48" spans="1:22" x14ac:dyDescent="0.35">
      <c r="A48" s="9" t="s">
        <v>146</v>
      </c>
      <c r="B48" s="9" t="s">
        <v>1245</v>
      </c>
      <c r="C48" s="10">
        <v>850</v>
      </c>
      <c r="D48" s="10">
        <v>1000</v>
      </c>
      <c r="E48" s="9" t="s">
        <v>37</v>
      </c>
      <c r="F48" s="9" t="s">
        <v>147</v>
      </c>
      <c r="G48" s="9"/>
      <c r="H48" s="165"/>
      <c r="I48" s="34"/>
      <c r="J48" s="127"/>
      <c r="K48" s="10"/>
      <c r="L48" s="9" t="s">
        <v>149</v>
      </c>
      <c r="M48" s="9"/>
      <c r="N48" s="9" t="s">
        <v>150</v>
      </c>
    </row>
    <row r="49" spans="1:14" ht="29" x14ac:dyDescent="0.35">
      <c r="A49" s="9" t="s">
        <v>363</v>
      </c>
      <c r="B49" s="9" t="s">
        <v>1245</v>
      </c>
      <c r="C49" s="10">
        <v>850</v>
      </c>
      <c r="D49" s="10">
        <v>750</v>
      </c>
      <c r="E49" s="9" t="s">
        <v>97</v>
      </c>
      <c r="F49" s="9" t="s">
        <v>161</v>
      </c>
      <c r="G49" s="9"/>
      <c r="H49" s="165"/>
      <c r="I49" s="34"/>
      <c r="J49" s="127"/>
      <c r="K49" s="10"/>
      <c r="L49" s="9" t="s">
        <v>399</v>
      </c>
      <c r="M49" s="9"/>
      <c r="N49" s="9" t="s">
        <v>400</v>
      </c>
    </row>
    <row r="50" spans="1:14" x14ac:dyDescent="0.35">
      <c r="A50" s="9"/>
      <c r="B50" s="9" t="s">
        <v>1245</v>
      </c>
      <c r="C50" s="10">
        <v>850</v>
      </c>
      <c r="D50" s="10"/>
      <c r="E50" s="9"/>
      <c r="F50" s="9"/>
      <c r="G50" s="9"/>
      <c r="H50" s="165"/>
      <c r="I50" s="34"/>
      <c r="J50" s="127"/>
      <c r="K50" s="10"/>
      <c r="L50" s="9"/>
      <c r="M50" s="9"/>
      <c r="N50" s="9"/>
    </row>
    <row r="51" spans="1:14" x14ac:dyDescent="0.35">
      <c r="A51" s="9"/>
      <c r="B51" s="9" t="s">
        <v>1550</v>
      </c>
      <c r="C51" s="10">
        <v>125</v>
      </c>
      <c r="D51" s="9"/>
      <c r="E51" s="9"/>
      <c r="F51" s="9"/>
      <c r="G51" s="9"/>
      <c r="H51" s="165"/>
      <c r="I51" s="34"/>
      <c r="J51" s="127"/>
      <c r="K51" s="10"/>
      <c r="L51" s="9"/>
      <c r="M51" s="9"/>
      <c r="N51" s="9"/>
    </row>
    <row r="52" spans="1:14" x14ac:dyDescent="0.35">
      <c r="A52" s="9"/>
      <c r="B52" s="9" t="s">
        <v>1550</v>
      </c>
      <c r="C52" s="10">
        <v>125</v>
      </c>
      <c r="D52" s="9"/>
      <c r="E52" s="9"/>
      <c r="F52" s="9"/>
      <c r="G52" s="9"/>
      <c r="H52" s="165"/>
      <c r="I52" s="34"/>
      <c r="J52" s="127"/>
      <c r="K52" s="10"/>
      <c r="L52" s="9"/>
      <c r="M52" s="9"/>
      <c r="N52" s="9"/>
    </row>
    <row r="53" spans="1:14" x14ac:dyDescent="0.35">
      <c r="A53" s="9"/>
      <c r="B53" s="9" t="s">
        <v>1550</v>
      </c>
      <c r="C53" s="10">
        <v>125</v>
      </c>
      <c r="D53" s="9"/>
      <c r="E53" s="9"/>
      <c r="F53" s="9"/>
      <c r="G53" s="9"/>
      <c r="H53" s="165"/>
      <c r="I53" s="34"/>
      <c r="J53" s="127"/>
      <c r="K53" s="10"/>
      <c r="L53" s="9"/>
      <c r="M53" s="9"/>
      <c r="N53" s="9"/>
    </row>
    <row r="54" spans="1:14" x14ac:dyDescent="0.35">
      <c r="A54" s="9"/>
      <c r="B54" s="9" t="s">
        <v>1550</v>
      </c>
      <c r="C54" s="10">
        <v>125</v>
      </c>
      <c r="D54" s="9"/>
      <c r="E54" s="9"/>
      <c r="F54" s="9"/>
      <c r="G54" s="9"/>
      <c r="H54" s="165"/>
      <c r="I54" s="34"/>
      <c r="J54" s="127"/>
      <c r="K54" s="10"/>
      <c r="L54" s="9"/>
      <c r="M54" s="9"/>
      <c r="N54" s="9"/>
    </row>
    <row r="55" spans="1:14" x14ac:dyDescent="0.35">
      <c r="A55" s="9"/>
      <c r="B55" s="9" t="s">
        <v>1550</v>
      </c>
      <c r="C55" s="10">
        <v>125</v>
      </c>
      <c r="D55" s="9"/>
      <c r="E55" s="9"/>
      <c r="F55" s="9"/>
      <c r="G55" s="9"/>
      <c r="H55" s="165"/>
      <c r="I55" s="34"/>
      <c r="J55" s="127"/>
      <c r="K55" s="10"/>
      <c r="L55" s="9"/>
      <c r="M55" s="9"/>
      <c r="N55" s="9"/>
    </row>
    <row r="56" spans="1:14" x14ac:dyDescent="0.35">
      <c r="A56" s="9"/>
      <c r="B56" s="9" t="s">
        <v>1550</v>
      </c>
      <c r="C56" s="10">
        <v>125</v>
      </c>
      <c r="D56" s="9"/>
      <c r="E56" s="9"/>
      <c r="F56" s="9"/>
      <c r="G56" s="9"/>
      <c r="H56" s="165"/>
      <c r="I56" s="34"/>
      <c r="J56" s="127"/>
      <c r="K56" s="10"/>
      <c r="L56" s="9"/>
      <c r="M56" s="9"/>
      <c r="N56" s="9"/>
    </row>
    <row r="57" spans="1:14" x14ac:dyDescent="0.35">
      <c r="A57" s="9"/>
      <c r="B57" s="9" t="s">
        <v>1550</v>
      </c>
      <c r="C57" s="10">
        <v>125</v>
      </c>
      <c r="D57" s="9"/>
      <c r="E57" s="9"/>
      <c r="F57" s="9"/>
      <c r="G57" s="9"/>
      <c r="H57" s="165"/>
      <c r="I57" s="34"/>
      <c r="J57" s="127"/>
      <c r="K57" s="10"/>
      <c r="L57" s="9"/>
      <c r="M57" s="9"/>
      <c r="N57" s="9"/>
    </row>
    <row r="58" spans="1:14" x14ac:dyDescent="0.35">
      <c r="A58" s="9"/>
      <c r="B58" s="9" t="s">
        <v>1550</v>
      </c>
      <c r="C58" s="10">
        <v>125</v>
      </c>
      <c r="D58" s="9"/>
      <c r="E58" s="9"/>
      <c r="F58" s="9"/>
      <c r="G58" s="9"/>
      <c r="H58" s="165"/>
      <c r="I58" s="34"/>
      <c r="J58" s="127"/>
      <c r="K58" s="10"/>
      <c r="L58" s="9"/>
      <c r="M58" s="9"/>
      <c r="N58" s="9"/>
    </row>
    <row r="59" spans="1:14" x14ac:dyDescent="0.35">
      <c r="A59" s="9"/>
      <c r="B59" s="9" t="s">
        <v>1550</v>
      </c>
      <c r="C59" s="10">
        <v>125</v>
      </c>
      <c r="D59" s="9"/>
      <c r="E59" s="9"/>
      <c r="F59" s="9"/>
      <c r="G59" s="9"/>
      <c r="H59" s="165"/>
      <c r="I59" s="34"/>
      <c r="J59" s="127"/>
      <c r="K59" s="10"/>
      <c r="L59" s="9"/>
      <c r="M59" s="9"/>
      <c r="N59" s="9"/>
    </row>
    <row r="60" spans="1:14" x14ac:dyDescent="0.35">
      <c r="A60" s="9"/>
      <c r="B60" s="9" t="s">
        <v>1550</v>
      </c>
      <c r="C60" s="10">
        <v>125</v>
      </c>
      <c r="D60" s="9"/>
      <c r="E60" s="9"/>
      <c r="F60" s="9"/>
      <c r="G60" s="9"/>
      <c r="H60" s="165"/>
      <c r="I60" s="34"/>
      <c r="J60" s="127"/>
      <c r="K60" s="10"/>
      <c r="L60" s="9"/>
      <c r="M60" s="9"/>
      <c r="N60" s="9"/>
    </row>
    <row r="61" spans="1:14" x14ac:dyDescent="0.35">
      <c r="A61" s="9"/>
      <c r="B61" s="9"/>
      <c r="C61" s="9"/>
      <c r="D61" s="9"/>
      <c r="E61" s="9"/>
      <c r="F61" s="9"/>
      <c r="G61" s="9"/>
      <c r="H61" s="165"/>
      <c r="I61" s="34"/>
      <c r="J61" s="127"/>
      <c r="K61" s="10"/>
      <c r="L61" s="9"/>
      <c r="M61" s="9"/>
      <c r="N61" s="9"/>
    </row>
    <row r="62" spans="1:14" x14ac:dyDescent="0.35">
      <c r="A62" s="9"/>
      <c r="B62" s="9"/>
      <c r="C62" s="9"/>
      <c r="D62" s="9"/>
      <c r="E62" s="9"/>
      <c r="F62" s="9"/>
      <c r="G62" s="9"/>
      <c r="H62" s="165"/>
      <c r="I62" s="34"/>
      <c r="J62" s="127"/>
      <c r="K62" s="10"/>
      <c r="L62" s="9"/>
      <c r="M62" s="9"/>
      <c r="N62" s="9"/>
    </row>
    <row r="65" spans="11:11" x14ac:dyDescent="0.35">
      <c r="K65" s="29">
        <f>SUM(K9:K64)</f>
        <v>40805</v>
      </c>
    </row>
    <row r="67" spans="11:11" x14ac:dyDescent="0.35">
      <c r="K67" s="21"/>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30:V40">
    <sortCondition ref="S30:S40"/>
  </sortState>
  <hyperlinks>
    <hyperlink ref="N47" r:id="rId2" display="mailto:Crystal.Floyd@acxiom.com" xr:uid="{6B8BFD31-535E-4346-B6BE-E0642F99A785}"/>
    <hyperlink ref="N10" r:id="rId3" xr:uid="{3BDCAC5A-CFE9-4781-9B8D-DB3801558750}"/>
    <hyperlink ref="N21" r:id="rId4" display="mailto:jfaulkner@cbc.edu" xr:uid="{57572587-F14A-4B93-9423-E9BD8DC0D146}"/>
    <hyperlink ref="N22" r:id="rId5" display="mailto:j.clawson@uwcark.org" xr:uid="{A9FF1608-EFDA-408C-B64E-341F4B393217}"/>
    <hyperlink ref="N13" r:id="rId6" display="mailto:ADuVall@rockefellerinstitute.org" xr:uid="{AEFA59A4-2DA2-476A-85BC-474A1495F786}"/>
    <hyperlink ref="N24" r:id="rId7" xr:uid="{7DE05C02-C6CD-42FA-BD2B-5324BAACC03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6744C-E674-4C30-9592-3543CDF8C1C6}">
  <dimension ref="A1:V317"/>
  <sheetViews>
    <sheetView workbookViewId="0">
      <pane ySplit="8" topLeftCell="A15" activePane="bottomLeft" state="frozen"/>
      <selection pane="bottomLeft" activeCell="K15" sqref="K15"/>
    </sheetView>
  </sheetViews>
  <sheetFormatPr defaultColWidth="23.453125" defaultRowHeight="14.5" x14ac:dyDescent="0.35"/>
  <cols>
    <col min="1" max="1" width="30.7265625" style="5" customWidth="1"/>
    <col min="2" max="2" width="14.453125" style="5" bestFit="1" customWidth="1"/>
    <col min="3" max="3" width="9.1796875" style="5" bestFit="1" customWidth="1"/>
    <col min="4" max="4" width="15.81640625" style="5" bestFit="1" customWidth="1"/>
    <col min="5" max="5" width="8.7265625" style="5" bestFit="1" customWidth="1"/>
    <col min="6" max="6" width="11.1796875" style="5" bestFit="1" customWidth="1"/>
    <col min="7" max="7" width="51.1796875" style="5" customWidth="1"/>
    <col min="8" max="8" width="16.26953125" style="5" bestFit="1" customWidth="1"/>
    <col min="9" max="9" width="12" bestFit="1" customWidth="1"/>
    <col min="10" max="10" width="10.26953125" style="5" bestFit="1" customWidth="1"/>
    <col min="11" max="11" width="14.453125" style="5" bestFit="1" customWidth="1"/>
    <col min="12" max="12" width="28" style="5" customWidth="1"/>
    <col min="13" max="13" width="7.54296875" style="5" bestFit="1" customWidth="1"/>
    <col min="14" max="14" width="33.1796875" style="5" bestFit="1" customWidth="1"/>
    <col min="15" max="15" width="23.453125" style="5"/>
    <col min="16" max="16" width="11" style="5" bestFit="1" customWidth="1"/>
    <col min="17" max="17" width="10.1796875" style="5" bestFit="1" customWidth="1"/>
    <col min="18" max="18" width="23.453125" style="5"/>
    <col min="19" max="19" width="36.453125" style="5" bestFit="1" customWidth="1"/>
    <col min="20" max="20" width="14.453125" style="5" bestFit="1" customWidth="1"/>
    <col min="21" max="21" width="15.81640625" style="5" bestFit="1" customWidth="1"/>
    <col min="22" max="22" width="8.7265625" style="5" bestFit="1" customWidth="1"/>
    <col min="23" max="16384" width="23.453125" style="5"/>
  </cols>
  <sheetData>
    <row r="1" spans="1:22" x14ac:dyDescent="0.35">
      <c r="A1" s="4" t="s">
        <v>1553</v>
      </c>
      <c r="B1" s="4">
        <v>2025</v>
      </c>
      <c r="S1" s="4" t="s">
        <v>1553</v>
      </c>
      <c r="T1" s="4">
        <v>2024</v>
      </c>
    </row>
    <row r="2" spans="1:22" ht="29" x14ac:dyDescent="0.35">
      <c r="A2" s="6" t="s">
        <v>1</v>
      </c>
      <c r="B2" s="7">
        <f>SUM(D9:D41)</f>
        <v>17150</v>
      </c>
      <c r="G2" s="47" t="s">
        <v>1554</v>
      </c>
      <c r="K2" s="11" t="s">
        <v>2</v>
      </c>
      <c r="S2" s="6" t="s">
        <v>1</v>
      </c>
      <c r="T2" s="7">
        <f>SUM(U9:U31)</f>
        <v>27925</v>
      </c>
    </row>
    <row r="3" spans="1:22" ht="29" x14ac:dyDescent="0.35">
      <c r="A3" s="6" t="s">
        <v>3</v>
      </c>
      <c r="B3" s="7">
        <v>18000</v>
      </c>
      <c r="G3" s="217" t="s">
        <v>1555</v>
      </c>
      <c r="K3" s="7">
        <f>SUM(K35-B2)</f>
        <v>-2500</v>
      </c>
      <c r="S3" s="6" t="s">
        <v>3</v>
      </c>
      <c r="T3" s="7">
        <v>16000</v>
      </c>
    </row>
    <row r="4" spans="1:22" x14ac:dyDescent="0.35">
      <c r="A4" s="6" t="s">
        <v>4</v>
      </c>
      <c r="B4" s="7">
        <f>MIN(B2-B3)</f>
        <v>-850</v>
      </c>
      <c r="K4" s="42">
        <f>K35/B2</f>
        <v>0.85422740524781338</v>
      </c>
      <c r="S4" s="6" t="s">
        <v>4</v>
      </c>
      <c r="T4" s="7">
        <f>MIN(T2-T3)</f>
        <v>11925</v>
      </c>
    </row>
    <row r="5" spans="1:22" x14ac:dyDescent="0.35">
      <c r="A5" s="6" t="s">
        <v>5</v>
      </c>
      <c r="B5" s="7">
        <v>32000</v>
      </c>
      <c r="S5" s="6" t="s">
        <v>5</v>
      </c>
      <c r="T5" s="7">
        <v>25000</v>
      </c>
    </row>
    <row r="6" spans="1:22" x14ac:dyDescent="0.35">
      <c r="A6" s="6" t="s">
        <v>4</v>
      </c>
      <c r="B6" s="7">
        <f>MIN(B2-B5)</f>
        <v>-14850</v>
      </c>
      <c r="S6" s="6" t="s">
        <v>4</v>
      </c>
      <c r="T6" s="7">
        <f>MIN(T2-T5)</f>
        <v>2925</v>
      </c>
    </row>
    <row r="8" spans="1:22"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c r="S8" s="8" t="s">
        <v>6</v>
      </c>
      <c r="T8" s="8" t="s">
        <v>21</v>
      </c>
      <c r="U8" s="8" t="s">
        <v>9</v>
      </c>
      <c r="V8" s="8" t="s">
        <v>10</v>
      </c>
    </row>
    <row r="9" spans="1:22" ht="29" x14ac:dyDescent="0.35">
      <c r="A9" s="9" t="s">
        <v>194</v>
      </c>
      <c r="B9" s="9" t="s">
        <v>23</v>
      </c>
      <c r="C9" s="10">
        <v>5000</v>
      </c>
      <c r="D9" s="10">
        <v>4500</v>
      </c>
      <c r="E9" s="9" t="s">
        <v>56</v>
      </c>
      <c r="F9" s="9" t="s">
        <v>195</v>
      </c>
      <c r="G9" s="9"/>
      <c r="H9" s="94" t="s">
        <v>27</v>
      </c>
      <c r="I9" s="34"/>
      <c r="J9" s="195" t="s">
        <v>1556</v>
      </c>
      <c r="K9" s="10">
        <f>1260+3240</f>
        <v>4500</v>
      </c>
      <c r="L9" s="9" t="s">
        <v>196</v>
      </c>
      <c r="M9" s="9"/>
      <c r="N9" s="9" t="s">
        <v>197</v>
      </c>
      <c r="P9" s="39" t="s">
        <v>24</v>
      </c>
      <c r="Q9" s="10">
        <v>6850</v>
      </c>
      <c r="S9" s="48" t="s">
        <v>31</v>
      </c>
      <c r="T9" s="48" t="s">
        <v>1557</v>
      </c>
      <c r="U9" s="55">
        <v>1000</v>
      </c>
      <c r="V9" s="48" t="s">
        <v>24</v>
      </c>
    </row>
    <row r="10" spans="1:22" x14ac:dyDescent="0.35">
      <c r="A10" s="9" t="s">
        <v>1493</v>
      </c>
      <c r="B10" s="9" t="s">
        <v>32</v>
      </c>
      <c r="C10" s="10">
        <v>2500</v>
      </c>
      <c r="D10" s="10">
        <v>2500</v>
      </c>
      <c r="E10" s="9" t="s">
        <v>24</v>
      </c>
      <c r="F10" s="9" t="s">
        <v>189</v>
      </c>
      <c r="G10" s="9"/>
      <c r="H10" s="94" t="s">
        <v>27</v>
      </c>
      <c r="I10" s="34"/>
      <c r="J10" s="9" t="s">
        <v>172</v>
      </c>
      <c r="K10" s="10">
        <v>2500</v>
      </c>
      <c r="L10" s="9" t="s">
        <v>190</v>
      </c>
      <c r="M10" s="9"/>
      <c r="N10" s="92" t="s">
        <v>191</v>
      </c>
      <c r="P10" s="39" t="s">
        <v>37</v>
      </c>
      <c r="Q10" s="10">
        <v>2500</v>
      </c>
      <c r="S10" s="9" t="s">
        <v>1558</v>
      </c>
      <c r="T10" s="9" t="s">
        <v>275</v>
      </c>
      <c r="U10" s="10">
        <v>0</v>
      </c>
      <c r="V10" s="9" t="s">
        <v>76</v>
      </c>
    </row>
    <row r="11" spans="1:22" x14ac:dyDescent="0.35">
      <c r="A11" s="9" t="s">
        <v>40</v>
      </c>
      <c r="B11" s="9" t="s">
        <v>32</v>
      </c>
      <c r="C11" s="10">
        <v>2500</v>
      </c>
      <c r="D11" s="10">
        <v>2500</v>
      </c>
      <c r="E11" s="9" t="s">
        <v>37</v>
      </c>
      <c r="F11" s="9" t="s">
        <v>42</v>
      </c>
      <c r="G11" s="9"/>
      <c r="H11" s="94" t="s">
        <v>27</v>
      </c>
      <c r="I11" s="34"/>
      <c r="J11" s="9"/>
      <c r="K11" s="10"/>
      <c r="L11" s="9" t="s">
        <v>45</v>
      </c>
      <c r="M11" s="9"/>
      <c r="N11" s="9" t="s">
        <v>46</v>
      </c>
      <c r="P11" s="39" t="s">
        <v>47</v>
      </c>
      <c r="Q11" s="10"/>
      <c r="S11" s="48" t="s">
        <v>126</v>
      </c>
      <c r="T11" s="48" t="s">
        <v>1557</v>
      </c>
      <c r="U11" s="55">
        <v>1000</v>
      </c>
      <c r="V11" s="48" t="s">
        <v>24</v>
      </c>
    </row>
    <row r="12" spans="1:22" x14ac:dyDescent="0.35">
      <c r="A12" s="9"/>
      <c r="B12" s="9" t="s">
        <v>32</v>
      </c>
      <c r="C12" s="10">
        <v>2500</v>
      </c>
      <c r="D12" s="10"/>
      <c r="E12" s="9"/>
      <c r="F12" s="9"/>
      <c r="G12" s="9"/>
      <c r="H12" s="9"/>
      <c r="I12" s="34"/>
      <c r="J12" s="9"/>
      <c r="K12" s="10"/>
      <c r="L12" s="9"/>
      <c r="M12" s="9"/>
      <c r="N12" s="9"/>
      <c r="P12" s="39" t="s">
        <v>50</v>
      </c>
      <c r="Q12" s="10"/>
      <c r="S12" s="9" t="s">
        <v>490</v>
      </c>
      <c r="T12" s="9" t="s">
        <v>1557</v>
      </c>
      <c r="U12" s="10">
        <v>1000</v>
      </c>
      <c r="V12" s="9" t="s">
        <v>93</v>
      </c>
    </row>
    <row r="13" spans="1:22" x14ac:dyDescent="0.35">
      <c r="A13" s="9" t="s">
        <v>137</v>
      </c>
      <c r="B13" s="9" t="s">
        <v>41</v>
      </c>
      <c r="C13" s="10">
        <v>1500</v>
      </c>
      <c r="D13" s="10">
        <v>1500</v>
      </c>
      <c r="E13" s="9" t="s">
        <v>95</v>
      </c>
      <c r="F13" s="9" t="s">
        <v>25</v>
      </c>
      <c r="G13" s="9"/>
      <c r="H13" s="9"/>
      <c r="I13" s="34" t="s">
        <v>1559</v>
      </c>
      <c r="J13" s="195">
        <v>45957</v>
      </c>
      <c r="K13" s="10">
        <v>1500</v>
      </c>
      <c r="L13" s="9" t="s">
        <v>382</v>
      </c>
      <c r="M13" s="9"/>
      <c r="N13" s="81" t="s">
        <v>581</v>
      </c>
      <c r="P13" s="39" t="s">
        <v>56</v>
      </c>
      <c r="Q13" s="10">
        <v>4800</v>
      </c>
      <c r="S13" s="48" t="s">
        <v>137</v>
      </c>
      <c r="T13" s="48" t="s">
        <v>41</v>
      </c>
      <c r="U13" s="55">
        <v>1500</v>
      </c>
      <c r="V13" s="48" t="s">
        <v>96</v>
      </c>
    </row>
    <row r="14" spans="1:22" x14ac:dyDescent="0.35">
      <c r="A14" s="9" t="s">
        <v>1391</v>
      </c>
      <c r="B14" s="9" t="s">
        <v>1557</v>
      </c>
      <c r="C14" s="10">
        <v>1500</v>
      </c>
      <c r="D14" s="10">
        <v>1000</v>
      </c>
      <c r="E14" s="9" t="s">
        <v>92</v>
      </c>
      <c r="F14" s="9" t="s">
        <v>650</v>
      </c>
      <c r="G14" s="9"/>
      <c r="H14" s="9"/>
      <c r="I14" s="34" t="s">
        <v>1559</v>
      </c>
      <c r="J14" s="195">
        <v>46006</v>
      </c>
      <c r="K14" s="10">
        <v>1000</v>
      </c>
      <c r="L14" s="9" t="s">
        <v>1380</v>
      </c>
      <c r="M14" s="9"/>
      <c r="N14" s="81" t="s">
        <v>1392</v>
      </c>
      <c r="P14" s="39" t="s">
        <v>62</v>
      </c>
      <c r="Q14" s="10"/>
      <c r="S14" s="9" t="s">
        <v>151</v>
      </c>
      <c r="T14" s="9" t="s">
        <v>1255</v>
      </c>
      <c r="U14" s="10">
        <v>1500</v>
      </c>
      <c r="V14" s="9" t="s">
        <v>95</v>
      </c>
    </row>
    <row r="15" spans="1:22" x14ac:dyDescent="0.35">
      <c r="A15" s="9"/>
      <c r="B15" s="9" t="s">
        <v>41</v>
      </c>
      <c r="C15" s="10">
        <v>1500</v>
      </c>
      <c r="D15" s="10"/>
      <c r="E15" s="9"/>
      <c r="F15" s="9"/>
      <c r="G15" s="9"/>
      <c r="H15" s="9"/>
      <c r="I15" s="34"/>
      <c r="J15" s="9"/>
      <c r="K15" s="10"/>
      <c r="L15" s="9"/>
      <c r="M15" s="9"/>
      <c r="N15" s="9"/>
      <c r="P15" s="39" t="s">
        <v>68</v>
      </c>
      <c r="Q15" s="10"/>
      <c r="S15" s="9" t="s">
        <v>181</v>
      </c>
      <c r="T15" s="9" t="s">
        <v>275</v>
      </c>
      <c r="U15" s="10">
        <v>0</v>
      </c>
      <c r="V15" s="9"/>
    </row>
    <row r="16" spans="1:22" x14ac:dyDescent="0.35">
      <c r="A16" s="9"/>
      <c r="B16" s="9" t="s">
        <v>1560</v>
      </c>
      <c r="C16" s="10">
        <v>1500</v>
      </c>
      <c r="D16" s="10"/>
      <c r="E16" s="9"/>
      <c r="F16" s="9"/>
      <c r="G16" s="9"/>
      <c r="H16" s="9"/>
      <c r="I16" s="34"/>
      <c r="J16" s="9"/>
      <c r="K16" s="10"/>
      <c r="L16" s="9"/>
      <c r="M16" s="9"/>
      <c r="N16" s="9"/>
      <c r="P16" s="39" t="s">
        <v>76</v>
      </c>
      <c r="Q16" s="10"/>
      <c r="S16" s="48" t="s">
        <v>198</v>
      </c>
      <c r="T16" s="48" t="s">
        <v>1557</v>
      </c>
      <c r="U16" s="55">
        <v>0</v>
      </c>
      <c r="V16" s="48" t="s">
        <v>95</v>
      </c>
    </row>
    <row r="17" spans="1:22" x14ac:dyDescent="0.35">
      <c r="A17" s="9" t="s">
        <v>1561</v>
      </c>
      <c r="B17" s="9" t="s">
        <v>1557</v>
      </c>
      <c r="C17" s="10">
        <v>1000</v>
      </c>
      <c r="D17" s="10">
        <v>500</v>
      </c>
      <c r="E17" s="9" t="s">
        <v>95</v>
      </c>
      <c r="F17" s="9" t="s">
        <v>119</v>
      </c>
      <c r="G17" s="9"/>
      <c r="H17" s="9"/>
      <c r="I17" s="34" t="s">
        <v>1559</v>
      </c>
      <c r="J17" s="195">
        <v>45960</v>
      </c>
      <c r="K17" s="10">
        <v>500</v>
      </c>
      <c r="L17" s="9" t="s">
        <v>122</v>
      </c>
      <c r="M17" s="9"/>
      <c r="N17" s="87" t="s">
        <v>123</v>
      </c>
      <c r="P17" s="39" t="s">
        <v>81</v>
      </c>
      <c r="Q17" s="10"/>
      <c r="S17" s="48" t="s">
        <v>38</v>
      </c>
      <c r="T17" s="48" t="s">
        <v>32</v>
      </c>
      <c r="U17" s="55">
        <v>2500</v>
      </c>
      <c r="V17" s="48" t="s">
        <v>24</v>
      </c>
    </row>
    <row r="18" spans="1:22" x14ac:dyDescent="0.35">
      <c r="A18" s="9" t="s">
        <v>48</v>
      </c>
      <c r="B18" s="9" t="s">
        <v>1557</v>
      </c>
      <c r="C18" s="10">
        <v>1000</v>
      </c>
      <c r="D18" s="10">
        <v>1000</v>
      </c>
      <c r="E18" s="9" t="s">
        <v>24</v>
      </c>
      <c r="F18" s="9" t="s">
        <v>64</v>
      </c>
      <c r="G18" s="9"/>
      <c r="H18" s="9"/>
      <c r="I18" s="34" t="s">
        <v>1559</v>
      </c>
      <c r="J18" s="195">
        <v>45961</v>
      </c>
      <c r="K18" s="10">
        <v>1000</v>
      </c>
      <c r="L18" s="9" t="s">
        <v>66</v>
      </c>
      <c r="M18" s="9"/>
      <c r="N18" s="87" t="s">
        <v>67</v>
      </c>
      <c r="P18" s="39" t="s">
        <v>86</v>
      </c>
      <c r="Q18" s="10"/>
      <c r="S18" s="48" t="s">
        <v>48</v>
      </c>
      <c r="T18" s="48" t="s">
        <v>1557</v>
      </c>
      <c r="U18" s="55">
        <v>1000</v>
      </c>
      <c r="V18" s="48" t="s">
        <v>24</v>
      </c>
    </row>
    <row r="19" spans="1:22" x14ac:dyDescent="0.35">
      <c r="A19" s="9" t="s">
        <v>235</v>
      </c>
      <c r="B19" s="9" t="s">
        <v>1557</v>
      </c>
      <c r="C19" s="10">
        <v>1000</v>
      </c>
      <c r="D19" s="10">
        <v>1000</v>
      </c>
      <c r="E19" s="9" t="s">
        <v>24</v>
      </c>
      <c r="F19" s="9" t="s">
        <v>236</v>
      </c>
      <c r="G19" s="9"/>
      <c r="H19" s="9"/>
      <c r="I19" s="34" t="s">
        <v>1559</v>
      </c>
      <c r="J19" s="195">
        <v>45967</v>
      </c>
      <c r="K19" s="10">
        <v>1000</v>
      </c>
      <c r="L19" s="9" t="s">
        <v>237</v>
      </c>
      <c r="M19" s="9"/>
      <c r="N19" s="9" t="s">
        <v>238</v>
      </c>
      <c r="P19" s="39" t="s">
        <v>90</v>
      </c>
      <c r="Q19" s="10"/>
      <c r="S19" s="112" t="s">
        <v>259</v>
      </c>
      <c r="T19" s="112" t="s">
        <v>23</v>
      </c>
      <c r="U19" s="113">
        <v>5000</v>
      </c>
      <c r="V19" s="112" t="s">
        <v>96</v>
      </c>
    </row>
    <row r="20" spans="1:22" ht="29" x14ac:dyDescent="0.35">
      <c r="A20" s="9" t="s">
        <v>31</v>
      </c>
      <c r="B20" s="9" t="s">
        <v>1557</v>
      </c>
      <c r="C20" s="10">
        <v>1000</v>
      </c>
      <c r="D20" s="10">
        <v>1000</v>
      </c>
      <c r="E20" s="9" t="s">
        <v>24</v>
      </c>
      <c r="F20" s="9" t="s">
        <v>33</v>
      </c>
      <c r="G20" s="9"/>
      <c r="H20" s="9"/>
      <c r="I20" s="34" t="s">
        <v>1559</v>
      </c>
      <c r="J20" s="195">
        <v>45981</v>
      </c>
      <c r="K20" s="10">
        <v>1000</v>
      </c>
      <c r="L20" s="9" t="s">
        <v>35</v>
      </c>
      <c r="M20" s="9"/>
      <c r="N20" s="87" t="s">
        <v>36</v>
      </c>
      <c r="P20" s="39" t="s">
        <v>91</v>
      </c>
      <c r="Q20" s="10"/>
      <c r="S20" s="9" t="s">
        <v>285</v>
      </c>
      <c r="T20" s="9" t="s">
        <v>1557</v>
      </c>
      <c r="U20" s="10">
        <v>0</v>
      </c>
      <c r="V20" s="9" t="s">
        <v>95</v>
      </c>
    </row>
    <row r="21" spans="1:22" x14ac:dyDescent="0.35">
      <c r="A21" s="9" t="s">
        <v>198</v>
      </c>
      <c r="B21" s="9" t="s">
        <v>1557</v>
      </c>
      <c r="C21" s="10">
        <v>1000</v>
      </c>
      <c r="D21" s="10">
        <v>0</v>
      </c>
      <c r="E21" s="9" t="s">
        <v>95</v>
      </c>
      <c r="F21" s="9" t="s">
        <v>142</v>
      </c>
      <c r="G21" s="9" t="s">
        <v>1562</v>
      </c>
      <c r="H21" s="9"/>
      <c r="I21" s="34">
        <v>0</v>
      </c>
      <c r="J21" s="9"/>
      <c r="K21" s="10"/>
      <c r="L21" s="9" t="s">
        <v>240</v>
      </c>
      <c r="M21" s="9"/>
      <c r="N21" s="87" t="s">
        <v>241</v>
      </c>
      <c r="P21" s="39" t="s">
        <v>92</v>
      </c>
      <c r="Q21" s="10">
        <v>1000</v>
      </c>
      <c r="S21" s="48" t="s">
        <v>515</v>
      </c>
      <c r="T21" s="48" t="s">
        <v>275</v>
      </c>
      <c r="U21" s="55">
        <v>350</v>
      </c>
      <c r="V21" s="48" t="s">
        <v>24</v>
      </c>
    </row>
    <row r="22" spans="1:22" ht="29" x14ac:dyDescent="0.35">
      <c r="A22" s="9" t="s">
        <v>126</v>
      </c>
      <c r="B22" s="9" t="s">
        <v>1557</v>
      </c>
      <c r="C22" s="10">
        <v>1000</v>
      </c>
      <c r="D22" s="10">
        <v>1000</v>
      </c>
      <c r="E22" s="9" t="s">
        <v>24</v>
      </c>
      <c r="F22" s="9" t="s">
        <v>253</v>
      </c>
      <c r="G22" s="9"/>
      <c r="H22" s="94" t="s">
        <v>27</v>
      </c>
      <c r="I22" s="34"/>
      <c r="J22" s="9" t="s">
        <v>256</v>
      </c>
      <c r="K22" s="10">
        <v>1000</v>
      </c>
      <c r="L22" s="9" t="s">
        <v>257</v>
      </c>
      <c r="M22" s="9"/>
      <c r="N22" s="87" t="s">
        <v>258</v>
      </c>
      <c r="P22" s="39" t="s">
        <v>93</v>
      </c>
      <c r="Q22" s="10"/>
      <c r="S22" s="48" t="s">
        <v>194</v>
      </c>
      <c r="T22" s="48" t="s">
        <v>41</v>
      </c>
      <c r="U22" s="55">
        <v>1500</v>
      </c>
      <c r="V22" s="48" t="s">
        <v>56</v>
      </c>
    </row>
    <row r="23" spans="1:22" ht="72.5" x14ac:dyDescent="0.35">
      <c r="A23" s="9" t="s">
        <v>176</v>
      </c>
      <c r="B23" s="9" t="s">
        <v>275</v>
      </c>
      <c r="C23" s="10">
        <v>75</v>
      </c>
      <c r="D23" s="10">
        <v>300</v>
      </c>
      <c r="E23" s="9" t="s">
        <v>56</v>
      </c>
      <c r="F23" s="9" t="s">
        <v>418</v>
      </c>
      <c r="G23" s="9" t="s">
        <v>1563</v>
      </c>
      <c r="H23" s="9"/>
      <c r="I23" s="34" t="s">
        <v>1559</v>
      </c>
      <c r="J23" s="195">
        <v>45964</v>
      </c>
      <c r="K23" s="10">
        <v>300</v>
      </c>
      <c r="L23" s="9" t="s">
        <v>178</v>
      </c>
      <c r="M23" s="9"/>
      <c r="N23" s="101" t="s">
        <v>179</v>
      </c>
      <c r="P23" s="39" t="s">
        <v>94</v>
      </c>
      <c r="Q23" s="10"/>
      <c r="S23" s="9" t="s">
        <v>222</v>
      </c>
      <c r="T23" s="9" t="s">
        <v>1557</v>
      </c>
      <c r="U23" s="10">
        <v>1000</v>
      </c>
      <c r="V23" s="9" t="s">
        <v>92</v>
      </c>
    </row>
    <row r="24" spans="1:22" x14ac:dyDescent="0.35">
      <c r="A24" s="9" t="s">
        <v>515</v>
      </c>
      <c r="B24" s="9" t="s">
        <v>275</v>
      </c>
      <c r="C24" s="10">
        <v>75</v>
      </c>
      <c r="D24" s="10">
        <v>350</v>
      </c>
      <c r="E24" s="9" t="s">
        <v>24</v>
      </c>
      <c r="F24" s="9" t="s">
        <v>28</v>
      </c>
      <c r="G24" s="9"/>
      <c r="H24" s="9"/>
      <c r="I24" s="34" t="s">
        <v>1559</v>
      </c>
      <c r="J24" s="195">
        <v>45973</v>
      </c>
      <c r="K24" s="10">
        <v>350</v>
      </c>
      <c r="L24" s="9" t="s">
        <v>518</v>
      </c>
      <c r="M24" s="9"/>
      <c r="N24" s="9" t="s">
        <v>519</v>
      </c>
      <c r="P24" s="39" t="s">
        <v>95</v>
      </c>
      <c r="Q24" s="10">
        <v>2000</v>
      </c>
      <c r="S24" s="48" t="s">
        <v>1391</v>
      </c>
      <c r="T24" s="48" t="s">
        <v>32</v>
      </c>
      <c r="U24" s="55">
        <v>2500</v>
      </c>
      <c r="V24" s="48" t="s">
        <v>93</v>
      </c>
    </row>
    <row r="25" spans="1:22" x14ac:dyDescent="0.35">
      <c r="A25" s="9"/>
      <c r="B25" s="9" t="s">
        <v>275</v>
      </c>
      <c r="C25" s="10">
        <v>75</v>
      </c>
      <c r="D25" s="10"/>
      <c r="E25" s="9"/>
      <c r="F25" s="9"/>
      <c r="G25" s="9"/>
      <c r="H25" s="9"/>
      <c r="I25" s="34"/>
      <c r="J25" s="9"/>
      <c r="K25" s="10"/>
      <c r="L25" s="9"/>
      <c r="M25" s="9"/>
      <c r="N25" s="9"/>
      <c r="P25" s="39" t="s">
        <v>96</v>
      </c>
      <c r="Q25" s="10"/>
      <c r="S25" s="112" t="s">
        <v>1386</v>
      </c>
      <c r="T25" s="112" t="s">
        <v>1557</v>
      </c>
      <c r="U25" s="113">
        <v>1000</v>
      </c>
      <c r="V25" s="112" t="s">
        <v>95</v>
      </c>
    </row>
    <row r="26" spans="1:22" x14ac:dyDescent="0.35">
      <c r="A26" s="9"/>
      <c r="B26" s="9" t="s">
        <v>275</v>
      </c>
      <c r="C26" s="10">
        <v>75</v>
      </c>
      <c r="D26" s="10"/>
      <c r="E26" s="9"/>
      <c r="F26" s="9"/>
      <c r="G26" s="9"/>
      <c r="H26" s="9"/>
      <c r="I26" s="34"/>
      <c r="J26" s="9"/>
      <c r="K26" s="10"/>
      <c r="L26" s="9"/>
      <c r="M26" s="9"/>
      <c r="N26" s="9"/>
      <c r="P26" s="39" t="s">
        <v>97</v>
      </c>
      <c r="Q26" s="10"/>
      <c r="S26" s="9" t="s">
        <v>146</v>
      </c>
      <c r="T26" s="9" t="s">
        <v>1557</v>
      </c>
      <c r="U26" s="10">
        <v>1000</v>
      </c>
      <c r="V26" s="9" t="s">
        <v>24</v>
      </c>
    </row>
    <row r="27" spans="1:22" x14ac:dyDescent="0.35">
      <c r="A27" s="9"/>
      <c r="B27" s="9" t="s">
        <v>275</v>
      </c>
      <c r="C27" s="10">
        <v>75</v>
      </c>
      <c r="D27" s="10"/>
      <c r="E27" s="9"/>
      <c r="F27" s="9"/>
      <c r="G27" s="9"/>
      <c r="H27" s="9"/>
      <c r="I27" s="34"/>
      <c r="J27" s="9"/>
      <c r="K27" s="10"/>
      <c r="L27" s="9"/>
      <c r="M27" s="9"/>
      <c r="N27" s="9"/>
      <c r="P27" s="39" t="s">
        <v>98</v>
      </c>
      <c r="Q27" s="10"/>
      <c r="S27" s="48" t="s">
        <v>235</v>
      </c>
      <c r="T27" s="48" t="s">
        <v>1557</v>
      </c>
      <c r="U27" s="55">
        <v>1000</v>
      </c>
      <c r="V27" s="48" t="s">
        <v>24</v>
      </c>
    </row>
    <row r="28" spans="1:22" x14ac:dyDescent="0.35">
      <c r="A28" s="9"/>
      <c r="B28" s="9" t="s">
        <v>275</v>
      </c>
      <c r="C28" s="10">
        <v>75</v>
      </c>
      <c r="D28" s="10"/>
      <c r="E28" s="9"/>
      <c r="F28" s="9"/>
      <c r="G28" s="9"/>
      <c r="H28" s="9"/>
      <c r="I28" s="34"/>
      <c r="J28" s="9"/>
      <c r="K28" s="10"/>
      <c r="L28" s="9"/>
      <c r="M28" s="9"/>
      <c r="N28" s="9"/>
      <c r="P28" s="45" t="s">
        <v>99</v>
      </c>
      <c r="Q28" s="46">
        <v>17150</v>
      </c>
      <c r="S28" s="9" t="s">
        <v>742</v>
      </c>
      <c r="T28" s="9" t="s">
        <v>32</v>
      </c>
      <c r="U28" s="10">
        <v>2500</v>
      </c>
      <c r="V28" s="9" t="s">
        <v>37</v>
      </c>
    </row>
    <row r="29" spans="1:22" x14ac:dyDescent="0.35">
      <c r="A29" s="9"/>
      <c r="B29" s="9" t="s">
        <v>275</v>
      </c>
      <c r="C29" s="10">
        <v>75</v>
      </c>
      <c r="D29" s="10"/>
      <c r="E29" s="9"/>
      <c r="F29" s="9"/>
      <c r="G29" s="9"/>
      <c r="H29" s="9"/>
      <c r="I29" s="34"/>
      <c r="J29" s="9"/>
      <c r="K29" s="9"/>
      <c r="L29" s="9"/>
      <c r="M29" s="9"/>
      <c r="S29" s="9" t="s">
        <v>785</v>
      </c>
      <c r="T29" s="9" t="s">
        <v>275</v>
      </c>
      <c r="U29" s="10">
        <v>75</v>
      </c>
      <c r="V29" s="9"/>
    </row>
    <row r="30" spans="1:22" x14ac:dyDescent="0.35">
      <c r="A30" s="9"/>
      <c r="B30" s="9" t="s">
        <v>275</v>
      </c>
      <c r="C30" s="10">
        <v>75</v>
      </c>
      <c r="D30" s="10"/>
      <c r="E30" s="9"/>
      <c r="F30" s="9"/>
      <c r="G30" s="9"/>
      <c r="H30" s="9"/>
      <c r="I30" s="34"/>
      <c r="J30" s="9"/>
      <c r="K30" s="9"/>
      <c r="L30" s="9"/>
      <c r="M30" s="9"/>
      <c r="N30" s="9"/>
      <c r="S30" s="48" t="s">
        <v>40</v>
      </c>
      <c r="T30" s="48" t="s">
        <v>41</v>
      </c>
      <c r="U30" s="55">
        <v>1500</v>
      </c>
      <c r="V30" s="48" t="s">
        <v>24</v>
      </c>
    </row>
    <row r="31" spans="1:22" x14ac:dyDescent="0.35">
      <c r="A31" s="9"/>
      <c r="B31" s="9" t="s">
        <v>275</v>
      </c>
      <c r="C31" s="10">
        <v>75</v>
      </c>
      <c r="D31" s="10"/>
      <c r="E31" s="9"/>
      <c r="F31" s="9"/>
      <c r="G31" s="9"/>
      <c r="H31" s="9"/>
      <c r="I31" s="34"/>
      <c r="J31" s="9"/>
      <c r="K31" s="9"/>
      <c r="L31" s="9"/>
      <c r="M31" s="9"/>
      <c r="N31" s="9"/>
      <c r="S31" s="48" t="s">
        <v>117</v>
      </c>
      <c r="T31" s="48" t="s">
        <v>1557</v>
      </c>
      <c r="U31" s="55">
        <v>1000</v>
      </c>
      <c r="V31" s="48" t="s">
        <v>96</v>
      </c>
    </row>
    <row r="32" spans="1:22" x14ac:dyDescent="0.35">
      <c r="A32" s="9"/>
      <c r="B32" s="9" t="s">
        <v>275</v>
      </c>
      <c r="C32" s="10">
        <v>75</v>
      </c>
      <c r="D32" s="10"/>
      <c r="E32" s="9"/>
      <c r="F32" s="9"/>
      <c r="G32" s="9"/>
      <c r="H32" s="9"/>
      <c r="I32" s="34"/>
      <c r="J32" s="9"/>
      <c r="K32" s="9"/>
      <c r="L32" s="9"/>
      <c r="M32" s="9"/>
      <c r="N32" s="9"/>
    </row>
    <row r="33" spans="3:11" x14ac:dyDescent="0.35">
      <c r="C33" s="21"/>
      <c r="D33" s="21"/>
    </row>
    <row r="34" spans="3:11" x14ac:dyDescent="0.35">
      <c r="C34" s="21"/>
      <c r="D34" s="21"/>
    </row>
    <row r="35" spans="3:11" x14ac:dyDescent="0.35">
      <c r="C35" s="21"/>
      <c r="D35" s="21"/>
      <c r="K35" s="29">
        <f>SUM(K9:K34)</f>
        <v>14650</v>
      </c>
    </row>
    <row r="36" spans="3:11" x14ac:dyDescent="0.35">
      <c r="C36" s="21"/>
      <c r="D36" s="21"/>
    </row>
    <row r="37" spans="3:11" x14ac:dyDescent="0.35">
      <c r="C37" s="21"/>
      <c r="D37" s="21"/>
    </row>
    <row r="38" spans="3:11" x14ac:dyDescent="0.35">
      <c r="C38" s="21"/>
      <c r="D38" s="21"/>
    </row>
    <row r="39" spans="3:11" x14ac:dyDescent="0.35">
      <c r="C39" s="21"/>
      <c r="D39" s="21"/>
    </row>
    <row r="40" spans="3:11" x14ac:dyDescent="0.35">
      <c r="C40" s="21"/>
      <c r="D40" s="21"/>
    </row>
    <row r="41" spans="3:11" x14ac:dyDescent="0.35">
      <c r="C41" s="21"/>
      <c r="D41" s="21"/>
    </row>
    <row r="42" spans="3:11" x14ac:dyDescent="0.35">
      <c r="C42" s="21"/>
      <c r="D42" s="21"/>
    </row>
    <row r="43" spans="3:11" x14ac:dyDescent="0.35">
      <c r="C43" s="21"/>
      <c r="D43" s="21"/>
    </row>
    <row r="44" spans="3:11" x14ac:dyDescent="0.35">
      <c r="C44" s="21"/>
      <c r="D44" s="21"/>
    </row>
    <row r="45" spans="3:11" x14ac:dyDescent="0.35">
      <c r="C45" s="21"/>
      <c r="D45" s="21"/>
    </row>
    <row r="46" spans="3:11" x14ac:dyDescent="0.35">
      <c r="C46" s="21"/>
      <c r="D46" s="21"/>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V31">
    <sortCondition ref="S9:S31"/>
  </sortState>
  <hyperlinks>
    <hyperlink ref="N17" r:id="rId2" display="amyw@uca.edu; " xr:uid="{5BB7F311-34DF-4B05-986E-B311C91FE1DA}"/>
    <hyperlink ref="N10" r:id="rId3" display="mailto:Crystal.Kemp@conwaycorp.com" xr:uid="{CD6E16E1-F83B-4BEA-8D63-3220207A442D}"/>
    <hyperlink ref="N18" r:id="rId4" xr:uid="{9290CD73-6B05-4D81-875B-41AE663A2D98}"/>
    <hyperlink ref="N20" r:id="rId5" display="mailto:Crystal.Floyd@acxiom.com" xr:uid="{6A3C2079-07D7-47C8-A00B-01D9E0370357}"/>
    <hyperlink ref="N21" r:id="rId6" xr:uid="{728C93C8-59A5-42B4-A04F-2B6C51EC5297}"/>
    <hyperlink ref="N22" r:id="rId7" display="mailto:mcahillwicks@arvest.com" xr:uid="{A25F238A-5201-488B-A039-B50DA59F1F57}"/>
    <hyperlink ref="N13" r:id="rId8" display="mailto:tom.nelson@cadencebank.com" xr:uid="{EE4788CD-4979-4FB2-9EEF-3D9DFB9464A6}"/>
    <hyperlink ref="N23" r:id="rId9" display="mailto:jake.turpin@claytonhomes.com" xr:uid="{B8A3348B-D73E-4EAF-B456-8C6C2C5A1B4D}"/>
    <hyperlink ref="N14" r:id="rId10" display="mailto:leahbrownera@gmail.com" xr:uid="{22A32E4F-AAF5-4C49-88D2-3BC22CA312FC}"/>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737C5-17A9-43BC-9784-087EA86464CA}">
  <dimension ref="A1:Q316"/>
  <sheetViews>
    <sheetView workbookViewId="0">
      <pane ySplit="8" topLeftCell="A40" activePane="bottomLeft" state="frozen"/>
      <selection pane="bottomLeft" activeCell="K40" sqref="K40"/>
    </sheetView>
  </sheetViews>
  <sheetFormatPr defaultColWidth="9.1796875" defaultRowHeight="14.5" x14ac:dyDescent="0.35"/>
  <cols>
    <col min="1" max="1" width="35.453125" style="5" bestFit="1" customWidth="1"/>
    <col min="2" max="2" width="14.81640625" style="5" bestFit="1" customWidth="1"/>
    <col min="3" max="3" width="9.1796875" style="5" bestFit="1" customWidth="1"/>
    <col min="4" max="4" width="15.7265625" style="5" customWidth="1"/>
    <col min="5" max="5" width="8.7265625" style="5" bestFit="1" customWidth="1"/>
    <col min="6" max="6" width="11.1796875" style="5" bestFit="1" customWidth="1"/>
    <col min="7" max="7" width="32.26953125" style="5" customWidth="1"/>
    <col min="8" max="8" width="16.26953125" style="5" bestFit="1" customWidth="1"/>
    <col min="9" max="9" width="10.1796875" bestFit="1" customWidth="1"/>
    <col min="10" max="10" width="10.26953125" style="5" bestFit="1" customWidth="1"/>
    <col min="11" max="11" width="14.453125" style="5" bestFit="1" customWidth="1"/>
    <col min="12" max="12" width="29" style="5" customWidth="1"/>
    <col min="13" max="13" width="12.1796875" style="5" bestFit="1" customWidth="1"/>
    <col min="14" max="14" width="43.1796875" style="5" bestFit="1" customWidth="1"/>
    <col min="15" max="15" width="9.1796875" style="5"/>
    <col min="16" max="16" width="11" style="5" bestFit="1" customWidth="1"/>
    <col min="17" max="17" width="10.1796875" style="5" bestFit="1" customWidth="1"/>
    <col min="18" max="16384" width="9.1796875" style="5"/>
  </cols>
  <sheetData>
    <row r="1" spans="1:17" x14ac:dyDescent="0.35">
      <c r="A1" s="4" t="s">
        <v>1564</v>
      </c>
      <c r="B1" s="4">
        <v>2025</v>
      </c>
    </row>
    <row r="2" spans="1:17" x14ac:dyDescent="0.35">
      <c r="A2" s="6" t="s">
        <v>1</v>
      </c>
      <c r="B2" s="7">
        <f>SUM(D9:D47)</f>
        <v>90000</v>
      </c>
      <c r="K2" s="11" t="s">
        <v>2</v>
      </c>
    </row>
    <row r="3" spans="1:17" x14ac:dyDescent="0.35">
      <c r="A3" s="6" t="s">
        <v>3</v>
      </c>
      <c r="B3" s="7">
        <v>81000</v>
      </c>
      <c r="K3" s="7">
        <f>SUM(K47-B2)</f>
        <v>0</v>
      </c>
    </row>
    <row r="4" spans="1:17" x14ac:dyDescent="0.35">
      <c r="A4" s="6" t="s">
        <v>4</v>
      </c>
      <c r="B4" s="7">
        <f>MIN(B2-B3)</f>
        <v>9000</v>
      </c>
      <c r="K4" s="42">
        <f>K47/B2</f>
        <v>1</v>
      </c>
    </row>
    <row r="5" spans="1:17" x14ac:dyDescent="0.35">
      <c r="A5" s="6" t="s">
        <v>5</v>
      </c>
      <c r="B5" s="7">
        <v>90000</v>
      </c>
    </row>
    <row r="6" spans="1:17" x14ac:dyDescent="0.35">
      <c r="A6" s="6" t="s">
        <v>4</v>
      </c>
      <c r="B6" s="7">
        <f>MIN(B2-B5)</f>
        <v>0</v>
      </c>
    </row>
    <row r="8" spans="1:17" x14ac:dyDescent="0.35">
      <c r="A8" s="12" t="s">
        <v>6</v>
      </c>
      <c r="B8" s="12" t="s">
        <v>1565</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row>
    <row r="9" spans="1:17" ht="29" x14ac:dyDescent="0.35">
      <c r="A9" s="9" t="s">
        <v>31</v>
      </c>
      <c r="B9" s="9" t="s">
        <v>118</v>
      </c>
      <c r="C9" s="10">
        <v>3000</v>
      </c>
      <c r="D9" s="10">
        <v>3000</v>
      </c>
      <c r="E9" s="9" t="s">
        <v>24</v>
      </c>
      <c r="F9" s="9" t="s">
        <v>33</v>
      </c>
      <c r="G9" s="9"/>
      <c r="H9" s="9"/>
      <c r="I9" s="34"/>
      <c r="J9" s="9" t="s">
        <v>270</v>
      </c>
      <c r="K9" s="10">
        <v>3000</v>
      </c>
      <c r="L9" s="9" t="s">
        <v>35</v>
      </c>
      <c r="M9" s="9"/>
      <c r="N9" s="87" t="s">
        <v>36</v>
      </c>
      <c r="P9" s="39" t="s">
        <v>24</v>
      </c>
      <c r="Q9" s="10">
        <v>42000</v>
      </c>
    </row>
    <row r="10" spans="1:17" x14ac:dyDescent="0.35">
      <c r="A10" s="9" t="s">
        <v>126</v>
      </c>
      <c r="B10" s="9" t="s">
        <v>118</v>
      </c>
      <c r="C10" s="10">
        <v>3000</v>
      </c>
      <c r="D10" s="10">
        <v>3000</v>
      </c>
      <c r="E10" s="9" t="s">
        <v>24</v>
      </c>
      <c r="F10" s="9" t="s">
        <v>253</v>
      </c>
      <c r="G10" s="9"/>
      <c r="H10" s="9"/>
      <c r="I10" s="34"/>
      <c r="J10" s="9" t="s">
        <v>407</v>
      </c>
      <c r="K10" s="10">
        <v>3000</v>
      </c>
      <c r="L10" s="9" t="s">
        <v>257</v>
      </c>
      <c r="M10" s="9"/>
      <c r="N10" s="87" t="s">
        <v>258</v>
      </c>
      <c r="P10" s="39" t="s">
        <v>37</v>
      </c>
      <c r="Q10" s="10">
        <v>15000</v>
      </c>
    </row>
    <row r="11" spans="1:17" x14ac:dyDescent="0.35">
      <c r="A11" s="9" t="s">
        <v>135</v>
      </c>
      <c r="B11" s="9" t="s">
        <v>118</v>
      </c>
      <c r="C11" s="10">
        <v>3000</v>
      </c>
      <c r="D11" s="10">
        <v>3000</v>
      </c>
      <c r="E11" s="9" t="s">
        <v>86</v>
      </c>
      <c r="F11" s="9" t="s">
        <v>142</v>
      </c>
      <c r="G11" s="9"/>
      <c r="H11" s="9"/>
      <c r="I11" s="34"/>
      <c r="J11" s="9" t="s">
        <v>115</v>
      </c>
      <c r="K11" s="10">
        <v>3000</v>
      </c>
      <c r="L11" s="9" t="s">
        <v>144</v>
      </c>
      <c r="M11" s="9"/>
      <c r="N11" s="9"/>
      <c r="P11" s="39" t="s">
        <v>47</v>
      </c>
      <c r="Q11" s="10"/>
    </row>
    <row r="12" spans="1:17" x14ac:dyDescent="0.35">
      <c r="A12" s="9" t="s">
        <v>176</v>
      </c>
      <c r="B12" s="9" t="s">
        <v>118</v>
      </c>
      <c r="C12" s="10">
        <v>3000</v>
      </c>
      <c r="D12" s="10">
        <v>0</v>
      </c>
      <c r="E12" s="9" t="s">
        <v>56</v>
      </c>
      <c r="F12" s="9" t="s">
        <v>418</v>
      </c>
      <c r="G12" s="9"/>
      <c r="H12" s="9"/>
      <c r="I12" s="34"/>
      <c r="J12" s="9"/>
      <c r="K12" s="9"/>
      <c r="L12" s="9" t="s">
        <v>1566</v>
      </c>
      <c r="M12" s="9"/>
      <c r="N12" s="101" t="s">
        <v>1567</v>
      </c>
      <c r="P12" s="39" t="s">
        <v>50</v>
      </c>
      <c r="Q12" s="10"/>
    </row>
    <row r="13" spans="1:17" x14ac:dyDescent="0.35">
      <c r="A13" s="9" t="s">
        <v>198</v>
      </c>
      <c r="B13" s="9" t="s">
        <v>118</v>
      </c>
      <c r="C13" s="10">
        <v>3000</v>
      </c>
      <c r="D13" s="10">
        <v>3000</v>
      </c>
      <c r="E13" s="9" t="s">
        <v>97</v>
      </c>
      <c r="F13" s="9" t="s">
        <v>142</v>
      </c>
      <c r="G13" s="9"/>
      <c r="H13" s="9"/>
      <c r="I13" s="34"/>
      <c r="J13" s="9" t="s">
        <v>244</v>
      </c>
      <c r="K13" s="10">
        <v>3000</v>
      </c>
      <c r="L13" s="9" t="s">
        <v>240</v>
      </c>
      <c r="M13" s="9"/>
      <c r="N13" s="87" t="s">
        <v>241</v>
      </c>
      <c r="P13" s="39" t="s">
        <v>56</v>
      </c>
      <c r="Q13" s="10">
        <v>0</v>
      </c>
    </row>
    <row r="14" spans="1:17" x14ac:dyDescent="0.35">
      <c r="A14" s="9" t="s">
        <v>1492</v>
      </c>
      <c r="B14" s="9" t="s">
        <v>118</v>
      </c>
      <c r="C14" s="10">
        <v>3000</v>
      </c>
      <c r="D14" s="10">
        <v>0</v>
      </c>
      <c r="E14" s="9"/>
      <c r="F14" s="9" t="s">
        <v>1201</v>
      </c>
      <c r="G14" s="9" t="s">
        <v>1153</v>
      </c>
      <c r="H14" s="9"/>
      <c r="I14" s="34"/>
      <c r="J14" s="9"/>
      <c r="K14" s="9"/>
      <c r="L14" s="9" t="s">
        <v>1154</v>
      </c>
      <c r="M14" s="9"/>
      <c r="N14" s="9"/>
      <c r="P14" s="39" t="s">
        <v>62</v>
      </c>
      <c r="Q14" s="10"/>
    </row>
    <row r="15" spans="1:17" ht="29" x14ac:dyDescent="0.35">
      <c r="A15" s="9" t="s">
        <v>48</v>
      </c>
      <c r="B15" s="9" t="s">
        <v>118</v>
      </c>
      <c r="C15" s="10">
        <v>3000</v>
      </c>
      <c r="D15" s="10">
        <v>3000</v>
      </c>
      <c r="E15" s="9" t="s">
        <v>24</v>
      </c>
      <c r="F15" s="9" t="s">
        <v>64</v>
      </c>
      <c r="G15" s="9"/>
      <c r="H15" s="9"/>
      <c r="I15" s="34"/>
      <c r="J15" s="9" t="s">
        <v>25</v>
      </c>
      <c r="K15" s="10">
        <v>3000</v>
      </c>
      <c r="L15" s="9" t="s">
        <v>1155</v>
      </c>
      <c r="M15" s="9"/>
      <c r="N15" s="9" t="s">
        <v>1156</v>
      </c>
      <c r="P15" s="39" t="s">
        <v>68</v>
      </c>
      <c r="Q15" s="10"/>
    </row>
    <row r="16" spans="1:17" x14ac:dyDescent="0.35">
      <c r="A16" s="9" t="s">
        <v>51</v>
      </c>
      <c r="B16" s="9" t="s">
        <v>118</v>
      </c>
      <c r="C16" s="10">
        <v>3000</v>
      </c>
      <c r="D16" s="10">
        <v>3000</v>
      </c>
      <c r="E16" s="9" t="s">
        <v>24</v>
      </c>
      <c r="F16" s="9" t="s">
        <v>78</v>
      </c>
      <c r="G16" s="9"/>
      <c r="H16" s="94" t="s">
        <v>27</v>
      </c>
      <c r="I16" s="34"/>
      <c r="J16" s="9" t="s">
        <v>28</v>
      </c>
      <c r="K16" s="10">
        <v>3000</v>
      </c>
      <c r="L16" s="9" t="s">
        <v>79</v>
      </c>
      <c r="M16" s="9"/>
      <c r="N16" s="9" t="s">
        <v>80</v>
      </c>
      <c r="P16" s="39" t="s">
        <v>76</v>
      </c>
      <c r="Q16" s="10"/>
    </row>
    <row r="17" spans="1:17" x14ac:dyDescent="0.35">
      <c r="A17" s="9" t="s">
        <v>410</v>
      </c>
      <c r="B17" s="9" t="s">
        <v>118</v>
      </c>
      <c r="C17" s="10">
        <v>3000</v>
      </c>
      <c r="D17" s="10"/>
      <c r="E17" s="9"/>
      <c r="F17" s="9"/>
      <c r="G17" s="9"/>
      <c r="H17" s="9"/>
      <c r="I17" s="34"/>
      <c r="J17" s="9"/>
      <c r="K17" s="10"/>
      <c r="L17" s="9"/>
      <c r="M17" s="9"/>
      <c r="N17" s="9"/>
      <c r="P17" s="39" t="s">
        <v>81</v>
      </c>
      <c r="Q17" s="10"/>
    </row>
    <row r="18" spans="1:17" ht="29" x14ac:dyDescent="0.35">
      <c r="A18" s="9" t="s">
        <v>269</v>
      </c>
      <c r="B18" s="9" t="s">
        <v>118</v>
      </c>
      <c r="C18" s="10">
        <v>3000</v>
      </c>
      <c r="D18" s="10">
        <v>3000</v>
      </c>
      <c r="E18" s="9" t="s">
        <v>24</v>
      </c>
      <c r="F18" s="9" t="s">
        <v>1568</v>
      </c>
      <c r="G18" s="9"/>
      <c r="H18" s="94" t="s">
        <v>27</v>
      </c>
      <c r="I18" s="34"/>
      <c r="J18" s="195" t="s">
        <v>1569</v>
      </c>
      <c r="K18" s="10">
        <f>1000+1000+1000</f>
        <v>3000</v>
      </c>
      <c r="L18" s="9" t="s">
        <v>271</v>
      </c>
      <c r="M18" s="9"/>
      <c r="N18" s="9" t="s">
        <v>1570</v>
      </c>
      <c r="P18" s="39" t="s">
        <v>86</v>
      </c>
      <c r="Q18" s="10">
        <v>12000</v>
      </c>
    </row>
    <row r="19" spans="1:17" x14ac:dyDescent="0.35">
      <c r="A19" s="9" t="s">
        <v>285</v>
      </c>
      <c r="B19" s="9" t="s">
        <v>118</v>
      </c>
      <c r="C19" s="10">
        <v>3000</v>
      </c>
      <c r="D19" s="10">
        <v>3000</v>
      </c>
      <c r="E19" s="9" t="s">
        <v>95</v>
      </c>
      <c r="F19" s="9" t="s">
        <v>303</v>
      </c>
      <c r="G19" s="9"/>
      <c r="H19" s="94" t="s">
        <v>27</v>
      </c>
      <c r="I19" s="34"/>
      <c r="J19" s="9" t="s">
        <v>304</v>
      </c>
      <c r="K19" s="10">
        <v>3000</v>
      </c>
      <c r="L19" s="9" t="s">
        <v>1571</v>
      </c>
      <c r="M19" s="9"/>
      <c r="N19" s="9" t="s">
        <v>1572</v>
      </c>
      <c r="P19" s="39" t="s">
        <v>90</v>
      </c>
      <c r="Q19" s="10"/>
    </row>
    <row r="20" spans="1:17" ht="43.5" x14ac:dyDescent="0.35">
      <c r="A20" s="9" t="s">
        <v>288</v>
      </c>
      <c r="B20" s="9" t="s">
        <v>118</v>
      </c>
      <c r="C20" s="10">
        <v>3000</v>
      </c>
      <c r="D20" s="10">
        <v>3000</v>
      </c>
      <c r="E20" s="9" t="s">
        <v>37</v>
      </c>
      <c r="F20" s="9" t="s">
        <v>83</v>
      </c>
      <c r="G20" s="9" t="s">
        <v>1573</v>
      </c>
      <c r="H20" s="9"/>
      <c r="I20" s="34"/>
      <c r="J20" s="9" t="s">
        <v>208</v>
      </c>
      <c r="K20" s="10">
        <v>3000</v>
      </c>
      <c r="L20" s="9" t="s">
        <v>1574</v>
      </c>
      <c r="M20" s="9"/>
      <c r="N20" s="184" t="s">
        <v>1575</v>
      </c>
      <c r="P20" s="39" t="s">
        <v>91</v>
      </c>
      <c r="Q20" s="10"/>
    </row>
    <row r="21" spans="1:17" x14ac:dyDescent="0.35">
      <c r="A21" s="9" t="s">
        <v>515</v>
      </c>
      <c r="B21" s="9" t="s">
        <v>118</v>
      </c>
      <c r="C21" s="10">
        <v>3000</v>
      </c>
      <c r="D21" s="10">
        <v>3000</v>
      </c>
      <c r="E21" s="9" t="s">
        <v>24</v>
      </c>
      <c r="F21" s="9" t="s">
        <v>28</v>
      </c>
      <c r="G21" s="9"/>
      <c r="H21" s="9"/>
      <c r="I21" s="34"/>
      <c r="J21" s="9" t="s">
        <v>115</v>
      </c>
      <c r="K21" s="10">
        <v>3000</v>
      </c>
      <c r="L21" s="9"/>
      <c r="M21" s="9"/>
      <c r="N21" s="9"/>
      <c r="P21" s="39" t="s">
        <v>92</v>
      </c>
      <c r="Q21" s="10"/>
    </row>
    <row r="22" spans="1:17" x14ac:dyDescent="0.35">
      <c r="A22" s="9" t="s">
        <v>248</v>
      </c>
      <c r="B22" s="9" t="s">
        <v>118</v>
      </c>
      <c r="C22" s="10">
        <v>3000</v>
      </c>
      <c r="D22" s="10">
        <v>3000</v>
      </c>
      <c r="E22" s="9" t="s">
        <v>37</v>
      </c>
      <c r="F22" s="9" t="s">
        <v>310</v>
      </c>
      <c r="G22" s="9"/>
      <c r="H22" s="9"/>
      <c r="I22" s="34"/>
      <c r="J22" s="195">
        <v>45940</v>
      </c>
      <c r="K22" s="9">
        <v>3000</v>
      </c>
      <c r="L22" s="9" t="s">
        <v>1576</v>
      </c>
      <c r="M22" s="9" t="s">
        <v>1577</v>
      </c>
      <c r="N22" s="87" t="s">
        <v>1578</v>
      </c>
      <c r="P22" s="39" t="s">
        <v>93</v>
      </c>
      <c r="Q22" s="10"/>
    </row>
    <row r="23" spans="1:17" x14ac:dyDescent="0.35">
      <c r="A23" s="9" t="s">
        <v>298</v>
      </c>
      <c r="B23" s="9" t="s">
        <v>118</v>
      </c>
      <c r="C23" s="10">
        <v>3000</v>
      </c>
      <c r="D23" s="10">
        <v>3000</v>
      </c>
      <c r="E23" s="9" t="s">
        <v>24</v>
      </c>
      <c r="F23" s="9" t="s">
        <v>25</v>
      </c>
      <c r="G23" s="9"/>
      <c r="H23" s="94" t="s">
        <v>27</v>
      </c>
      <c r="I23" s="34"/>
      <c r="J23" s="195">
        <v>45908</v>
      </c>
      <c r="K23" s="10">
        <v>3000</v>
      </c>
      <c r="L23" s="9" t="s">
        <v>461</v>
      </c>
      <c r="M23" s="9"/>
      <c r="N23" s="9" t="s">
        <v>462</v>
      </c>
      <c r="P23" s="39" t="s">
        <v>94</v>
      </c>
      <c r="Q23" s="10"/>
    </row>
    <row r="24" spans="1:17" x14ac:dyDescent="0.35">
      <c r="A24" s="9" t="s">
        <v>160</v>
      </c>
      <c r="B24" s="9" t="s">
        <v>118</v>
      </c>
      <c r="C24" s="10">
        <v>3000</v>
      </c>
      <c r="D24" s="10">
        <v>3000</v>
      </c>
      <c r="E24" s="9" t="s">
        <v>86</v>
      </c>
      <c r="F24" s="9" t="s">
        <v>161</v>
      </c>
      <c r="G24" s="9"/>
      <c r="H24" s="9"/>
      <c r="I24" s="34"/>
      <c r="J24" s="9" t="s">
        <v>25</v>
      </c>
      <c r="K24" s="10">
        <v>3000</v>
      </c>
      <c r="L24" s="9" t="s">
        <v>163</v>
      </c>
      <c r="M24" s="9"/>
      <c r="N24" s="92" t="s">
        <v>164</v>
      </c>
      <c r="P24" s="39" t="s">
        <v>95</v>
      </c>
      <c r="Q24" s="10">
        <v>15000</v>
      </c>
    </row>
    <row r="25" spans="1:17" x14ac:dyDescent="0.35">
      <c r="A25" s="9" t="s">
        <v>57</v>
      </c>
      <c r="B25" s="9" t="s">
        <v>118</v>
      </c>
      <c r="C25" s="10">
        <v>3000</v>
      </c>
      <c r="D25" s="10">
        <v>3000</v>
      </c>
      <c r="E25" s="9" t="s">
        <v>24</v>
      </c>
      <c r="F25" s="9" t="s">
        <v>58</v>
      </c>
      <c r="G25" s="9"/>
      <c r="H25" s="94" t="s">
        <v>27</v>
      </c>
      <c r="I25" s="34"/>
      <c r="J25" s="9" t="s">
        <v>136</v>
      </c>
      <c r="K25" s="10">
        <v>3000</v>
      </c>
      <c r="L25" s="9" t="s">
        <v>60</v>
      </c>
      <c r="M25" s="9"/>
      <c r="N25" s="9" t="s">
        <v>61</v>
      </c>
      <c r="P25" s="39" t="s">
        <v>96</v>
      </c>
      <c r="Q25" s="10">
        <v>3000</v>
      </c>
    </row>
    <row r="26" spans="1:17" x14ac:dyDescent="0.35">
      <c r="A26" s="9" t="s">
        <v>313</v>
      </c>
      <c r="B26" s="9" t="s">
        <v>118</v>
      </c>
      <c r="C26" s="10">
        <v>3000</v>
      </c>
      <c r="D26" s="10">
        <v>3000</v>
      </c>
      <c r="E26" s="9" t="s">
        <v>96</v>
      </c>
      <c r="F26" s="9" t="s">
        <v>214</v>
      </c>
      <c r="G26" s="9"/>
      <c r="H26" s="118" t="s">
        <v>27</v>
      </c>
      <c r="I26" s="34"/>
      <c r="J26" s="9" t="s">
        <v>290</v>
      </c>
      <c r="K26" s="10">
        <v>3000</v>
      </c>
      <c r="L26" s="9" t="s">
        <v>1173</v>
      </c>
      <c r="M26" s="9"/>
      <c r="N26" s="9" t="s">
        <v>1174</v>
      </c>
      <c r="P26" s="39" t="s">
        <v>97</v>
      </c>
      <c r="Q26" s="10">
        <v>3000</v>
      </c>
    </row>
    <row r="27" spans="1:17" x14ac:dyDescent="0.35">
      <c r="A27" s="9" t="s">
        <v>1579</v>
      </c>
      <c r="B27" s="9" t="s">
        <v>118</v>
      </c>
      <c r="C27" s="10">
        <v>3000</v>
      </c>
      <c r="D27" s="10">
        <v>3000</v>
      </c>
      <c r="E27" s="9" t="s">
        <v>86</v>
      </c>
      <c r="F27" s="9" t="s">
        <v>1183</v>
      </c>
      <c r="G27" s="9"/>
      <c r="H27" s="9"/>
      <c r="I27" s="34"/>
      <c r="J27" s="9" t="s">
        <v>244</v>
      </c>
      <c r="K27" s="10">
        <v>3000</v>
      </c>
      <c r="L27" s="9" t="s">
        <v>1184</v>
      </c>
      <c r="M27" s="9"/>
      <c r="N27" s="9" t="s">
        <v>1185</v>
      </c>
      <c r="P27" s="39" t="s">
        <v>98</v>
      </c>
      <c r="Q27" s="10"/>
    </row>
    <row r="28" spans="1:17" ht="29" x14ac:dyDescent="0.35">
      <c r="A28" s="9" t="s">
        <v>329</v>
      </c>
      <c r="B28" s="9" t="s">
        <v>118</v>
      </c>
      <c r="C28" s="10">
        <v>3000</v>
      </c>
      <c r="D28" s="10">
        <v>3000</v>
      </c>
      <c r="E28" s="9" t="s">
        <v>95</v>
      </c>
      <c r="F28" s="9" t="s">
        <v>353</v>
      </c>
      <c r="G28" s="9"/>
      <c r="H28" s="94" t="s">
        <v>27</v>
      </c>
      <c r="I28" s="34"/>
      <c r="J28" s="9" t="s">
        <v>143</v>
      </c>
      <c r="K28" s="10">
        <v>3000</v>
      </c>
      <c r="L28" s="9" t="s">
        <v>371</v>
      </c>
      <c r="M28" s="9"/>
      <c r="N28" s="87" t="s">
        <v>372</v>
      </c>
      <c r="P28" s="45" t="s">
        <v>99</v>
      </c>
      <c r="Q28" s="46">
        <v>90000</v>
      </c>
    </row>
    <row r="29" spans="1:17" x14ac:dyDescent="0.35">
      <c r="A29" s="9" t="s">
        <v>87</v>
      </c>
      <c r="B29" s="9" t="s">
        <v>118</v>
      </c>
      <c r="C29" s="10">
        <v>3000</v>
      </c>
      <c r="D29" s="10">
        <v>3000</v>
      </c>
      <c r="E29" s="9" t="s">
        <v>24</v>
      </c>
      <c r="F29" s="9" t="s">
        <v>88</v>
      </c>
      <c r="G29" s="9"/>
      <c r="H29" s="9"/>
      <c r="I29" s="34"/>
      <c r="J29" s="9" t="s">
        <v>88</v>
      </c>
      <c r="K29" s="10">
        <v>3000</v>
      </c>
      <c r="L29" s="9"/>
      <c r="M29" s="9"/>
      <c r="N29" s="9"/>
    </row>
    <row r="30" spans="1:17" x14ac:dyDescent="0.35">
      <c r="A30" s="9" t="s">
        <v>1503</v>
      </c>
      <c r="B30" s="9" t="s">
        <v>118</v>
      </c>
      <c r="C30" s="10">
        <v>3000</v>
      </c>
      <c r="D30" s="10"/>
      <c r="E30" s="9"/>
      <c r="F30" s="9"/>
      <c r="G30" s="9"/>
      <c r="H30" s="9"/>
      <c r="I30" s="34"/>
      <c r="J30" s="9"/>
      <c r="K30" s="10"/>
      <c r="L30" s="9"/>
      <c r="M30" s="9"/>
      <c r="N30" s="9"/>
    </row>
    <row r="31" spans="1:17" x14ac:dyDescent="0.35">
      <c r="A31" s="9" t="s">
        <v>146</v>
      </c>
      <c r="B31" s="9" t="s">
        <v>118</v>
      </c>
      <c r="C31" s="10">
        <v>3000</v>
      </c>
      <c r="D31" s="10">
        <v>3000</v>
      </c>
      <c r="E31" s="9" t="s">
        <v>24</v>
      </c>
      <c r="F31" s="9" t="s">
        <v>147</v>
      </c>
      <c r="G31" s="9"/>
      <c r="H31" s="9"/>
      <c r="I31" s="34"/>
      <c r="J31" s="9" t="s">
        <v>148</v>
      </c>
      <c r="K31" s="10">
        <v>3000</v>
      </c>
      <c r="L31" s="9" t="s">
        <v>149</v>
      </c>
      <c r="M31" s="9"/>
      <c r="N31" s="9" t="s">
        <v>150</v>
      </c>
    </row>
    <row r="32" spans="1:17" x14ac:dyDescent="0.35">
      <c r="A32" s="9" t="s">
        <v>1207</v>
      </c>
      <c r="B32" s="9" t="s">
        <v>118</v>
      </c>
      <c r="C32" s="10">
        <v>3000</v>
      </c>
      <c r="D32" s="10">
        <v>3000</v>
      </c>
      <c r="E32" s="9" t="s">
        <v>95</v>
      </c>
      <c r="F32" s="9" t="s">
        <v>1115</v>
      </c>
      <c r="G32" s="9"/>
      <c r="H32" s="9"/>
      <c r="I32" s="34"/>
      <c r="J32" s="9" t="s">
        <v>663</v>
      </c>
      <c r="K32" s="10">
        <v>3000</v>
      </c>
      <c r="L32" s="9" t="s">
        <v>1208</v>
      </c>
      <c r="M32" s="9"/>
      <c r="N32" s="9" t="s">
        <v>1209</v>
      </c>
    </row>
    <row r="33" spans="1:14" x14ac:dyDescent="0.35">
      <c r="A33" s="9" t="s">
        <v>1055</v>
      </c>
      <c r="B33" s="9" t="s">
        <v>118</v>
      </c>
      <c r="C33" s="10">
        <v>3000</v>
      </c>
      <c r="D33" s="10">
        <v>3000</v>
      </c>
      <c r="E33" s="9" t="s">
        <v>37</v>
      </c>
      <c r="F33" s="9" t="s">
        <v>439</v>
      </c>
      <c r="G33" s="9"/>
      <c r="H33" s="157" t="s">
        <v>27</v>
      </c>
      <c r="I33" s="34"/>
      <c r="J33" s="27" t="s">
        <v>73</v>
      </c>
      <c r="K33" s="27">
        <v>3000</v>
      </c>
      <c r="L33" s="27" t="s">
        <v>1057</v>
      </c>
      <c r="M33" s="27"/>
      <c r="N33" s="27" t="s">
        <v>1058</v>
      </c>
    </row>
    <row r="34" spans="1:14" x14ac:dyDescent="0.35">
      <c r="A34" s="9" t="s">
        <v>286</v>
      </c>
      <c r="B34" s="9" t="s">
        <v>118</v>
      </c>
      <c r="C34" s="10">
        <v>3000</v>
      </c>
      <c r="D34" s="10">
        <v>3000</v>
      </c>
      <c r="E34" s="9" t="s">
        <v>24</v>
      </c>
      <c r="F34" s="9"/>
      <c r="G34" s="9"/>
      <c r="H34" s="9"/>
      <c r="I34" s="34"/>
      <c r="J34" s="9" t="s">
        <v>287</v>
      </c>
      <c r="K34" s="10">
        <v>3000</v>
      </c>
      <c r="L34" s="9"/>
      <c r="M34" s="9"/>
      <c r="N34" s="9"/>
    </row>
    <row r="35" spans="1:14" x14ac:dyDescent="0.35">
      <c r="A35" s="9" t="s">
        <v>896</v>
      </c>
      <c r="B35" s="9" t="s">
        <v>118</v>
      </c>
      <c r="C35" s="10">
        <v>3000</v>
      </c>
      <c r="D35" s="10"/>
      <c r="E35" s="9"/>
      <c r="F35" s="9"/>
      <c r="G35" s="9"/>
      <c r="H35" s="9"/>
      <c r="I35" s="34"/>
      <c r="J35" s="9"/>
      <c r="K35" s="10"/>
      <c r="L35" s="9"/>
      <c r="M35" s="9"/>
      <c r="N35" s="9"/>
    </row>
    <row r="36" spans="1:14" ht="43.5" x14ac:dyDescent="0.35">
      <c r="A36" s="9" t="s">
        <v>1214</v>
      </c>
      <c r="B36" s="9" t="s">
        <v>118</v>
      </c>
      <c r="C36" s="10">
        <v>3000</v>
      </c>
      <c r="D36" s="10">
        <v>3000</v>
      </c>
      <c r="E36" s="9" t="s">
        <v>95</v>
      </c>
      <c r="F36" s="9" t="s">
        <v>83</v>
      </c>
      <c r="G36" s="9"/>
      <c r="H36" s="94" t="s">
        <v>27</v>
      </c>
      <c r="I36" s="34"/>
      <c r="J36" s="9" t="s">
        <v>651</v>
      </c>
      <c r="K36" s="10">
        <v>3000</v>
      </c>
      <c r="L36" s="9"/>
      <c r="M36" s="9"/>
      <c r="N36" s="9"/>
    </row>
    <row r="37" spans="1:14" x14ac:dyDescent="0.35">
      <c r="A37" s="9" t="s">
        <v>232</v>
      </c>
      <c r="B37" s="9" t="s">
        <v>118</v>
      </c>
      <c r="C37" s="10">
        <v>3000</v>
      </c>
      <c r="D37" s="10">
        <v>3000</v>
      </c>
      <c r="E37" s="9" t="s">
        <v>24</v>
      </c>
      <c r="F37" s="9" t="s">
        <v>42</v>
      </c>
      <c r="G37" s="9"/>
      <c r="H37" s="9"/>
      <c r="I37" s="34"/>
      <c r="J37" s="9" t="s">
        <v>418</v>
      </c>
      <c r="K37" s="10">
        <v>3000</v>
      </c>
      <c r="L37" s="9" t="s">
        <v>233</v>
      </c>
      <c r="M37" s="9"/>
      <c r="N37" s="9" t="s">
        <v>234</v>
      </c>
    </row>
    <row r="38" spans="1:14" x14ac:dyDescent="0.35">
      <c r="A38" s="9" t="s">
        <v>1516</v>
      </c>
      <c r="B38" s="9" t="s">
        <v>118</v>
      </c>
      <c r="C38" s="10">
        <v>3000</v>
      </c>
      <c r="D38" s="10"/>
      <c r="E38" s="9"/>
      <c r="F38" s="9"/>
      <c r="G38" s="9"/>
      <c r="H38" s="9"/>
      <c r="I38" s="34"/>
      <c r="J38" s="9"/>
      <c r="K38" s="10"/>
      <c r="L38" s="9"/>
      <c r="M38" s="9"/>
      <c r="N38" s="9"/>
    </row>
    <row r="39" spans="1:14" ht="43.5" x14ac:dyDescent="0.35">
      <c r="A39" s="9" t="s">
        <v>70</v>
      </c>
      <c r="B39" s="9" t="s">
        <v>118</v>
      </c>
      <c r="C39" s="10">
        <v>3000</v>
      </c>
      <c r="D39" s="10">
        <v>3000</v>
      </c>
      <c r="E39" s="9" t="s">
        <v>37</v>
      </c>
      <c r="F39" s="9" t="s">
        <v>71</v>
      </c>
      <c r="G39" s="9" t="s">
        <v>335</v>
      </c>
      <c r="H39" s="9"/>
      <c r="I39" s="34"/>
      <c r="J39" s="195">
        <v>46001</v>
      </c>
      <c r="K39" s="10">
        <v>3000</v>
      </c>
      <c r="L39" s="9" t="s">
        <v>74</v>
      </c>
      <c r="M39" s="9"/>
      <c r="N39" s="87" t="s">
        <v>75</v>
      </c>
    </row>
    <row r="40" spans="1:14" x14ac:dyDescent="0.35">
      <c r="A40" s="9" t="s">
        <v>40</v>
      </c>
      <c r="B40" s="9" t="s">
        <v>118</v>
      </c>
      <c r="C40" s="10">
        <v>3000</v>
      </c>
      <c r="D40" s="10">
        <v>3000</v>
      </c>
      <c r="E40" s="9" t="s">
        <v>24</v>
      </c>
      <c r="F40" s="9" t="s">
        <v>42</v>
      </c>
      <c r="G40" s="9"/>
      <c r="H40" s="94" t="s">
        <v>27</v>
      </c>
      <c r="I40" s="34"/>
      <c r="J40" s="9" t="s">
        <v>128</v>
      </c>
      <c r="K40" s="10">
        <v>3000</v>
      </c>
      <c r="L40" s="9" t="s">
        <v>45</v>
      </c>
      <c r="M40" s="9"/>
      <c r="N40" s="9" t="s">
        <v>46</v>
      </c>
    </row>
    <row r="41" spans="1:14" x14ac:dyDescent="0.35">
      <c r="A41" s="9" t="s">
        <v>424</v>
      </c>
      <c r="B41" s="9" t="s">
        <v>118</v>
      </c>
      <c r="C41" s="10">
        <v>3000</v>
      </c>
      <c r="D41" s="10"/>
      <c r="E41" s="9"/>
      <c r="F41" s="9"/>
      <c r="G41" s="9"/>
      <c r="H41" s="9"/>
      <c r="I41" s="34"/>
      <c r="J41" s="9"/>
      <c r="K41" s="10"/>
      <c r="L41" s="9"/>
      <c r="M41" s="9"/>
      <c r="N41" s="9"/>
    </row>
    <row r="42" spans="1:14" ht="29" x14ac:dyDescent="0.35">
      <c r="A42" s="9" t="s">
        <v>117</v>
      </c>
      <c r="B42" s="9" t="s">
        <v>118</v>
      </c>
      <c r="C42" s="10">
        <v>3000</v>
      </c>
      <c r="D42" s="10">
        <v>3000</v>
      </c>
      <c r="E42" s="9" t="s">
        <v>95</v>
      </c>
      <c r="F42" s="9" t="s">
        <v>119</v>
      </c>
      <c r="G42" s="9"/>
      <c r="H42" s="9"/>
      <c r="I42" s="34"/>
      <c r="J42" s="9" t="s">
        <v>511</v>
      </c>
      <c r="K42" s="10">
        <v>3000</v>
      </c>
      <c r="L42" s="9" t="s">
        <v>1230</v>
      </c>
      <c r="M42" s="9"/>
      <c r="N42" s="87" t="s">
        <v>123</v>
      </c>
    </row>
    <row r="43" spans="1:14" x14ac:dyDescent="0.35">
      <c r="A43" s="9" t="s">
        <v>52</v>
      </c>
      <c r="B43" s="9" t="s">
        <v>118</v>
      </c>
      <c r="C43" s="10">
        <v>3000</v>
      </c>
      <c r="D43" s="10">
        <v>3000</v>
      </c>
      <c r="E43" s="9" t="s">
        <v>24</v>
      </c>
      <c r="F43" s="9" t="s">
        <v>53</v>
      </c>
      <c r="G43" s="9"/>
      <c r="H43" s="93" t="s">
        <v>27</v>
      </c>
      <c r="I43" s="34"/>
      <c r="J43" s="34" t="s">
        <v>1231</v>
      </c>
      <c r="K43" s="35">
        <v>3000</v>
      </c>
      <c r="L43" s="34" t="s">
        <v>54</v>
      </c>
      <c r="M43" s="34"/>
      <c r="N43" s="34" t="s">
        <v>55</v>
      </c>
    </row>
    <row r="44" spans="1:14" x14ac:dyDescent="0.35">
      <c r="A44" s="9" t="s">
        <v>718</v>
      </c>
      <c r="B44" s="9" t="s">
        <v>118</v>
      </c>
      <c r="C44" s="10">
        <v>3000</v>
      </c>
      <c r="D44" s="10">
        <v>3000</v>
      </c>
      <c r="E44" s="9" t="s">
        <v>86</v>
      </c>
      <c r="F44" s="9" t="s">
        <v>1078</v>
      </c>
      <c r="G44" s="9"/>
      <c r="H44" s="9"/>
      <c r="I44" s="34"/>
      <c r="J44" s="9" t="s">
        <v>172</v>
      </c>
      <c r="K44" s="10">
        <v>3000</v>
      </c>
      <c r="L44" s="9"/>
      <c r="M44" s="9"/>
      <c r="N44" s="9"/>
    </row>
    <row r="45" spans="1:14" x14ac:dyDescent="0.35">
      <c r="A45" s="9" t="s">
        <v>289</v>
      </c>
      <c r="B45" s="9" t="s">
        <v>118</v>
      </c>
      <c r="C45" s="10">
        <v>3000</v>
      </c>
      <c r="D45" s="10">
        <v>3000</v>
      </c>
      <c r="E45" s="9" t="s">
        <v>37</v>
      </c>
      <c r="F45" s="9" t="s">
        <v>115</v>
      </c>
      <c r="G45" s="9"/>
      <c r="H45" s="93" t="s">
        <v>27</v>
      </c>
      <c r="I45" s="34"/>
      <c r="J45" s="195">
        <v>45902</v>
      </c>
      <c r="K45" s="10">
        <v>3000</v>
      </c>
      <c r="L45" s="9" t="s">
        <v>1237</v>
      </c>
      <c r="M45" s="9"/>
      <c r="N45" s="81" t="s">
        <v>1580</v>
      </c>
    </row>
    <row r="47" spans="1:14" x14ac:dyDescent="0.35">
      <c r="K47" s="29">
        <f>SUM(K9:K46)</f>
        <v>90000</v>
      </c>
    </row>
    <row r="299" spans="5:5" x14ac:dyDescent="0.35">
      <c r="E299" s="5" t="s">
        <v>47</v>
      </c>
    </row>
    <row r="300" spans="5:5" x14ac:dyDescent="0.35">
      <c r="E300" s="5" t="s">
        <v>37</v>
      </c>
    </row>
    <row r="301" spans="5:5" x14ac:dyDescent="0.35">
      <c r="E301" s="5" t="s">
        <v>24</v>
      </c>
    </row>
    <row r="302" spans="5:5" x14ac:dyDescent="0.35">
      <c r="E302" s="5" t="s">
        <v>62</v>
      </c>
    </row>
    <row r="303" spans="5:5" x14ac:dyDescent="0.35">
      <c r="E303" s="5" t="s">
        <v>56</v>
      </c>
    </row>
    <row r="304" spans="5:5" x14ac:dyDescent="0.35">
      <c r="E304" s="5" t="s">
        <v>50</v>
      </c>
    </row>
    <row r="305" spans="5:5" x14ac:dyDescent="0.35">
      <c r="E305" s="5" t="s">
        <v>91</v>
      </c>
    </row>
    <row r="306" spans="5:5" x14ac:dyDescent="0.35">
      <c r="E306" s="5" t="s">
        <v>90</v>
      </c>
    </row>
    <row r="307" spans="5:5" x14ac:dyDescent="0.35">
      <c r="E307" s="5" t="s">
        <v>86</v>
      </c>
    </row>
    <row r="308" spans="5:5" x14ac:dyDescent="0.35">
      <c r="E308" s="5" t="s">
        <v>81</v>
      </c>
    </row>
    <row r="309" spans="5:5" x14ac:dyDescent="0.35">
      <c r="E309" s="5" t="s">
        <v>76</v>
      </c>
    </row>
    <row r="310" spans="5:5" x14ac:dyDescent="0.35">
      <c r="E310" s="5" t="s">
        <v>68</v>
      </c>
    </row>
    <row r="311" spans="5:5" x14ac:dyDescent="0.35">
      <c r="E311" s="5" t="s">
        <v>94</v>
      </c>
    </row>
    <row r="312" spans="5:5" x14ac:dyDescent="0.35">
      <c r="E312" s="5" t="s">
        <v>93</v>
      </c>
    </row>
    <row r="313" spans="5:5" x14ac:dyDescent="0.35">
      <c r="E313" s="5" t="s">
        <v>92</v>
      </c>
    </row>
    <row r="314" spans="5:5" x14ac:dyDescent="0.35">
      <c r="E314" s="5" t="s">
        <v>97</v>
      </c>
    </row>
    <row r="315" spans="5:5" x14ac:dyDescent="0.35">
      <c r="E315" s="5" t="s">
        <v>96</v>
      </c>
    </row>
    <row r="316" spans="5:5" x14ac:dyDescent="0.35">
      <c r="E316" s="5" t="s">
        <v>95</v>
      </c>
    </row>
  </sheetData>
  <sortState xmlns:xlrd2="http://schemas.microsoft.com/office/spreadsheetml/2017/richdata2" ref="A9:M39">
    <sortCondition ref="A39"/>
  </sortState>
  <hyperlinks>
    <hyperlink ref="N42" r:id="rId2" display="amyw@uca.edu; " xr:uid="{31AE055D-0707-460C-934A-4AFA9EF74014}"/>
    <hyperlink ref="N9" r:id="rId3" display="mailto:Crystal.Floyd@acxiom.com" xr:uid="{C9AF232E-D611-45F3-B1BF-89293B193D5A}"/>
    <hyperlink ref="N39" r:id="rId4" xr:uid="{C4E93516-8C8D-440A-8C1E-CC802C7C5F10}"/>
    <hyperlink ref="N13" r:id="rId5" xr:uid="{4E111B67-0508-4C7A-B149-B2291D5812B7}"/>
    <hyperlink ref="N22" r:id="rId6" xr:uid="{65D62747-7CDD-4084-9116-26F7F06A9C28}"/>
    <hyperlink ref="N10" r:id="rId7" display="mailto:mcahillwicks@arvest.com" xr:uid="{7BFE8D36-3DFB-4B5B-B0BC-8EA1F7003E6A}"/>
    <hyperlink ref="N28" r:id="rId8" display="mailto:twhite@hsaconsultants.com" xr:uid="{53B00EDA-A44D-4DDE-A776-173607D72CF2}"/>
    <hyperlink ref="N24" r:id="rId9" display="mailto:DLTackett@GarverUSA.com" xr:uid="{779C1C83-2684-41B6-9B2C-7218B6E1BE74}"/>
    <hyperlink ref="N45" r:id="rId10" display="mailto:will.ford@westrockcoffee.com" xr:uid="{9C76AAD3-F658-4B20-A7B4-2D24833B0CA2}"/>
    <hyperlink ref="N12" r:id="rId11" display="mailto:jamar.murchison@claytonhomes.com" xr:uid="{1FC02D84-22A2-4FF2-8D4B-3DFE46BD49FB}"/>
    <hyperlink ref="N20" r:id="rId12" display="mailto:Grant.Gordy@firstcommunity.net" xr:uid="{4686EF8D-10AB-478B-8DA6-867E7EB81B44}"/>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7620A-71FD-42CF-B3F2-899AAE3908DC}">
  <dimension ref="A1:Q317"/>
  <sheetViews>
    <sheetView workbookViewId="0">
      <pane ySplit="8" topLeftCell="A36" activePane="bottomLeft" state="frozen"/>
      <selection pane="bottomLeft" activeCell="K38" sqref="K38"/>
    </sheetView>
  </sheetViews>
  <sheetFormatPr defaultColWidth="35.453125" defaultRowHeight="14.5" x14ac:dyDescent="0.35"/>
  <cols>
    <col min="1" max="1" width="36.26953125" style="5" customWidth="1"/>
    <col min="2" max="2" width="15.54296875" style="5" bestFit="1" customWidth="1"/>
    <col min="3" max="3" width="13.7265625" style="5" customWidth="1"/>
    <col min="4" max="4" width="15.81640625" style="5" bestFit="1" customWidth="1"/>
    <col min="5" max="5" width="8.7265625" style="5" bestFit="1" customWidth="1"/>
    <col min="6" max="6" width="11.1796875" style="5" bestFit="1" customWidth="1"/>
    <col min="7" max="7" width="34.81640625" style="5" bestFit="1" customWidth="1"/>
    <col min="8" max="8" width="16.26953125" style="5" bestFit="1" customWidth="1"/>
    <col min="9" max="9" width="14.54296875" style="5" bestFit="1" customWidth="1"/>
    <col min="10" max="10" width="10.26953125" style="5" bestFit="1" customWidth="1"/>
    <col min="11" max="11" width="14.453125" style="5" bestFit="1" customWidth="1"/>
    <col min="12" max="12" width="26.54296875" style="5" bestFit="1" customWidth="1"/>
    <col min="13" max="13" width="21.1796875" style="5" customWidth="1"/>
    <col min="14" max="14" width="55" style="5" customWidth="1"/>
    <col min="15" max="15" width="35.453125" style="5"/>
    <col min="16" max="16" width="11" style="5" bestFit="1" customWidth="1"/>
    <col min="17" max="17" width="11.1796875" style="5" bestFit="1" customWidth="1"/>
    <col min="18" max="16384" width="35.453125" style="5"/>
  </cols>
  <sheetData>
    <row r="1" spans="1:17" x14ac:dyDescent="0.35">
      <c r="A1" s="4" t="s">
        <v>1581</v>
      </c>
      <c r="B1" s="4">
        <v>2025</v>
      </c>
    </row>
    <row r="2" spans="1:17" x14ac:dyDescent="0.35">
      <c r="A2" s="6" t="s">
        <v>1</v>
      </c>
      <c r="B2" s="7">
        <f>SUM(D9:D76)</f>
        <v>108750</v>
      </c>
      <c r="K2" s="11" t="s">
        <v>2</v>
      </c>
      <c r="N2" s="4"/>
    </row>
    <row r="3" spans="1:17" x14ac:dyDescent="0.35">
      <c r="A3" s="6" t="s">
        <v>3</v>
      </c>
      <c r="B3" s="7">
        <v>0</v>
      </c>
      <c r="K3" s="7">
        <f>SUM(K76-B2)</f>
        <v>-13000</v>
      </c>
    </row>
    <row r="4" spans="1:17" x14ac:dyDescent="0.35">
      <c r="A4" s="6" t="s">
        <v>4</v>
      </c>
      <c r="B4" s="7">
        <f>MIN(B3-B2)</f>
        <v>-108750</v>
      </c>
      <c r="K4" s="42">
        <f>K76/B2</f>
        <v>0.88045977011494247</v>
      </c>
      <c r="N4" s="4"/>
    </row>
    <row r="5" spans="1:17" x14ac:dyDescent="0.35">
      <c r="A5" s="6" t="s">
        <v>5</v>
      </c>
      <c r="B5" s="7">
        <v>75000</v>
      </c>
    </row>
    <row r="6" spans="1:17" x14ac:dyDescent="0.35">
      <c r="A6" s="6" t="s">
        <v>4</v>
      </c>
      <c r="B6" s="7">
        <f>MIN(B2-B5)</f>
        <v>33750</v>
      </c>
    </row>
    <row r="8" spans="1:17"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38" t="s">
        <v>10</v>
      </c>
      <c r="Q8" s="38" t="s">
        <v>20</v>
      </c>
    </row>
    <row r="9" spans="1:17" x14ac:dyDescent="0.35">
      <c r="A9" s="9" t="s">
        <v>187</v>
      </c>
      <c r="B9" s="9" t="s">
        <v>32</v>
      </c>
      <c r="C9" s="10">
        <v>10000</v>
      </c>
      <c r="D9" s="10">
        <v>2500</v>
      </c>
      <c r="E9" s="9" t="s">
        <v>24</v>
      </c>
      <c r="F9" s="9" t="s">
        <v>189</v>
      </c>
      <c r="G9" s="9"/>
      <c r="H9" s="94" t="s">
        <v>27</v>
      </c>
      <c r="I9" s="9"/>
      <c r="J9" s="9" t="s">
        <v>172</v>
      </c>
      <c r="K9" s="239">
        <v>2500</v>
      </c>
      <c r="L9" s="9" t="s">
        <v>190</v>
      </c>
      <c r="M9" s="9"/>
      <c r="N9" s="9" t="s">
        <v>191</v>
      </c>
      <c r="P9" s="39" t="s">
        <v>24</v>
      </c>
      <c r="Q9" s="10">
        <v>2500</v>
      </c>
    </row>
    <row r="10" spans="1:17" x14ac:dyDescent="0.35">
      <c r="A10" s="9" t="s">
        <v>48</v>
      </c>
      <c r="B10" s="9" t="s">
        <v>32</v>
      </c>
      <c r="C10" s="10">
        <v>10000</v>
      </c>
      <c r="D10" s="10">
        <v>5000</v>
      </c>
      <c r="E10" s="9" t="s">
        <v>37</v>
      </c>
      <c r="F10" s="9" t="s">
        <v>64</v>
      </c>
      <c r="G10" s="9"/>
      <c r="H10" s="9"/>
      <c r="I10" s="9" t="s">
        <v>1582</v>
      </c>
      <c r="J10" s="195">
        <v>45961</v>
      </c>
      <c r="K10" s="239">
        <v>5000</v>
      </c>
      <c r="L10" s="9" t="s">
        <v>66</v>
      </c>
      <c r="M10" s="9"/>
      <c r="N10" s="87" t="s">
        <v>67</v>
      </c>
      <c r="P10" s="39" t="s">
        <v>37</v>
      </c>
      <c r="Q10" s="10">
        <v>55500</v>
      </c>
    </row>
    <row r="11" spans="1:17" x14ac:dyDescent="0.35">
      <c r="A11" s="9" t="s">
        <v>40</v>
      </c>
      <c r="B11" s="9" t="s">
        <v>32</v>
      </c>
      <c r="C11" s="10">
        <v>10000</v>
      </c>
      <c r="D11" s="10">
        <v>5000</v>
      </c>
      <c r="E11" s="9" t="s">
        <v>37</v>
      </c>
      <c r="F11" s="9" t="s">
        <v>42</v>
      </c>
      <c r="G11" s="9"/>
      <c r="H11" s="94" t="s">
        <v>27</v>
      </c>
      <c r="I11" s="9"/>
      <c r="J11" s="195">
        <v>46008</v>
      </c>
      <c r="K11" s="239">
        <v>5000</v>
      </c>
      <c r="L11" s="9" t="s">
        <v>45</v>
      </c>
      <c r="M11" s="9"/>
      <c r="N11" s="9" t="s">
        <v>46</v>
      </c>
      <c r="P11" s="39" t="s">
        <v>47</v>
      </c>
      <c r="Q11" s="10"/>
    </row>
    <row r="12" spans="1:17" x14ac:dyDescent="0.35">
      <c r="A12" s="9" t="s">
        <v>160</v>
      </c>
      <c r="B12" s="9" t="s">
        <v>32</v>
      </c>
      <c r="C12" s="10">
        <v>10000</v>
      </c>
      <c r="D12" s="10">
        <v>5000</v>
      </c>
      <c r="E12" s="9" t="s">
        <v>90</v>
      </c>
      <c r="F12" s="9" t="s">
        <v>161</v>
      </c>
      <c r="G12" s="9"/>
      <c r="H12" s="9"/>
      <c r="I12" s="9" t="s">
        <v>1582</v>
      </c>
      <c r="J12" s="195">
        <v>45902</v>
      </c>
      <c r="K12" s="239">
        <v>5000</v>
      </c>
      <c r="L12" s="9" t="s">
        <v>163</v>
      </c>
      <c r="M12" s="9"/>
      <c r="N12" s="87" t="s">
        <v>164</v>
      </c>
      <c r="P12" s="39" t="s">
        <v>50</v>
      </c>
      <c r="Q12" s="10"/>
    </row>
    <row r="13" spans="1:17" ht="43.5" x14ac:dyDescent="0.35">
      <c r="A13" s="9" t="s">
        <v>1220</v>
      </c>
      <c r="B13" s="9" t="s">
        <v>32</v>
      </c>
      <c r="C13" s="10">
        <v>10000</v>
      </c>
      <c r="D13" s="10">
        <v>5000</v>
      </c>
      <c r="E13" s="9" t="s">
        <v>37</v>
      </c>
      <c r="F13" s="9" t="s">
        <v>736</v>
      </c>
      <c r="G13" s="9" t="s">
        <v>1583</v>
      </c>
      <c r="H13" s="9"/>
      <c r="I13" s="9" t="s">
        <v>598</v>
      </c>
      <c r="J13" s="195">
        <v>45939</v>
      </c>
      <c r="K13" s="239">
        <v>5000</v>
      </c>
      <c r="L13" s="9" t="s">
        <v>1584</v>
      </c>
      <c r="M13" s="9"/>
      <c r="N13" s="92" t="s">
        <v>1585</v>
      </c>
      <c r="P13" s="39" t="s">
        <v>56</v>
      </c>
      <c r="Q13" s="10">
        <v>7500</v>
      </c>
    </row>
    <row r="14" spans="1:17" x14ac:dyDescent="0.35">
      <c r="A14" s="9" t="s">
        <v>1586</v>
      </c>
      <c r="B14" s="9" t="s">
        <v>32</v>
      </c>
      <c r="C14" s="10">
        <v>10000</v>
      </c>
      <c r="D14" s="10">
        <v>5000</v>
      </c>
      <c r="E14" s="9" t="s">
        <v>96</v>
      </c>
      <c r="F14" s="9" t="s">
        <v>1176</v>
      </c>
      <c r="G14" s="9"/>
      <c r="H14" s="9"/>
      <c r="I14" s="19" t="s">
        <v>598</v>
      </c>
      <c r="J14" s="195">
        <v>45930</v>
      </c>
      <c r="K14" s="9">
        <v>5000</v>
      </c>
      <c r="L14" s="9" t="s">
        <v>1587</v>
      </c>
      <c r="M14" s="9"/>
      <c r="N14" s="92" t="s">
        <v>1588</v>
      </c>
      <c r="P14" s="39" t="s">
        <v>62</v>
      </c>
      <c r="Q14" s="10"/>
    </row>
    <row r="15" spans="1:17" x14ac:dyDescent="0.35">
      <c r="A15" s="9" t="s">
        <v>1233</v>
      </c>
      <c r="B15" s="9" t="s">
        <v>131</v>
      </c>
      <c r="C15" s="10">
        <v>5000</v>
      </c>
      <c r="D15" s="10">
        <v>3500</v>
      </c>
      <c r="E15" s="9" t="s">
        <v>90</v>
      </c>
      <c r="F15" s="9" t="s">
        <v>1589</v>
      </c>
      <c r="G15" s="9"/>
      <c r="H15" s="9"/>
      <c r="I15" s="9" t="s">
        <v>1590</v>
      </c>
      <c r="J15" s="195">
        <v>45951</v>
      </c>
      <c r="K15" s="239">
        <v>3500</v>
      </c>
      <c r="L15" s="9" t="s">
        <v>1591</v>
      </c>
      <c r="M15" s="9"/>
      <c r="N15" s="87" t="s">
        <v>1592</v>
      </c>
      <c r="P15" s="39" t="s">
        <v>68</v>
      </c>
      <c r="Q15" s="10"/>
    </row>
    <row r="16" spans="1:17" x14ac:dyDescent="0.35">
      <c r="A16" s="9" t="s">
        <v>298</v>
      </c>
      <c r="B16" s="9" t="s">
        <v>131</v>
      </c>
      <c r="C16" s="10">
        <v>5000</v>
      </c>
      <c r="D16" s="10">
        <v>5000</v>
      </c>
      <c r="E16" s="9" t="s">
        <v>37</v>
      </c>
      <c r="F16" s="9" t="s">
        <v>1593</v>
      </c>
      <c r="G16" s="9"/>
      <c r="H16" s="9"/>
      <c r="I16" s="9" t="s">
        <v>1590</v>
      </c>
      <c r="J16" s="195">
        <v>45966</v>
      </c>
      <c r="K16" s="239">
        <v>5000</v>
      </c>
      <c r="L16" s="9" t="s">
        <v>461</v>
      </c>
      <c r="M16" s="9"/>
      <c r="N16" s="9" t="s">
        <v>462</v>
      </c>
      <c r="P16" s="39" t="s">
        <v>76</v>
      </c>
      <c r="Q16" s="10">
        <v>6500</v>
      </c>
    </row>
    <row r="17" spans="1:17" x14ac:dyDescent="0.35">
      <c r="A17" s="9"/>
      <c r="B17" s="9" t="s">
        <v>131</v>
      </c>
      <c r="C17" s="10">
        <v>5000</v>
      </c>
      <c r="D17" s="10"/>
      <c r="E17" s="9"/>
      <c r="F17" s="9"/>
      <c r="G17" s="9"/>
      <c r="H17" s="9"/>
      <c r="I17" s="9"/>
      <c r="J17" s="9"/>
      <c r="K17" s="239"/>
      <c r="L17" s="9"/>
      <c r="M17" s="9"/>
      <c r="N17" s="9"/>
      <c r="P17" s="39" t="s">
        <v>81</v>
      </c>
      <c r="Q17" s="10"/>
    </row>
    <row r="18" spans="1:17" x14ac:dyDescent="0.35">
      <c r="A18" s="9"/>
      <c r="B18" s="9" t="s">
        <v>131</v>
      </c>
      <c r="C18" s="10">
        <v>5000</v>
      </c>
      <c r="D18" s="10"/>
      <c r="E18" s="9"/>
      <c r="F18" s="9"/>
      <c r="G18" s="9"/>
      <c r="H18" s="9"/>
      <c r="I18" s="9"/>
      <c r="J18" s="9"/>
      <c r="K18" s="239"/>
      <c r="L18" s="9"/>
      <c r="M18" s="9"/>
      <c r="N18" s="9"/>
      <c r="P18" s="39" t="s">
        <v>86</v>
      </c>
      <c r="Q18" s="10"/>
    </row>
    <row r="19" spans="1:17" ht="43.5" x14ac:dyDescent="0.35">
      <c r="A19" s="9" t="s">
        <v>170</v>
      </c>
      <c r="B19" s="9" t="s">
        <v>39</v>
      </c>
      <c r="C19" s="10">
        <v>2500</v>
      </c>
      <c r="D19" s="10">
        <v>2500</v>
      </c>
      <c r="E19" s="9" t="s">
        <v>37</v>
      </c>
      <c r="F19" s="9" t="s">
        <v>227</v>
      </c>
      <c r="G19" s="9" t="s">
        <v>228</v>
      </c>
      <c r="H19" s="9"/>
      <c r="I19" s="9" t="s">
        <v>1582</v>
      </c>
      <c r="J19" s="195">
        <v>45902</v>
      </c>
      <c r="K19" s="239">
        <f>1250+1250</f>
        <v>2500</v>
      </c>
      <c r="L19" s="9" t="s">
        <v>230</v>
      </c>
      <c r="M19" s="9"/>
      <c r="N19" s="9" t="s">
        <v>231</v>
      </c>
      <c r="P19" s="39" t="s">
        <v>90</v>
      </c>
      <c r="Q19" s="10">
        <v>10250</v>
      </c>
    </row>
    <row r="20" spans="1:17" x14ac:dyDescent="0.35">
      <c r="A20" s="9" t="s">
        <v>232</v>
      </c>
      <c r="B20" s="9" t="s">
        <v>39</v>
      </c>
      <c r="C20" s="10">
        <v>2500</v>
      </c>
      <c r="D20" s="10">
        <v>2500</v>
      </c>
      <c r="E20" s="9" t="s">
        <v>37</v>
      </c>
      <c r="F20" s="9" t="s">
        <v>42</v>
      </c>
      <c r="G20" s="9"/>
      <c r="H20" s="9"/>
      <c r="I20" s="9" t="s">
        <v>1582</v>
      </c>
      <c r="J20" s="195">
        <v>45902</v>
      </c>
      <c r="K20" s="239">
        <v>2500</v>
      </c>
      <c r="L20" s="9" t="s">
        <v>233</v>
      </c>
      <c r="M20" s="9"/>
      <c r="N20" s="9" t="s">
        <v>234</v>
      </c>
      <c r="P20" s="39" t="s">
        <v>91</v>
      </c>
      <c r="Q20" s="10"/>
    </row>
    <row r="21" spans="1:17" ht="43.5" x14ac:dyDescent="0.35">
      <c r="A21" s="9" t="s">
        <v>70</v>
      </c>
      <c r="B21" s="9" t="s">
        <v>39</v>
      </c>
      <c r="C21" s="10">
        <v>2500</v>
      </c>
      <c r="D21" s="10">
        <v>2500</v>
      </c>
      <c r="E21" s="9" t="s">
        <v>37</v>
      </c>
      <c r="F21" s="9" t="s">
        <v>71</v>
      </c>
      <c r="G21" s="9" t="s">
        <v>335</v>
      </c>
      <c r="H21" s="9"/>
      <c r="I21" s="9" t="s">
        <v>1582</v>
      </c>
      <c r="J21" s="195">
        <v>46001</v>
      </c>
      <c r="K21" s="239">
        <v>2500</v>
      </c>
      <c r="L21" s="9" t="s">
        <v>74</v>
      </c>
      <c r="M21" s="9"/>
      <c r="N21" s="9" t="s">
        <v>75</v>
      </c>
      <c r="P21" s="39" t="s">
        <v>92</v>
      </c>
      <c r="Q21" s="10"/>
    </row>
    <row r="22" spans="1:17" x14ac:dyDescent="0.35">
      <c r="A22" s="9" t="s">
        <v>260</v>
      </c>
      <c r="B22" s="9" t="s">
        <v>39</v>
      </c>
      <c r="C22" s="10">
        <v>2500</v>
      </c>
      <c r="D22" s="10">
        <v>2500</v>
      </c>
      <c r="E22" s="9" t="s">
        <v>56</v>
      </c>
      <c r="F22" s="9" t="s">
        <v>261</v>
      </c>
      <c r="G22" s="9"/>
      <c r="H22" s="94" t="s">
        <v>27</v>
      </c>
      <c r="I22" s="9"/>
      <c r="J22" s="195">
        <v>45985</v>
      </c>
      <c r="K22" s="239">
        <v>2500</v>
      </c>
      <c r="L22" s="9" t="s">
        <v>262</v>
      </c>
      <c r="M22" s="9"/>
      <c r="N22" s="9" t="s">
        <v>263</v>
      </c>
      <c r="P22" s="39" t="s">
        <v>93</v>
      </c>
      <c r="Q22" s="10">
        <v>8000</v>
      </c>
    </row>
    <row r="23" spans="1:17" x14ac:dyDescent="0.35">
      <c r="A23" s="9" t="s">
        <v>194</v>
      </c>
      <c r="B23" s="9" t="s">
        <v>39</v>
      </c>
      <c r="C23" s="10">
        <v>2500</v>
      </c>
      <c r="D23" s="10">
        <v>2500</v>
      </c>
      <c r="E23" s="9" t="s">
        <v>56</v>
      </c>
      <c r="F23" s="9" t="s">
        <v>195</v>
      </c>
      <c r="G23" s="9"/>
      <c r="H23" s="94" t="s">
        <v>27</v>
      </c>
      <c r="I23" s="9"/>
      <c r="J23" s="195">
        <v>45924</v>
      </c>
      <c r="K23" s="239">
        <v>2500</v>
      </c>
      <c r="L23" s="9" t="s">
        <v>196</v>
      </c>
      <c r="M23" s="9"/>
      <c r="N23" s="9" t="s">
        <v>197</v>
      </c>
      <c r="P23" s="39" t="s">
        <v>94</v>
      </c>
      <c r="Q23" s="10"/>
    </row>
    <row r="24" spans="1:17" ht="29" x14ac:dyDescent="0.35">
      <c r="A24" s="9" t="s">
        <v>507</v>
      </c>
      <c r="B24" s="9" t="s">
        <v>39</v>
      </c>
      <c r="C24" s="10">
        <v>2500</v>
      </c>
      <c r="D24" s="10">
        <v>2500</v>
      </c>
      <c r="E24" s="9" t="s">
        <v>56</v>
      </c>
      <c r="F24" s="9" t="s">
        <v>381</v>
      </c>
      <c r="G24" s="9"/>
      <c r="H24" s="94" t="s">
        <v>27</v>
      </c>
      <c r="I24" s="195"/>
      <c r="J24" s="195" t="s">
        <v>1594</v>
      </c>
      <c r="K24" s="239">
        <f>543.75+1956.25</f>
        <v>2500</v>
      </c>
      <c r="L24" s="9" t="s">
        <v>508</v>
      </c>
      <c r="M24" s="9"/>
      <c r="N24" s="9" t="s">
        <v>509</v>
      </c>
      <c r="P24" s="39" t="s">
        <v>95</v>
      </c>
      <c r="Q24" s="10"/>
    </row>
    <row r="25" spans="1:17" ht="29" x14ac:dyDescent="0.35">
      <c r="A25" s="9" t="s">
        <v>1083</v>
      </c>
      <c r="B25" s="9" t="s">
        <v>39</v>
      </c>
      <c r="C25" s="10">
        <v>2500</v>
      </c>
      <c r="D25" s="10">
        <v>0</v>
      </c>
      <c r="E25" s="9" t="s">
        <v>96</v>
      </c>
      <c r="F25" s="9" t="s">
        <v>115</v>
      </c>
      <c r="G25" s="9" t="s">
        <v>1595</v>
      </c>
      <c r="H25" s="9"/>
      <c r="I25" s="9">
        <v>0</v>
      </c>
      <c r="J25" s="9"/>
      <c r="K25" s="239"/>
      <c r="L25" s="9" t="s">
        <v>1084</v>
      </c>
      <c r="M25" s="9"/>
      <c r="N25" s="9" t="s">
        <v>1085</v>
      </c>
      <c r="P25" s="39" t="s">
        <v>96</v>
      </c>
      <c r="Q25" s="10">
        <v>18500</v>
      </c>
    </row>
    <row r="26" spans="1:17" ht="29" x14ac:dyDescent="0.35">
      <c r="A26" s="9" t="s">
        <v>1055</v>
      </c>
      <c r="B26" s="9" t="s">
        <v>39</v>
      </c>
      <c r="C26" s="10">
        <v>2500</v>
      </c>
      <c r="D26" s="10">
        <v>2500</v>
      </c>
      <c r="E26" s="9" t="s">
        <v>37</v>
      </c>
      <c r="F26" s="9" t="s">
        <v>439</v>
      </c>
      <c r="G26" s="9" t="s">
        <v>1056</v>
      </c>
      <c r="H26" s="157" t="s">
        <v>27</v>
      </c>
      <c r="I26" s="9"/>
      <c r="J26" s="27" t="s">
        <v>73</v>
      </c>
      <c r="K26" s="239">
        <v>2500</v>
      </c>
      <c r="L26" s="27" t="s">
        <v>1057</v>
      </c>
      <c r="M26" s="27"/>
      <c r="N26" s="27" t="s">
        <v>1058</v>
      </c>
      <c r="P26" s="39" t="s">
        <v>97</v>
      </c>
      <c r="Q26" s="10"/>
    </row>
    <row r="27" spans="1:17" x14ac:dyDescent="0.35">
      <c r="A27" s="9" t="s">
        <v>1170</v>
      </c>
      <c r="B27" s="9" t="s">
        <v>39</v>
      </c>
      <c r="C27" s="10">
        <v>2500</v>
      </c>
      <c r="D27" s="10">
        <v>2000</v>
      </c>
      <c r="E27" s="9" t="s">
        <v>93</v>
      </c>
      <c r="F27" s="9" t="s">
        <v>771</v>
      </c>
      <c r="G27" s="9"/>
      <c r="H27" s="157" t="s">
        <v>27</v>
      </c>
      <c r="I27" s="9"/>
      <c r="J27" s="9"/>
      <c r="K27" s="239"/>
      <c r="L27" s="9" t="s">
        <v>1171</v>
      </c>
      <c r="M27" s="9"/>
      <c r="N27" s="87" t="s">
        <v>1172</v>
      </c>
      <c r="P27" s="39" t="s">
        <v>98</v>
      </c>
      <c r="Q27" s="10"/>
    </row>
    <row r="28" spans="1:17" x14ac:dyDescent="0.35">
      <c r="A28" s="9" t="s">
        <v>166</v>
      </c>
      <c r="B28" s="9" t="s">
        <v>39</v>
      </c>
      <c r="C28" s="10">
        <v>2500</v>
      </c>
      <c r="D28" s="10">
        <v>2500</v>
      </c>
      <c r="E28" s="9" t="s">
        <v>96</v>
      </c>
      <c r="F28" s="9" t="s">
        <v>1596</v>
      </c>
      <c r="G28" s="9"/>
      <c r="H28" s="9"/>
      <c r="I28" s="9" t="s">
        <v>972</v>
      </c>
      <c r="J28" s="195">
        <v>45918</v>
      </c>
      <c r="K28" s="239">
        <v>2500</v>
      </c>
      <c r="L28" s="9" t="s">
        <v>168</v>
      </c>
      <c r="M28" s="9"/>
      <c r="N28" s="87" t="s">
        <v>169</v>
      </c>
      <c r="P28" s="40" t="s">
        <v>99</v>
      </c>
      <c r="Q28" s="41">
        <v>108750</v>
      </c>
    </row>
    <row r="29" spans="1:17" x14ac:dyDescent="0.35">
      <c r="A29" s="9" t="s">
        <v>1507</v>
      </c>
      <c r="B29" s="9" t="s">
        <v>39</v>
      </c>
      <c r="C29" s="10">
        <v>2500</v>
      </c>
      <c r="D29" s="10">
        <v>2500</v>
      </c>
      <c r="E29" s="9" t="s">
        <v>37</v>
      </c>
      <c r="F29" s="9" t="s">
        <v>1258</v>
      </c>
      <c r="G29" s="9"/>
      <c r="H29" s="9"/>
      <c r="I29" s="9" t="s">
        <v>1246</v>
      </c>
      <c r="J29" s="195">
        <v>45922</v>
      </c>
      <c r="K29" s="239">
        <v>2500</v>
      </c>
      <c r="L29" s="9" t="s">
        <v>149</v>
      </c>
      <c r="M29" s="9"/>
      <c r="N29" s="9" t="s">
        <v>150</v>
      </c>
    </row>
    <row r="30" spans="1:17" ht="29" x14ac:dyDescent="0.35">
      <c r="A30" s="9" t="s">
        <v>1597</v>
      </c>
      <c r="B30" s="9" t="s">
        <v>39</v>
      </c>
      <c r="C30" s="10">
        <v>2500</v>
      </c>
      <c r="D30" s="10">
        <v>2500</v>
      </c>
      <c r="E30" s="9" t="s">
        <v>37</v>
      </c>
      <c r="F30" s="9" t="s">
        <v>977</v>
      </c>
      <c r="G30" s="9"/>
      <c r="H30" s="9"/>
      <c r="I30" s="9" t="s">
        <v>805</v>
      </c>
      <c r="J30" s="195">
        <v>45992</v>
      </c>
      <c r="K30" s="239">
        <v>2500</v>
      </c>
      <c r="L30" s="9" t="s">
        <v>1598</v>
      </c>
      <c r="M30" s="9"/>
      <c r="N30" s="87" t="s">
        <v>1599</v>
      </c>
    </row>
    <row r="31" spans="1:17" x14ac:dyDescent="0.35">
      <c r="A31" s="9" t="s">
        <v>1064</v>
      </c>
      <c r="B31" s="9" t="s">
        <v>39</v>
      </c>
      <c r="C31" s="10">
        <v>2500</v>
      </c>
      <c r="D31" s="10">
        <v>2500</v>
      </c>
      <c r="E31" s="9" t="s">
        <v>37</v>
      </c>
      <c r="F31" s="9" t="s">
        <v>990</v>
      </c>
      <c r="G31" s="9"/>
      <c r="H31" s="94" t="s">
        <v>27</v>
      </c>
      <c r="I31" s="9"/>
      <c r="J31" s="9"/>
      <c r="K31" s="239"/>
      <c r="L31" s="9" t="s">
        <v>459</v>
      </c>
      <c r="M31" s="9"/>
      <c r="N31" s="9" t="s">
        <v>460</v>
      </c>
    </row>
    <row r="32" spans="1:17" x14ac:dyDescent="0.35">
      <c r="A32" s="9" t="s">
        <v>52</v>
      </c>
      <c r="B32" s="9" t="s">
        <v>39</v>
      </c>
      <c r="C32" s="10">
        <v>2500</v>
      </c>
      <c r="D32" s="10">
        <v>1000</v>
      </c>
      <c r="E32" s="9" t="s">
        <v>37</v>
      </c>
      <c r="F32" s="9" t="s">
        <v>990</v>
      </c>
      <c r="G32" s="9"/>
      <c r="H32" s="9"/>
      <c r="I32" s="9" t="s">
        <v>1600</v>
      </c>
      <c r="J32" s="195">
        <v>45999</v>
      </c>
      <c r="K32" s="239">
        <v>1000</v>
      </c>
      <c r="L32" s="9" t="s">
        <v>1601</v>
      </c>
      <c r="M32" s="9"/>
      <c r="N32" s="9" t="s">
        <v>1602</v>
      </c>
    </row>
    <row r="33" spans="1:14" x14ac:dyDescent="0.35">
      <c r="A33" s="9" t="s">
        <v>1517</v>
      </c>
      <c r="B33" s="9" t="s">
        <v>39</v>
      </c>
      <c r="C33" s="10">
        <v>2500</v>
      </c>
      <c r="D33" s="10">
        <v>2500</v>
      </c>
      <c r="E33" s="9" t="s">
        <v>37</v>
      </c>
      <c r="F33" s="9" t="s">
        <v>1603</v>
      </c>
      <c r="G33" s="9" t="s">
        <v>1604</v>
      </c>
      <c r="H33" s="9"/>
      <c r="I33" s="9" t="s">
        <v>805</v>
      </c>
      <c r="J33" s="195">
        <v>45930</v>
      </c>
      <c r="K33" s="239">
        <v>2500</v>
      </c>
      <c r="L33" s="9" t="s">
        <v>1605</v>
      </c>
      <c r="M33" s="9"/>
      <c r="N33" s="81" t="s">
        <v>1606</v>
      </c>
    </row>
    <row r="34" spans="1:14" x14ac:dyDescent="0.35">
      <c r="A34" s="9" t="s">
        <v>1607</v>
      </c>
      <c r="B34" s="9" t="s">
        <v>39</v>
      </c>
      <c r="C34" s="10">
        <v>2500</v>
      </c>
      <c r="D34" s="10">
        <v>2500</v>
      </c>
      <c r="E34" s="9" t="s">
        <v>76</v>
      </c>
      <c r="F34" s="9" t="s">
        <v>1603</v>
      </c>
      <c r="G34" s="9"/>
      <c r="H34" s="9"/>
      <c r="I34" s="19" t="s">
        <v>598</v>
      </c>
      <c r="J34" s="195">
        <v>45939</v>
      </c>
      <c r="K34" s="239">
        <v>2500</v>
      </c>
      <c r="L34" s="9" t="s">
        <v>1608</v>
      </c>
      <c r="M34" s="9"/>
      <c r="N34" s="81" t="s">
        <v>1609</v>
      </c>
    </row>
    <row r="35" spans="1:14" x14ac:dyDescent="0.35">
      <c r="A35" s="9"/>
      <c r="B35" s="9" t="s">
        <v>39</v>
      </c>
      <c r="C35" s="10">
        <v>2500</v>
      </c>
      <c r="D35" s="10"/>
      <c r="E35" s="9"/>
      <c r="F35" s="9"/>
      <c r="G35" s="9"/>
      <c r="H35" s="9"/>
      <c r="I35" s="9"/>
      <c r="J35" s="9"/>
      <c r="K35" s="239"/>
      <c r="L35" s="9"/>
      <c r="M35" s="9"/>
      <c r="N35" s="9"/>
    </row>
    <row r="36" spans="1:14" x14ac:dyDescent="0.35">
      <c r="A36" s="9" t="s">
        <v>31</v>
      </c>
      <c r="B36" s="9" t="s">
        <v>109</v>
      </c>
      <c r="C36" s="10">
        <v>1000</v>
      </c>
      <c r="D36" s="10">
        <v>1000</v>
      </c>
      <c r="E36" s="9" t="s">
        <v>37</v>
      </c>
      <c r="F36" s="9" t="s">
        <v>33</v>
      </c>
      <c r="G36" s="9"/>
      <c r="H36" s="9"/>
      <c r="I36" s="9" t="s">
        <v>1582</v>
      </c>
      <c r="J36" s="195">
        <v>45932</v>
      </c>
      <c r="K36" s="239">
        <v>1000</v>
      </c>
      <c r="L36" s="9" t="s">
        <v>35</v>
      </c>
      <c r="M36" s="9"/>
      <c r="N36" s="87" t="s">
        <v>36</v>
      </c>
    </row>
    <row r="37" spans="1:14" x14ac:dyDescent="0.35">
      <c r="A37" s="9" t="s">
        <v>141</v>
      </c>
      <c r="B37" s="9" t="s">
        <v>109</v>
      </c>
      <c r="C37" s="10">
        <v>1000</v>
      </c>
      <c r="D37" s="10">
        <v>1000</v>
      </c>
      <c r="E37" s="9" t="s">
        <v>90</v>
      </c>
      <c r="F37" s="9" t="s">
        <v>142</v>
      </c>
      <c r="G37" s="9"/>
      <c r="H37" s="9"/>
      <c r="I37" s="9" t="s">
        <v>1582</v>
      </c>
      <c r="J37" s="195">
        <v>46010</v>
      </c>
      <c r="K37" s="239">
        <v>1000</v>
      </c>
      <c r="L37" s="9" t="s">
        <v>144</v>
      </c>
      <c r="M37" s="9"/>
      <c r="N37" s="9"/>
    </row>
    <row r="38" spans="1:14" x14ac:dyDescent="0.35">
      <c r="A38" s="9" t="s">
        <v>51</v>
      </c>
      <c r="B38" s="9" t="s">
        <v>109</v>
      </c>
      <c r="C38" s="10">
        <v>1000</v>
      </c>
      <c r="D38" s="10">
        <v>1000</v>
      </c>
      <c r="E38" s="9" t="s">
        <v>37</v>
      </c>
      <c r="F38" s="9" t="s">
        <v>78</v>
      </c>
      <c r="G38" s="9"/>
      <c r="H38" s="94" t="s">
        <v>27</v>
      </c>
      <c r="I38" s="195"/>
      <c r="J38" s="195">
        <v>45943</v>
      </c>
      <c r="K38" s="9">
        <v>1000</v>
      </c>
      <c r="L38" s="9" t="s">
        <v>79</v>
      </c>
      <c r="M38" s="9"/>
      <c r="N38" s="9" t="s">
        <v>80</v>
      </c>
    </row>
    <row r="39" spans="1:14" x14ac:dyDescent="0.35">
      <c r="A39" s="9" t="s">
        <v>57</v>
      </c>
      <c r="B39" s="9" t="s">
        <v>109</v>
      </c>
      <c r="C39" s="10">
        <v>1000</v>
      </c>
      <c r="D39" s="10">
        <v>1500</v>
      </c>
      <c r="E39" s="9" t="s">
        <v>37</v>
      </c>
      <c r="F39" s="9" t="s">
        <v>58</v>
      </c>
      <c r="G39" s="9"/>
      <c r="H39" s="94" t="s">
        <v>27</v>
      </c>
      <c r="I39" s="9"/>
      <c r="J39" s="195">
        <v>45980</v>
      </c>
      <c r="K39" s="239">
        <v>1500</v>
      </c>
      <c r="L39" s="9" t="s">
        <v>60</v>
      </c>
      <c r="M39" s="9"/>
      <c r="N39" s="9" t="s">
        <v>61</v>
      </c>
    </row>
    <row r="40" spans="1:14" ht="29" x14ac:dyDescent="0.35">
      <c r="A40" s="9" t="s">
        <v>346</v>
      </c>
      <c r="B40" s="9" t="s">
        <v>109</v>
      </c>
      <c r="C40" s="10">
        <v>1000</v>
      </c>
      <c r="D40" s="10">
        <v>750</v>
      </c>
      <c r="E40" s="9" t="s">
        <v>90</v>
      </c>
      <c r="F40" s="9" t="s">
        <v>253</v>
      </c>
      <c r="G40" s="9"/>
      <c r="H40" s="9"/>
      <c r="I40" s="9" t="s">
        <v>1582</v>
      </c>
      <c r="J40" s="195">
        <v>46001</v>
      </c>
      <c r="K40" s="239">
        <v>750</v>
      </c>
      <c r="L40" s="9" t="s">
        <v>348</v>
      </c>
      <c r="M40" s="9"/>
      <c r="N40" s="87" t="s">
        <v>349</v>
      </c>
    </row>
    <row r="41" spans="1:14" x14ac:dyDescent="0.35">
      <c r="A41" s="9" t="s">
        <v>175</v>
      </c>
      <c r="B41" s="9" t="s">
        <v>109</v>
      </c>
      <c r="C41" s="10">
        <v>1000</v>
      </c>
      <c r="D41" s="10">
        <v>1000</v>
      </c>
      <c r="E41" s="9" t="s">
        <v>96</v>
      </c>
      <c r="F41" s="9" t="s">
        <v>1070</v>
      </c>
      <c r="G41" s="9"/>
      <c r="H41" s="9"/>
      <c r="I41" s="9" t="s">
        <v>1582</v>
      </c>
      <c r="J41" s="9"/>
      <c r="K41" s="239"/>
      <c r="L41" s="9" t="s">
        <v>1072</v>
      </c>
      <c r="M41" s="9"/>
      <c r="N41" s="9" t="s">
        <v>1073</v>
      </c>
    </row>
    <row r="42" spans="1:14" ht="29" x14ac:dyDescent="0.35">
      <c r="A42" s="9" t="s">
        <v>617</v>
      </c>
      <c r="B42" s="9" t="s">
        <v>109</v>
      </c>
      <c r="C42" s="10">
        <v>1000</v>
      </c>
      <c r="D42" s="10">
        <v>0</v>
      </c>
      <c r="E42" s="9" t="s">
        <v>96</v>
      </c>
      <c r="F42" s="9" t="s">
        <v>167</v>
      </c>
      <c r="G42" s="9" t="s">
        <v>618</v>
      </c>
      <c r="H42" s="9"/>
      <c r="I42" s="9">
        <v>0</v>
      </c>
      <c r="J42" s="9"/>
      <c r="K42" s="239"/>
      <c r="L42" s="9" t="s">
        <v>173</v>
      </c>
      <c r="M42" s="9"/>
      <c r="N42" s="87" t="s">
        <v>174</v>
      </c>
    </row>
    <row r="43" spans="1:14" x14ac:dyDescent="0.35">
      <c r="A43" s="9" t="s">
        <v>22</v>
      </c>
      <c r="B43" s="9" t="s">
        <v>109</v>
      </c>
      <c r="C43" s="10">
        <v>1000</v>
      </c>
      <c r="D43" s="10">
        <v>1000</v>
      </c>
      <c r="E43" s="9" t="s">
        <v>37</v>
      </c>
      <c r="F43" s="9" t="s">
        <v>25</v>
      </c>
      <c r="G43" s="9"/>
      <c r="H43" s="94" t="s">
        <v>27</v>
      </c>
      <c r="I43" s="9">
        <v>0</v>
      </c>
      <c r="J43" s="9" t="s">
        <v>28</v>
      </c>
      <c r="K43" s="239">
        <v>1000</v>
      </c>
      <c r="L43" s="9" t="s">
        <v>29</v>
      </c>
      <c r="M43" s="9"/>
      <c r="N43" s="87" t="s">
        <v>30</v>
      </c>
    </row>
    <row r="44" spans="1:14" ht="29" x14ac:dyDescent="0.35">
      <c r="A44" s="9" t="s">
        <v>289</v>
      </c>
      <c r="B44" s="9" t="s">
        <v>109</v>
      </c>
      <c r="C44" s="10">
        <v>1000</v>
      </c>
      <c r="D44" s="10">
        <v>1000</v>
      </c>
      <c r="E44" s="9" t="s">
        <v>37</v>
      </c>
      <c r="F44" s="9" t="s">
        <v>115</v>
      </c>
      <c r="G44" s="9"/>
      <c r="H44" s="94" t="s">
        <v>27</v>
      </c>
      <c r="I44" s="9"/>
      <c r="J44" s="9"/>
      <c r="K44" s="239"/>
      <c r="L44" s="9" t="s">
        <v>1610</v>
      </c>
      <c r="M44" s="9"/>
      <c r="N44" s="9" t="s">
        <v>1611</v>
      </c>
    </row>
    <row r="45" spans="1:14" ht="29" x14ac:dyDescent="0.35">
      <c r="A45" s="9" t="s">
        <v>226</v>
      </c>
      <c r="B45" s="9" t="s">
        <v>109</v>
      </c>
      <c r="C45" s="10">
        <v>1000</v>
      </c>
      <c r="D45" s="10">
        <v>1000</v>
      </c>
      <c r="E45" s="9" t="s">
        <v>37</v>
      </c>
      <c r="F45" s="9" t="s">
        <v>172</v>
      </c>
      <c r="G45" s="9"/>
      <c r="H45" s="9"/>
      <c r="I45" s="9" t="s">
        <v>1582</v>
      </c>
      <c r="J45" s="195">
        <v>45896</v>
      </c>
      <c r="K45" s="239">
        <v>1000</v>
      </c>
      <c r="L45" s="9" t="s">
        <v>315</v>
      </c>
      <c r="M45" s="9"/>
      <c r="N45" s="9" t="s">
        <v>316</v>
      </c>
    </row>
    <row r="46" spans="1:14" x14ac:dyDescent="0.35">
      <c r="A46" s="9" t="s">
        <v>87</v>
      </c>
      <c r="B46" s="9" t="s">
        <v>109</v>
      </c>
      <c r="C46" s="10">
        <v>1000</v>
      </c>
      <c r="D46" s="10">
        <v>1000</v>
      </c>
      <c r="E46" s="9" t="s">
        <v>37</v>
      </c>
      <c r="F46" s="9" t="s">
        <v>768</v>
      </c>
      <c r="G46" s="9"/>
      <c r="H46" s="9"/>
      <c r="I46" s="9" t="s">
        <v>1582</v>
      </c>
      <c r="J46" s="195">
        <v>46008</v>
      </c>
      <c r="K46" s="239">
        <v>1000</v>
      </c>
      <c r="L46" s="9" t="s">
        <v>769</v>
      </c>
      <c r="M46" s="9"/>
      <c r="N46" s="87" t="s">
        <v>770</v>
      </c>
    </row>
    <row r="47" spans="1:14" x14ac:dyDescent="0.35">
      <c r="A47" s="9" t="s">
        <v>472</v>
      </c>
      <c r="B47" s="9" t="s">
        <v>109</v>
      </c>
      <c r="C47" s="10">
        <v>1000</v>
      </c>
      <c r="D47" s="10">
        <v>1000</v>
      </c>
      <c r="E47" s="9" t="s">
        <v>76</v>
      </c>
      <c r="F47" s="9" t="s">
        <v>1612</v>
      </c>
      <c r="G47" s="9"/>
      <c r="H47" s="9"/>
      <c r="I47" s="9" t="s">
        <v>576</v>
      </c>
      <c r="J47" s="195">
        <v>45918</v>
      </c>
      <c r="K47" s="239">
        <v>1000</v>
      </c>
      <c r="L47" s="9" t="s">
        <v>1402</v>
      </c>
      <c r="M47" s="9"/>
      <c r="N47" s="87" t="s">
        <v>1403</v>
      </c>
    </row>
    <row r="48" spans="1:14" ht="29" x14ac:dyDescent="0.35">
      <c r="A48" s="9" t="s">
        <v>276</v>
      </c>
      <c r="B48" s="9" t="s">
        <v>109</v>
      </c>
      <c r="C48" s="10">
        <v>1000</v>
      </c>
      <c r="D48" s="10">
        <v>1000</v>
      </c>
      <c r="E48" s="9" t="s">
        <v>76</v>
      </c>
      <c r="F48" s="9" t="s">
        <v>1612</v>
      </c>
      <c r="G48" s="9"/>
      <c r="H48" s="9"/>
      <c r="I48" s="9" t="s">
        <v>534</v>
      </c>
      <c r="J48" s="195">
        <v>45912</v>
      </c>
      <c r="K48" s="239">
        <v>1000</v>
      </c>
      <c r="L48" s="9" t="s">
        <v>1613</v>
      </c>
      <c r="M48" s="9"/>
      <c r="N48" s="87" t="s">
        <v>1614</v>
      </c>
    </row>
    <row r="49" spans="1:14" x14ac:dyDescent="0.35">
      <c r="A49" s="9" t="s">
        <v>754</v>
      </c>
      <c r="B49" s="9" t="s">
        <v>109</v>
      </c>
      <c r="C49" s="10">
        <v>1000</v>
      </c>
      <c r="D49" s="10">
        <v>1000</v>
      </c>
      <c r="E49" s="9" t="s">
        <v>76</v>
      </c>
      <c r="F49" s="9" t="s">
        <v>587</v>
      </c>
      <c r="G49" s="9"/>
      <c r="H49" s="9"/>
      <c r="I49" s="9" t="s">
        <v>534</v>
      </c>
      <c r="J49" s="9"/>
      <c r="K49" s="239"/>
      <c r="L49" s="9" t="s">
        <v>1615</v>
      </c>
      <c r="M49" s="9"/>
      <c r="N49" s="87" t="s">
        <v>1616</v>
      </c>
    </row>
    <row r="50" spans="1:14" x14ac:dyDescent="0.35">
      <c r="A50" s="9" t="s">
        <v>356</v>
      </c>
      <c r="B50" s="9" t="s">
        <v>109</v>
      </c>
      <c r="C50" s="10">
        <v>1000</v>
      </c>
      <c r="D50" s="10">
        <v>1000</v>
      </c>
      <c r="E50" s="9" t="s">
        <v>93</v>
      </c>
      <c r="F50" s="9" t="s">
        <v>591</v>
      </c>
      <c r="G50" s="9"/>
      <c r="H50" s="9"/>
      <c r="I50" s="9" t="s">
        <v>972</v>
      </c>
      <c r="J50" s="195">
        <v>45950</v>
      </c>
      <c r="K50" s="239">
        <v>1000</v>
      </c>
      <c r="L50" s="9" t="s">
        <v>357</v>
      </c>
      <c r="M50" s="9"/>
      <c r="N50" s="87" t="s">
        <v>358</v>
      </c>
    </row>
    <row r="51" spans="1:14" x14ac:dyDescent="0.35">
      <c r="A51" s="9" t="s">
        <v>1617</v>
      </c>
      <c r="B51" s="9" t="s">
        <v>109</v>
      </c>
      <c r="C51" s="10">
        <v>1000</v>
      </c>
      <c r="D51" s="10">
        <v>1000</v>
      </c>
      <c r="E51" s="9" t="s">
        <v>93</v>
      </c>
      <c r="F51" s="9" t="s">
        <v>591</v>
      </c>
      <c r="G51" s="9"/>
      <c r="H51" s="9"/>
      <c r="I51" s="9" t="s">
        <v>972</v>
      </c>
      <c r="J51" s="195">
        <v>45953</v>
      </c>
      <c r="K51" s="239">
        <v>1000</v>
      </c>
      <c r="L51" s="9" t="s">
        <v>354</v>
      </c>
      <c r="M51" s="9"/>
      <c r="N51" s="87" t="s">
        <v>355</v>
      </c>
    </row>
    <row r="52" spans="1:14" x14ac:dyDescent="0.35">
      <c r="A52" s="9" t="s">
        <v>1618</v>
      </c>
      <c r="B52" s="9" t="s">
        <v>109</v>
      </c>
      <c r="C52" s="10">
        <v>1000</v>
      </c>
      <c r="D52" s="10">
        <v>1000</v>
      </c>
      <c r="E52" s="9" t="s">
        <v>93</v>
      </c>
      <c r="F52" s="9" t="s">
        <v>1589</v>
      </c>
      <c r="G52" s="9"/>
      <c r="H52" s="9"/>
      <c r="I52" s="9" t="s">
        <v>972</v>
      </c>
      <c r="J52" s="9"/>
      <c r="K52" s="239"/>
      <c r="L52" s="9" t="s">
        <v>765</v>
      </c>
      <c r="M52" s="9"/>
      <c r="N52" s="87" t="s">
        <v>766</v>
      </c>
    </row>
    <row r="53" spans="1:14" x14ac:dyDescent="0.35">
      <c r="A53" s="9" t="s">
        <v>573</v>
      </c>
      <c r="B53" s="9" t="s">
        <v>109</v>
      </c>
      <c r="C53" s="10">
        <v>1000</v>
      </c>
      <c r="D53" s="10">
        <v>1000</v>
      </c>
      <c r="E53" s="9" t="s">
        <v>93</v>
      </c>
      <c r="F53" s="9" t="s">
        <v>1589</v>
      </c>
      <c r="G53" s="9"/>
      <c r="H53" s="9"/>
      <c r="I53" s="9" t="s">
        <v>972</v>
      </c>
      <c r="J53" s="195">
        <v>46009</v>
      </c>
      <c r="K53" s="239">
        <v>1000</v>
      </c>
      <c r="L53" s="9" t="s">
        <v>1619</v>
      </c>
      <c r="M53" s="9"/>
      <c r="N53" s="87" t="s">
        <v>577</v>
      </c>
    </row>
    <row r="54" spans="1:14" x14ac:dyDescent="0.35">
      <c r="A54" s="9" t="s">
        <v>140</v>
      </c>
      <c r="B54" s="9" t="s">
        <v>109</v>
      </c>
      <c r="C54" s="10">
        <v>1000</v>
      </c>
      <c r="D54" s="10">
        <v>1000</v>
      </c>
      <c r="E54" s="9" t="s">
        <v>37</v>
      </c>
      <c r="F54" s="9" t="s">
        <v>1593</v>
      </c>
      <c r="G54" s="9"/>
      <c r="H54" s="9"/>
      <c r="I54" s="9" t="s">
        <v>1246</v>
      </c>
      <c r="J54" s="195">
        <v>45917</v>
      </c>
      <c r="K54" s="239">
        <v>1000</v>
      </c>
      <c r="L54" s="9" t="s">
        <v>1259</v>
      </c>
      <c r="M54" s="9"/>
      <c r="N54" s="9" t="s">
        <v>1260</v>
      </c>
    </row>
    <row r="55" spans="1:14" x14ac:dyDescent="0.35">
      <c r="A55" s="9" t="s">
        <v>515</v>
      </c>
      <c r="B55" s="9" t="s">
        <v>109</v>
      </c>
      <c r="C55" s="10">
        <v>1000</v>
      </c>
      <c r="D55" s="10">
        <v>1000</v>
      </c>
      <c r="E55" s="9" t="s">
        <v>37</v>
      </c>
      <c r="F55" s="9" t="s">
        <v>1593</v>
      </c>
      <c r="G55" s="9"/>
      <c r="H55" s="9"/>
      <c r="I55" s="9" t="s">
        <v>1246</v>
      </c>
      <c r="J55" s="195">
        <v>45973</v>
      </c>
      <c r="K55" s="239">
        <v>1000</v>
      </c>
      <c r="L55" s="9" t="s">
        <v>518</v>
      </c>
      <c r="M55" s="9"/>
      <c r="N55" s="9" t="s">
        <v>519</v>
      </c>
    </row>
    <row r="56" spans="1:14" ht="29" x14ac:dyDescent="0.35">
      <c r="A56" s="9" t="s">
        <v>1620</v>
      </c>
      <c r="B56" s="9" t="s">
        <v>109</v>
      </c>
      <c r="C56" s="10">
        <v>1000</v>
      </c>
      <c r="D56" s="10">
        <v>1000</v>
      </c>
      <c r="E56" s="9" t="s">
        <v>37</v>
      </c>
      <c r="F56" s="9" t="s">
        <v>1593</v>
      </c>
      <c r="G56" s="9" t="s">
        <v>1621</v>
      </c>
      <c r="H56" s="9"/>
      <c r="I56" s="9" t="s">
        <v>1246</v>
      </c>
      <c r="J56" s="195">
        <v>46006</v>
      </c>
      <c r="K56" s="239">
        <v>1000</v>
      </c>
      <c r="L56" s="9" t="s">
        <v>1622</v>
      </c>
      <c r="M56" s="9"/>
      <c r="N56" s="87" t="s">
        <v>1623</v>
      </c>
    </row>
    <row r="57" spans="1:14" x14ac:dyDescent="0.35">
      <c r="A57" s="9" t="s">
        <v>1624</v>
      </c>
      <c r="B57" s="9" t="s">
        <v>109</v>
      </c>
      <c r="C57" s="10">
        <v>1000</v>
      </c>
      <c r="D57" s="10">
        <v>1000</v>
      </c>
      <c r="E57" s="9" t="s">
        <v>93</v>
      </c>
      <c r="F57" s="9" t="s">
        <v>1593</v>
      </c>
      <c r="G57" s="9"/>
      <c r="H57" s="9"/>
      <c r="I57" s="9" t="s">
        <v>1246</v>
      </c>
      <c r="J57" s="9"/>
      <c r="K57" s="239"/>
      <c r="L57" s="9"/>
      <c r="M57" s="9"/>
      <c r="N57" s="9"/>
    </row>
    <row r="58" spans="1:14" x14ac:dyDescent="0.35">
      <c r="A58" s="9" t="s">
        <v>1625</v>
      </c>
      <c r="B58" s="9" t="s">
        <v>109</v>
      </c>
      <c r="C58" s="10">
        <v>1000</v>
      </c>
      <c r="D58" s="10">
        <v>1000</v>
      </c>
      <c r="E58" s="9" t="s">
        <v>93</v>
      </c>
      <c r="F58" s="9" t="s">
        <v>869</v>
      </c>
      <c r="G58" s="9"/>
      <c r="H58" s="9"/>
      <c r="I58" s="9" t="s">
        <v>1590</v>
      </c>
      <c r="J58" s="195">
        <v>46010</v>
      </c>
      <c r="K58" s="239">
        <v>1000</v>
      </c>
      <c r="L58" s="9"/>
      <c r="M58" s="9"/>
      <c r="N58" s="9"/>
    </row>
    <row r="59" spans="1:14" x14ac:dyDescent="0.35">
      <c r="A59" s="9" t="s">
        <v>152</v>
      </c>
      <c r="B59" s="9" t="s">
        <v>109</v>
      </c>
      <c r="C59" s="10">
        <v>1000</v>
      </c>
      <c r="D59" s="10">
        <v>1000</v>
      </c>
      <c r="E59" s="9" t="s">
        <v>96</v>
      </c>
      <c r="F59" s="9" t="s">
        <v>1626</v>
      </c>
      <c r="G59" s="9" t="s">
        <v>1627</v>
      </c>
      <c r="H59" s="94" t="s">
        <v>27</v>
      </c>
      <c r="I59" s="9"/>
      <c r="J59" s="195">
        <v>45973</v>
      </c>
      <c r="K59" s="239">
        <v>500</v>
      </c>
      <c r="L59" s="9" t="s">
        <v>155</v>
      </c>
      <c r="M59" s="9"/>
      <c r="N59" s="87" t="s">
        <v>156</v>
      </c>
    </row>
    <row r="60" spans="1:14" x14ac:dyDescent="0.35">
      <c r="A60" s="9" t="s">
        <v>1628</v>
      </c>
      <c r="B60" s="9" t="s">
        <v>109</v>
      </c>
      <c r="C60" s="10">
        <v>1000</v>
      </c>
      <c r="D60" s="10">
        <v>1000</v>
      </c>
      <c r="E60" s="9" t="s">
        <v>96</v>
      </c>
      <c r="F60" s="9" t="s">
        <v>977</v>
      </c>
      <c r="G60" s="9"/>
      <c r="H60" s="9"/>
      <c r="I60" s="9" t="s">
        <v>805</v>
      </c>
      <c r="J60" s="195">
        <v>45930</v>
      </c>
      <c r="K60" s="239">
        <v>1000</v>
      </c>
      <c r="L60" s="9" t="s">
        <v>1629</v>
      </c>
      <c r="M60" s="9"/>
      <c r="N60" s="87" t="s">
        <v>1630</v>
      </c>
    </row>
    <row r="61" spans="1:14" ht="29" x14ac:dyDescent="0.35">
      <c r="A61" s="9" t="s">
        <v>108</v>
      </c>
      <c r="B61" s="9" t="s">
        <v>109</v>
      </c>
      <c r="C61" s="10">
        <v>1000</v>
      </c>
      <c r="D61" s="10">
        <v>1000</v>
      </c>
      <c r="E61" s="9" t="s">
        <v>96</v>
      </c>
      <c r="F61" s="9" t="s">
        <v>977</v>
      </c>
      <c r="G61" s="9"/>
      <c r="H61" s="94" t="s">
        <v>27</v>
      </c>
      <c r="I61" s="9"/>
      <c r="J61" s="195">
        <v>45933</v>
      </c>
      <c r="K61" s="239">
        <v>1000</v>
      </c>
      <c r="L61" s="9" t="s">
        <v>1631</v>
      </c>
      <c r="M61" s="9"/>
      <c r="N61" s="87" t="s">
        <v>1632</v>
      </c>
    </row>
    <row r="62" spans="1:14" x14ac:dyDescent="0.35">
      <c r="A62" s="9" t="s">
        <v>212</v>
      </c>
      <c r="B62" s="9" t="s">
        <v>109</v>
      </c>
      <c r="C62" s="10">
        <v>1000</v>
      </c>
      <c r="D62" s="10">
        <v>1000</v>
      </c>
      <c r="E62" s="9" t="s">
        <v>76</v>
      </c>
      <c r="F62" s="9" t="s">
        <v>977</v>
      </c>
      <c r="G62" s="9"/>
      <c r="H62" s="9"/>
      <c r="I62" s="9" t="s">
        <v>805</v>
      </c>
      <c r="J62" s="195">
        <v>46009</v>
      </c>
      <c r="K62" s="239">
        <v>1000</v>
      </c>
      <c r="L62" s="9" t="s">
        <v>1633</v>
      </c>
      <c r="M62" s="9"/>
      <c r="N62" s="101" t="s">
        <v>217</v>
      </c>
    </row>
    <row r="63" spans="1:14" x14ac:dyDescent="0.35">
      <c r="A63" s="9" t="s">
        <v>243</v>
      </c>
      <c r="B63" s="9" t="s">
        <v>109</v>
      </c>
      <c r="C63" s="10">
        <v>1000</v>
      </c>
      <c r="D63" s="10">
        <v>1000</v>
      </c>
      <c r="E63" s="9" t="s">
        <v>37</v>
      </c>
      <c r="F63" s="9" t="s">
        <v>990</v>
      </c>
      <c r="G63" s="9"/>
      <c r="H63" s="9"/>
      <c r="I63" s="9" t="s">
        <v>805</v>
      </c>
      <c r="J63" s="9"/>
      <c r="K63" s="239"/>
      <c r="L63" s="9" t="s">
        <v>245</v>
      </c>
      <c r="M63" s="9"/>
      <c r="N63" s="87" t="s">
        <v>246</v>
      </c>
    </row>
    <row r="64" spans="1:14" x14ac:dyDescent="0.35">
      <c r="A64" s="9" t="s">
        <v>596</v>
      </c>
      <c r="B64" s="9" t="s">
        <v>109</v>
      </c>
      <c r="C64" s="10">
        <v>1000</v>
      </c>
      <c r="D64" s="10">
        <v>1000</v>
      </c>
      <c r="E64" s="9" t="s">
        <v>96</v>
      </c>
      <c r="F64" s="9" t="s">
        <v>990</v>
      </c>
      <c r="G64" s="9"/>
      <c r="H64" s="9"/>
      <c r="I64" s="9" t="s">
        <v>805</v>
      </c>
      <c r="J64" s="195">
        <v>45930</v>
      </c>
      <c r="K64" s="239">
        <v>1000</v>
      </c>
      <c r="L64" s="9" t="s">
        <v>599</v>
      </c>
      <c r="M64" s="9"/>
      <c r="N64" s="92" t="s">
        <v>600</v>
      </c>
    </row>
    <row r="65" spans="1:14" x14ac:dyDescent="0.35">
      <c r="A65" s="9" t="s">
        <v>431</v>
      </c>
      <c r="B65" s="9" t="s">
        <v>109</v>
      </c>
      <c r="C65" s="10">
        <v>1000</v>
      </c>
      <c r="D65" s="10">
        <v>1000</v>
      </c>
      <c r="E65" s="9" t="s">
        <v>96</v>
      </c>
      <c r="F65" s="9" t="s">
        <v>990</v>
      </c>
      <c r="G65" s="9"/>
      <c r="H65" s="9"/>
      <c r="I65" s="9" t="s">
        <v>805</v>
      </c>
      <c r="J65" s="195">
        <v>45951</v>
      </c>
      <c r="K65" s="239">
        <v>1000</v>
      </c>
      <c r="L65" s="9" t="s">
        <v>432</v>
      </c>
      <c r="M65" s="9"/>
      <c r="N65" s="87" t="s">
        <v>433</v>
      </c>
    </row>
    <row r="66" spans="1:14" x14ac:dyDescent="0.35">
      <c r="A66" s="9" t="s">
        <v>1634</v>
      </c>
      <c r="B66" s="9" t="s">
        <v>109</v>
      </c>
      <c r="C66" s="10">
        <v>1000</v>
      </c>
      <c r="D66" s="10">
        <v>1000</v>
      </c>
      <c r="E66" s="9" t="s">
        <v>96</v>
      </c>
      <c r="F66" s="9" t="s">
        <v>1603</v>
      </c>
      <c r="G66" s="9"/>
      <c r="H66" s="9"/>
      <c r="I66" s="9" t="s">
        <v>805</v>
      </c>
      <c r="J66" s="195">
        <v>45932</v>
      </c>
      <c r="K66" s="239">
        <v>1000</v>
      </c>
      <c r="L66" s="9" t="s">
        <v>1635</v>
      </c>
      <c r="M66" s="9"/>
      <c r="N66" s="92" t="s">
        <v>1636</v>
      </c>
    </row>
    <row r="67" spans="1:14" x14ac:dyDescent="0.35">
      <c r="A67" s="9" t="s">
        <v>601</v>
      </c>
      <c r="B67" s="9" t="s">
        <v>109</v>
      </c>
      <c r="C67" s="10">
        <v>1000</v>
      </c>
      <c r="D67" s="10">
        <v>1000</v>
      </c>
      <c r="E67" s="9" t="s">
        <v>96</v>
      </c>
      <c r="F67" s="9" t="s">
        <v>1603</v>
      </c>
      <c r="G67" s="9"/>
      <c r="H67" s="9"/>
      <c r="I67" s="9" t="s">
        <v>805</v>
      </c>
      <c r="J67" s="195">
        <v>45946</v>
      </c>
      <c r="K67" s="239">
        <v>1000</v>
      </c>
      <c r="L67" s="9" t="s">
        <v>602</v>
      </c>
      <c r="M67" s="9"/>
      <c r="N67" s="92" t="s">
        <v>603</v>
      </c>
    </row>
    <row r="68" spans="1:14" x14ac:dyDescent="0.35">
      <c r="A68" s="9" t="s">
        <v>1637</v>
      </c>
      <c r="B68" s="9" t="s">
        <v>109</v>
      </c>
      <c r="C68" s="10">
        <v>1000</v>
      </c>
      <c r="D68" s="10">
        <v>1000</v>
      </c>
      <c r="E68" s="9" t="s">
        <v>96</v>
      </c>
      <c r="F68" s="9" t="s">
        <v>1638</v>
      </c>
      <c r="G68" s="9"/>
      <c r="H68" s="9"/>
      <c r="I68" s="9" t="s">
        <v>738</v>
      </c>
      <c r="J68" s="195">
        <v>45936</v>
      </c>
      <c r="K68" s="239">
        <v>1000</v>
      </c>
      <c r="L68" s="9" t="s">
        <v>403</v>
      </c>
      <c r="M68" s="9"/>
      <c r="N68" s="92" t="s">
        <v>1639</v>
      </c>
    </row>
    <row r="69" spans="1:14" ht="29" x14ac:dyDescent="0.35">
      <c r="A69" s="9" t="s">
        <v>1640</v>
      </c>
      <c r="B69" s="9" t="s">
        <v>109</v>
      </c>
      <c r="C69" s="10">
        <v>1000</v>
      </c>
      <c r="D69" s="10">
        <v>1000</v>
      </c>
      <c r="E69" s="9" t="s">
        <v>96</v>
      </c>
      <c r="F69" s="9" t="s">
        <v>1603</v>
      </c>
      <c r="G69" s="9" t="s">
        <v>1641</v>
      </c>
      <c r="H69" s="9"/>
      <c r="I69" s="9" t="s">
        <v>738</v>
      </c>
      <c r="J69" s="195">
        <v>45938</v>
      </c>
      <c r="K69" s="239">
        <v>1000</v>
      </c>
      <c r="L69" s="9" t="s">
        <v>1642</v>
      </c>
      <c r="M69" s="9" t="s">
        <v>1643</v>
      </c>
      <c r="N69" s="9"/>
    </row>
    <row r="70" spans="1:14" x14ac:dyDescent="0.35">
      <c r="A70" s="9" t="s">
        <v>1644</v>
      </c>
      <c r="B70" s="9" t="s">
        <v>109</v>
      </c>
      <c r="C70" s="10">
        <v>1000</v>
      </c>
      <c r="D70" s="10">
        <v>1000</v>
      </c>
      <c r="E70" s="9" t="s">
        <v>37</v>
      </c>
      <c r="F70" s="9" t="s">
        <v>1638</v>
      </c>
      <c r="G70" s="9"/>
      <c r="H70" s="9"/>
      <c r="I70" s="9" t="s">
        <v>598</v>
      </c>
      <c r="J70" s="195">
        <v>45930</v>
      </c>
      <c r="K70" s="239">
        <v>1000</v>
      </c>
      <c r="L70" s="9" t="s">
        <v>1645</v>
      </c>
      <c r="M70" s="9"/>
      <c r="N70" s="92" t="s">
        <v>1646</v>
      </c>
    </row>
    <row r="71" spans="1:14" x14ac:dyDescent="0.35">
      <c r="A71" s="9" t="s">
        <v>1040</v>
      </c>
      <c r="B71" s="9" t="s">
        <v>109</v>
      </c>
      <c r="C71" s="10">
        <v>1000</v>
      </c>
      <c r="D71" s="10">
        <v>1000</v>
      </c>
      <c r="E71" s="9" t="s">
        <v>96</v>
      </c>
      <c r="F71" s="9" t="s">
        <v>1261</v>
      </c>
      <c r="G71" s="9"/>
      <c r="H71" s="9"/>
      <c r="I71" s="9" t="s">
        <v>598</v>
      </c>
      <c r="J71" s="9"/>
      <c r="K71" s="239"/>
      <c r="L71" s="9" t="s">
        <v>1366</v>
      </c>
      <c r="M71" s="9"/>
      <c r="N71" s="87" t="s">
        <v>1647</v>
      </c>
    </row>
    <row r="72" spans="1:14" x14ac:dyDescent="0.35">
      <c r="A72" s="9" t="s">
        <v>1648</v>
      </c>
      <c r="B72" s="9" t="s">
        <v>109</v>
      </c>
      <c r="C72" s="10">
        <v>1000</v>
      </c>
      <c r="D72" s="10">
        <v>1000</v>
      </c>
      <c r="E72" s="9" t="s">
        <v>37</v>
      </c>
      <c r="F72" s="9" t="s">
        <v>999</v>
      </c>
      <c r="G72" s="9"/>
      <c r="H72" s="9"/>
      <c r="I72" s="9" t="s">
        <v>751</v>
      </c>
      <c r="J72" s="9"/>
      <c r="K72" s="9"/>
      <c r="L72" s="9" t="s">
        <v>1649</v>
      </c>
      <c r="M72" s="9"/>
      <c r="N72" s="9" t="s">
        <v>1650</v>
      </c>
    </row>
    <row r="73" spans="1:14" x14ac:dyDescent="0.35">
      <c r="A73" s="9" t="s">
        <v>218</v>
      </c>
      <c r="B73" s="9" t="s">
        <v>109</v>
      </c>
      <c r="C73" s="10">
        <v>1000</v>
      </c>
      <c r="D73" s="10">
        <v>1000</v>
      </c>
      <c r="E73" s="9" t="s">
        <v>37</v>
      </c>
      <c r="F73" s="9" t="s">
        <v>999</v>
      </c>
      <c r="G73" s="9"/>
      <c r="H73" s="9"/>
      <c r="I73" s="9" t="s">
        <v>751</v>
      </c>
      <c r="J73" s="195">
        <v>45950</v>
      </c>
      <c r="K73" s="9">
        <v>1000</v>
      </c>
      <c r="L73" s="9" t="s">
        <v>1651</v>
      </c>
      <c r="M73" s="9"/>
      <c r="N73" s="9" t="s">
        <v>1652</v>
      </c>
    </row>
    <row r="76" spans="1:14" x14ac:dyDescent="0.35">
      <c r="K76" s="29">
        <f>SUM(K9:K73)</f>
        <v>95750</v>
      </c>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A36:M39">
    <sortCondition ref="A36:A39"/>
  </sortState>
  <hyperlinks>
    <hyperlink ref="N36" r:id="rId2" display="mailto:Crystal.Floyd@acxiom.com" xr:uid="{E12F3814-BC3E-4099-AA7A-52726E1ACADD}"/>
    <hyperlink ref="N40" r:id="rId3" display="mailto:ADuVall@rockefellerinstitute.org" xr:uid="{117CC959-AA43-49A2-98DD-67E51F3DFA8A}"/>
    <hyperlink ref="N12" r:id="rId4" display="mailto:DLTackett@GarverUSA.com" xr:uid="{B1EC0FBE-F954-405D-B7C3-472FBE4169D1}"/>
    <hyperlink ref="N42" r:id="rId5" display="mailto:adam@cousinsfurniture.com" xr:uid="{661F8BC4-4E1D-47AA-91D0-D5E9A2A508D3}"/>
    <hyperlink ref="N43" r:id="rId6" display="mailto:jay.bernard.l8if@statefarm.com" xr:uid="{CDD03AC1-77A4-4B1E-B762-0F476D476559}"/>
    <hyperlink ref="N46" r:id="rId7" xr:uid="{60CD6DB1-E4A1-4B43-88FA-C7EB021B27B4}"/>
    <hyperlink ref="N27" r:id="rId8" display="mailto:ben@fureighinc.com" xr:uid="{9327AA83-2260-4B94-B422-E994150F85EC}"/>
    <hyperlink ref="N10" r:id="rId9" xr:uid="{D5580B30-38BC-4FD2-B25E-CE81442AE7D9}"/>
    <hyperlink ref="N47" r:id="rId10" display="mailto:sthacker@harpsfood.com" xr:uid="{423FB851-661D-40C2-BABB-F15887370C95}"/>
    <hyperlink ref="N48" r:id="rId11" display="mailto:christina@farrisagency.com" xr:uid="{D901E984-5325-45D0-A9B3-052AF18FFB88}"/>
    <hyperlink ref="N49" r:id="rId12" display="mailto:brad.hyde@arisahealth.org" xr:uid="{298593E0-821D-4F6C-AEA4-9E7D9E4B9E26}"/>
    <hyperlink ref="N50" r:id="rId13" display="mailto:michellemallett@ottinsurance.com" xr:uid="{55DC6DFA-30CA-49F0-8764-9B7DB99EB0C7}"/>
    <hyperlink ref="N51" r:id="rId14" display="mailto:emilywalterrealtor@gmail.com" xr:uid="{019C9929-2961-49BD-B57E-8A204EA319D5}"/>
    <hyperlink ref="N52" r:id="rId15" display="mailto:karenferguson501@gmail.com" xr:uid="{E4E96970-598B-4A60-A3E7-7E1FBBCDB913}"/>
    <hyperlink ref="N53" r:id="rId16" display="mailto:claire@homewardhomes.com" xr:uid="{0D1A170F-2657-4D5B-A914-EE58A81289A9}"/>
    <hyperlink ref="N15" r:id="rId17" display="mailto:jstalnaker@weaverbailey.com" xr:uid="{E19E53DD-7E1F-4852-8718-7A2D2418F574}"/>
    <hyperlink ref="N28" r:id="rId18" xr:uid="{43489604-69E9-431D-9288-0A81F0B48963}"/>
    <hyperlink ref="N56" r:id="rId19" xr:uid="{C21A9F5C-9DC5-43DE-A276-5106A8B129EF}"/>
    <hyperlink ref="N59" r:id="rId20" display="mailto:RMilligan@landmarkcpas.com" xr:uid="{1F805966-BCA8-46F8-857C-1096F0774843}"/>
    <hyperlink ref="N60" r:id="rId21" xr:uid="{203CA86B-559E-4761-BB3A-1E81B9B7C8F9}"/>
    <hyperlink ref="N61" r:id="rId22" display="mailto:bgwatney@asiagents.com" xr:uid="{6756CEBF-8C66-49C9-97BE-70E3BAA10DCF}"/>
    <hyperlink ref="N30" r:id="rId23" xr:uid="{1C9D9E53-BBE4-46E6-9AAE-1E8A9E94E065}"/>
    <hyperlink ref="N62" r:id="rId24" display="mailto:kasonk@advancedwashnetwork.com" xr:uid="{E3DD2BB5-D925-4780-8FB7-8814ED6B6EAD}"/>
    <hyperlink ref="N64" r:id="rId25" display="mailto:jay@caldwellcares.com" xr:uid="{BDD664BE-492C-4AEE-B0FD-A65FC80A0DA6}"/>
    <hyperlink ref="N65" r:id="rId26" xr:uid="{062FEA4A-667D-42ED-91CB-DD397BB2A49E}"/>
    <hyperlink ref="N66" r:id="rId27" display="mailto:allison.ornelas@cnent.com" xr:uid="{7624F517-649F-4C10-97C0-1D3EB959A9B7}"/>
    <hyperlink ref="N13" r:id="rId28" display="mailto:Scott.L.Champlin@snapon.com" xr:uid="{A951914D-8149-432B-B1F7-7EB36551B50B}"/>
    <hyperlink ref="N67" r:id="rId29" display="mailto:pmoon@meridiania.com" xr:uid="{94B13107-D5B7-4B1F-A7CB-86F5B6D48456}"/>
    <hyperlink ref="N33" r:id="rId30" display="mailto:jmouser@salterconst.com" xr:uid="{24D2CED0-DF9D-4BE3-9CA1-466CA008788E}"/>
    <hyperlink ref="N63" r:id="rId31" xr:uid="{D1C217E4-CAAF-43EF-B8EC-618210315B78}"/>
    <hyperlink ref="N34" r:id="rId32" xr:uid="{740894E6-992D-4087-A55C-5365F2B2E8F3}"/>
    <hyperlink ref="N68" r:id="rId33" display="mailto:KGarrett@hcjcpa.com" xr:uid="{72360953-9627-43E6-A75C-7EF6DE94F5BE}"/>
    <hyperlink ref="N70" r:id="rId34" display="mailto:pphillips@crewsfs.com" xr:uid="{6AF2F46D-EF14-410A-B015-8158AE03F206}"/>
    <hyperlink ref="N71" r:id="rId35" xr:uid="{87880EFF-EB0E-4B6A-9C21-188A01D5A9B6}"/>
    <hyperlink ref="N14" r:id="rId36" display="mailto:ehurst@cartyco.com" xr:uid="{C91D7B21-BC33-43D5-93F3-94E2C0CF9C29}"/>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FD8FA-27E1-4D7D-9659-ECE8AB07CA28}">
  <dimension ref="A1:W317"/>
  <sheetViews>
    <sheetView workbookViewId="0">
      <pane ySplit="8" topLeftCell="A15" activePane="bottomLeft" state="frozen"/>
      <selection pane="bottomLeft" activeCell="K28" sqref="K28"/>
    </sheetView>
  </sheetViews>
  <sheetFormatPr defaultColWidth="35.453125" defaultRowHeight="14.5" x14ac:dyDescent="0.35"/>
  <cols>
    <col min="1" max="1" width="33" style="5" customWidth="1"/>
    <col min="2" max="2" width="24" style="5" bestFit="1" customWidth="1"/>
    <col min="3" max="3" width="11.453125" style="5" customWidth="1"/>
    <col min="4" max="4" width="15.81640625" style="5" bestFit="1" customWidth="1"/>
    <col min="5" max="5" width="8.7265625" style="5" bestFit="1" customWidth="1"/>
    <col min="6" max="6" width="11.1796875" style="5" bestFit="1" customWidth="1"/>
    <col min="7" max="7" width="63.7265625" style="5" customWidth="1"/>
    <col min="8" max="8" width="16.26953125" style="5" bestFit="1" customWidth="1"/>
    <col min="9" max="9" width="12.453125" style="5" customWidth="1"/>
    <col min="10" max="10" width="10.26953125" style="5" bestFit="1" customWidth="1"/>
    <col min="11" max="11" width="14.453125" style="5" bestFit="1" customWidth="1"/>
    <col min="12" max="12" width="26.54296875" style="5" bestFit="1" customWidth="1"/>
    <col min="13" max="13" width="7.54296875" style="5" bestFit="1" customWidth="1"/>
    <col min="14" max="14" width="36.81640625" style="5" customWidth="1"/>
    <col min="15" max="15" width="35.453125" style="5"/>
    <col min="16" max="16" width="11" style="5" bestFit="1" customWidth="1"/>
    <col min="17" max="17" width="10.1796875" style="5" bestFit="1" customWidth="1"/>
    <col min="18" max="18" width="35.453125" style="5"/>
    <col min="19" max="19" width="33.26953125" style="5" bestFit="1" customWidth="1"/>
    <col min="20" max="20" width="15.54296875" style="5" bestFit="1" customWidth="1"/>
    <col min="21" max="21" width="10.1796875" style="5" bestFit="1" customWidth="1"/>
    <col min="22" max="22" width="15.81640625" style="5" bestFit="1" customWidth="1"/>
    <col min="23" max="23" width="8.7265625" style="5" bestFit="1" customWidth="1"/>
    <col min="24" max="16384" width="35.453125" style="5"/>
  </cols>
  <sheetData>
    <row r="1" spans="1:23" x14ac:dyDescent="0.35">
      <c r="A1" s="4" t="s">
        <v>1653</v>
      </c>
      <c r="B1" s="4">
        <v>2025</v>
      </c>
      <c r="S1" s="13" t="s">
        <v>1653</v>
      </c>
      <c r="T1" s="14">
        <v>2024</v>
      </c>
      <c r="U1" s="15"/>
      <c r="V1" s="15"/>
      <c r="W1" s="15"/>
    </row>
    <row r="2" spans="1:23" x14ac:dyDescent="0.35">
      <c r="A2" s="6" t="s">
        <v>1</v>
      </c>
      <c r="B2" s="7">
        <f>SUM(D9:D57)</f>
        <v>79850</v>
      </c>
      <c r="K2" s="11" t="s">
        <v>2</v>
      </c>
      <c r="S2" s="16" t="s">
        <v>1</v>
      </c>
      <c r="T2" s="16">
        <f>SUM(V9:V39)</f>
        <v>58225</v>
      </c>
      <c r="U2" s="15"/>
      <c r="V2" s="15"/>
      <c r="W2" s="15"/>
    </row>
    <row r="3" spans="1:23" x14ac:dyDescent="0.35">
      <c r="A3" s="6" t="s">
        <v>3</v>
      </c>
      <c r="B3" s="7">
        <v>55000</v>
      </c>
      <c r="K3" s="7">
        <f>SUM(K38-B2)</f>
        <v>-17000</v>
      </c>
      <c r="S3" s="16" t="s">
        <v>3</v>
      </c>
      <c r="T3" s="16">
        <v>45000</v>
      </c>
      <c r="U3" s="15"/>
      <c r="V3" s="15"/>
      <c r="W3" s="15"/>
    </row>
    <row r="4" spans="1:23" x14ac:dyDescent="0.35">
      <c r="A4" s="6" t="s">
        <v>4</v>
      </c>
      <c r="B4" s="7">
        <f>MIN(B2-B3)</f>
        <v>24850</v>
      </c>
      <c r="K4" s="42">
        <f>K38/B2</f>
        <v>0.78710081402629928</v>
      </c>
      <c r="S4" s="16" t="s">
        <v>4</v>
      </c>
      <c r="T4" s="16">
        <f>MIN(T2-T3)</f>
        <v>13225</v>
      </c>
      <c r="U4" s="15"/>
      <c r="V4" s="15"/>
      <c r="W4" s="15"/>
    </row>
    <row r="5" spans="1:23" x14ac:dyDescent="0.35">
      <c r="A5" s="6" t="s">
        <v>5</v>
      </c>
      <c r="B5" s="7">
        <v>65000</v>
      </c>
      <c r="S5" s="16" t="s">
        <v>5</v>
      </c>
      <c r="T5" s="16">
        <v>70000</v>
      </c>
      <c r="U5" s="15"/>
      <c r="V5" s="15"/>
      <c r="W5" s="15"/>
    </row>
    <row r="6" spans="1:23" x14ac:dyDescent="0.35">
      <c r="A6" s="6" t="s">
        <v>4</v>
      </c>
      <c r="B6" s="7">
        <f>MIN(B2-B5)</f>
        <v>14850</v>
      </c>
      <c r="S6" s="16" t="s">
        <v>4</v>
      </c>
      <c r="T6" s="16">
        <f>MIN(T2-T5)</f>
        <v>-11775</v>
      </c>
      <c r="U6" s="15"/>
      <c r="V6" s="15"/>
      <c r="W6" s="15"/>
    </row>
    <row r="7" spans="1:23" x14ac:dyDescent="0.35">
      <c r="S7" s="15"/>
      <c r="T7" s="15"/>
      <c r="U7" s="15"/>
      <c r="V7" s="15"/>
      <c r="W7" s="15"/>
    </row>
    <row r="8" spans="1:23" x14ac:dyDescent="0.35">
      <c r="A8" s="12" t="s">
        <v>6</v>
      </c>
      <c r="B8" s="12" t="s">
        <v>7</v>
      </c>
      <c r="C8" s="12" t="s">
        <v>8</v>
      </c>
      <c r="D8" s="12" t="s">
        <v>9</v>
      </c>
      <c r="E8" s="12" t="s">
        <v>10</v>
      </c>
      <c r="F8" s="12" t="s">
        <v>11</v>
      </c>
      <c r="G8" s="12" t="s">
        <v>12</v>
      </c>
      <c r="H8" s="11" t="s">
        <v>13</v>
      </c>
      <c r="I8" s="166" t="s">
        <v>14</v>
      </c>
      <c r="J8" s="12" t="s">
        <v>15</v>
      </c>
      <c r="K8" s="12" t="s">
        <v>16</v>
      </c>
      <c r="L8" s="12" t="s">
        <v>17</v>
      </c>
      <c r="M8" s="12" t="s">
        <v>18</v>
      </c>
      <c r="N8" s="12" t="s">
        <v>19</v>
      </c>
      <c r="P8" s="44" t="s">
        <v>10</v>
      </c>
      <c r="Q8" s="44" t="s">
        <v>20</v>
      </c>
      <c r="S8" s="17" t="s">
        <v>6</v>
      </c>
      <c r="T8" s="17" t="s">
        <v>21</v>
      </c>
      <c r="U8" s="17" t="s">
        <v>8</v>
      </c>
      <c r="V8" s="17" t="s">
        <v>9</v>
      </c>
      <c r="W8" s="17" t="s">
        <v>10</v>
      </c>
    </row>
    <row r="9" spans="1:23" x14ac:dyDescent="0.35">
      <c r="A9" s="9" t="s">
        <v>141</v>
      </c>
      <c r="B9" s="9" t="s">
        <v>23</v>
      </c>
      <c r="C9" s="10">
        <v>10000</v>
      </c>
      <c r="D9" s="10">
        <v>10000</v>
      </c>
      <c r="E9" s="9" t="s">
        <v>90</v>
      </c>
      <c r="F9" s="9" t="s">
        <v>142</v>
      </c>
      <c r="G9" s="9"/>
      <c r="H9" s="165"/>
      <c r="I9" s="9" t="s">
        <v>1654</v>
      </c>
      <c r="J9" s="242">
        <v>45981</v>
      </c>
      <c r="K9" s="10">
        <v>10000</v>
      </c>
      <c r="L9" s="9" t="s">
        <v>144</v>
      </c>
      <c r="M9" s="9"/>
      <c r="N9" s="9"/>
      <c r="P9" s="39" t="s">
        <v>24</v>
      </c>
      <c r="Q9" s="10">
        <v>20500</v>
      </c>
      <c r="S9" s="84" t="s">
        <v>1655</v>
      </c>
      <c r="T9" s="84" t="s">
        <v>1656</v>
      </c>
      <c r="U9" s="55">
        <v>5000</v>
      </c>
      <c r="V9" s="55">
        <v>3500</v>
      </c>
      <c r="W9" s="84" t="s">
        <v>56</v>
      </c>
    </row>
    <row r="10" spans="1:23" ht="29" x14ac:dyDescent="0.35">
      <c r="A10" s="50" t="s">
        <v>170</v>
      </c>
      <c r="B10" s="9" t="s">
        <v>32</v>
      </c>
      <c r="C10" s="10">
        <v>5000</v>
      </c>
      <c r="D10" s="10">
        <v>3000</v>
      </c>
      <c r="E10" s="9" t="s">
        <v>24</v>
      </c>
      <c r="F10" s="9" t="s">
        <v>227</v>
      </c>
      <c r="G10" s="9" t="s">
        <v>228</v>
      </c>
      <c r="H10" s="165"/>
      <c r="I10" s="9" t="s">
        <v>1654</v>
      </c>
      <c r="J10" s="242">
        <v>45950</v>
      </c>
      <c r="K10" s="10">
        <v>3000</v>
      </c>
      <c r="L10" s="9" t="s">
        <v>230</v>
      </c>
      <c r="M10" s="9"/>
      <c r="N10" s="9" t="s">
        <v>231</v>
      </c>
      <c r="P10" s="39" t="s">
        <v>37</v>
      </c>
      <c r="Q10" s="10">
        <v>20000</v>
      </c>
      <c r="S10" s="84" t="s">
        <v>1064</v>
      </c>
      <c r="T10" s="84" t="s">
        <v>109</v>
      </c>
      <c r="U10" s="55">
        <v>1000</v>
      </c>
      <c r="V10" s="55">
        <v>1500</v>
      </c>
      <c r="W10" s="84" t="s">
        <v>24</v>
      </c>
    </row>
    <row r="11" spans="1:23" x14ac:dyDescent="0.35">
      <c r="A11" s="50" t="s">
        <v>40</v>
      </c>
      <c r="B11" s="9" t="s">
        <v>32</v>
      </c>
      <c r="C11" s="10">
        <v>5000</v>
      </c>
      <c r="D11" s="10">
        <v>5000</v>
      </c>
      <c r="E11" s="9" t="s">
        <v>24</v>
      </c>
      <c r="F11" s="9" t="s">
        <v>42</v>
      </c>
      <c r="G11" s="9" t="s">
        <v>1657</v>
      </c>
      <c r="H11" s="163" t="s">
        <v>27</v>
      </c>
      <c r="I11" s="9"/>
      <c r="J11" s="127"/>
      <c r="K11" s="10"/>
      <c r="L11" s="9" t="s">
        <v>45</v>
      </c>
      <c r="M11" s="9"/>
      <c r="N11" s="9" t="s">
        <v>46</v>
      </c>
      <c r="P11" s="39" t="s">
        <v>47</v>
      </c>
      <c r="Q11" s="10"/>
      <c r="S11" s="121" t="s">
        <v>165</v>
      </c>
      <c r="T11" s="121" t="s">
        <v>23</v>
      </c>
      <c r="U11" s="113">
        <v>10000</v>
      </c>
      <c r="V11" s="113">
        <v>10000</v>
      </c>
      <c r="W11" s="121" t="s">
        <v>95</v>
      </c>
    </row>
    <row r="12" spans="1:23" x14ac:dyDescent="0.35">
      <c r="A12" s="9" t="s">
        <v>480</v>
      </c>
      <c r="B12" s="9" t="s">
        <v>32</v>
      </c>
      <c r="C12" s="10">
        <v>5000</v>
      </c>
      <c r="D12" s="10">
        <v>5000</v>
      </c>
      <c r="E12" s="9" t="s">
        <v>92</v>
      </c>
      <c r="F12" s="9" t="s">
        <v>215</v>
      </c>
      <c r="G12" s="9"/>
      <c r="H12" s="165"/>
      <c r="I12" s="9" t="s">
        <v>1654</v>
      </c>
      <c r="J12" s="127"/>
      <c r="K12" s="10"/>
      <c r="L12" s="9" t="s">
        <v>483</v>
      </c>
      <c r="M12" s="9"/>
      <c r="N12" s="86" t="s">
        <v>484</v>
      </c>
      <c r="P12" s="39" t="s">
        <v>50</v>
      </c>
      <c r="Q12" s="10">
        <v>3500</v>
      </c>
      <c r="S12" s="84" t="s">
        <v>170</v>
      </c>
      <c r="T12" s="84" t="s">
        <v>32</v>
      </c>
      <c r="U12" s="55">
        <v>5000</v>
      </c>
      <c r="V12" s="55">
        <v>3000</v>
      </c>
      <c r="W12" s="84" t="s">
        <v>24</v>
      </c>
    </row>
    <row r="13" spans="1:23" ht="29" x14ac:dyDescent="0.35">
      <c r="A13" s="9" t="s">
        <v>742</v>
      </c>
      <c r="B13" s="9" t="s">
        <v>32</v>
      </c>
      <c r="C13" s="10">
        <v>5000</v>
      </c>
      <c r="D13" s="10">
        <v>2500</v>
      </c>
      <c r="E13" s="9" t="s">
        <v>37</v>
      </c>
      <c r="F13" s="9" t="s">
        <v>418</v>
      </c>
      <c r="G13" s="9"/>
      <c r="H13" s="163" t="s">
        <v>27</v>
      </c>
      <c r="I13" s="9"/>
      <c r="J13" s="242" t="s">
        <v>1658</v>
      </c>
      <c r="K13" s="10">
        <f>1825+675</f>
        <v>2500</v>
      </c>
      <c r="L13" s="9" t="s">
        <v>743</v>
      </c>
      <c r="M13" s="9"/>
      <c r="N13" s="9" t="s">
        <v>744</v>
      </c>
      <c r="P13" s="39" t="s">
        <v>56</v>
      </c>
      <c r="Q13" s="10">
        <v>2500</v>
      </c>
      <c r="S13" s="84" t="s">
        <v>181</v>
      </c>
      <c r="T13" s="84" t="s">
        <v>109</v>
      </c>
      <c r="U13" s="55">
        <v>1000</v>
      </c>
      <c r="V13" s="55">
        <v>0</v>
      </c>
      <c r="W13" s="84"/>
    </row>
    <row r="14" spans="1:23" ht="29" x14ac:dyDescent="0.35">
      <c r="A14" s="9" t="s">
        <v>1055</v>
      </c>
      <c r="B14" s="9" t="s">
        <v>32</v>
      </c>
      <c r="C14" s="10">
        <v>5000</v>
      </c>
      <c r="D14" s="10">
        <v>5000</v>
      </c>
      <c r="E14" s="9" t="s">
        <v>37</v>
      </c>
      <c r="F14" s="9" t="s">
        <v>439</v>
      </c>
      <c r="G14" s="9" t="s">
        <v>1056</v>
      </c>
      <c r="H14" s="157" t="s">
        <v>27</v>
      </c>
      <c r="I14" s="9"/>
      <c r="J14" s="195">
        <v>45894</v>
      </c>
      <c r="K14" s="10">
        <v>5000</v>
      </c>
      <c r="L14" s="27" t="s">
        <v>1057</v>
      </c>
      <c r="M14" s="27"/>
      <c r="N14" s="27" t="s">
        <v>1058</v>
      </c>
      <c r="P14" s="39" t="s">
        <v>62</v>
      </c>
      <c r="Q14" s="10"/>
      <c r="S14" s="84" t="s">
        <v>38</v>
      </c>
      <c r="T14" s="84" t="s">
        <v>1659</v>
      </c>
      <c r="U14" s="55">
        <v>2500</v>
      </c>
      <c r="V14" s="55">
        <v>2000</v>
      </c>
      <c r="W14" s="84" t="s">
        <v>24</v>
      </c>
    </row>
    <row r="15" spans="1:23" ht="29" x14ac:dyDescent="0.35">
      <c r="A15" s="9" t="s">
        <v>248</v>
      </c>
      <c r="B15" s="9" t="s">
        <v>32</v>
      </c>
      <c r="C15" s="10">
        <v>5000</v>
      </c>
      <c r="D15" s="10">
        <v>5000</v>
      </c>
      <c r="E15" s="9" t="s">
        <v>37</v>
      </c>
      <c r="F15" s="9" t="s">
        <v>1660</v>
      </c>
      <c r="G15" s="9"/>
      <c r="H15" s="9"/>
      <c r="I15" s="9" t="s">
        <v>1661</v>
      </c>
      <c r="J15" s="195">
        <v>45966</v>
      </c>
      <c r="K15" s="10">
        <v>5000</v>
      </c>
      <c r="L15" s="9" t="s">
        <v>1662</v>
      </c>
      <c r="M15" s="9"/>
      <c r="N15" s="87" t="s">
        <v>1663</v>
      </c>
      <c r="P15" s="39" t="s">
        <v>68</v>
      </c>
      <c r="Q15" s="10"/>
      <c r="S15" s="84" t="s">
        <v>640</v>
      </c>
      <c r="T15" s="84" t="s">
        <v>1664</v>
      </c>
      <c r="U15" s="55">
        <v>3500</v>
      </c>
      <c r="V15" s="55">
        <v>3000</v>
      </c>
      <c r="W15" s="84" t="s">
        <v>37</v>
      </c>
    </row>
    <row r="16" spans="1:23" ht="43.5" x14ac:dyDescent="0.35">
      <c r="A16" s="9" t="s">
        <v>434</v>
      </c>
      <c r="B16" s="9" t="s">
        <v>1665</v>
      </c>
      <c r="C16" s="10">
        <v>7500</v>
      </c>
      <c r="D16" s="10">
        <v>7500</v>
      </c>
      <c r="E16" s="9" t="s">
        <v>96</v>
      </c>
      <c r="F16" s="9" t="s">
        <v>244</v>
      </c>
      <c r="G16" s="9"/>
      <c r="H16" s="94" t="s">
        <v>27</v>
      </c>
      <c r="I16" s="9"/>
      <c r="J16" s="195" t="s">
        <v>1666</v>
      </c>
      <c r="K16" s="10">
        <f>3400+4100</f>
        <v>7500</v>
      </c>
      <c r="L16" s="9" t="s">
        <v>436</v>
      </c>
      <c r="M16" s="9"/>
      <c r="N16" s="9" t="s">
        <v>437</v>
      </c>
      <c r="P16" s="39" t="s">
        <v>76</v>
      </c>
      <c r="Q16" s="10">
        <v>3850</v>
      </c>
      <c r="S16" s="83" t="s">
        <v>171</v>
      </c>
      <c r="T16" s="83" t="s">
        <v>39</v>
      </c>
      <c r="U16" s="55">
        <v>2500</v>
      </c>
      <c r="V16" s="55">
        <v>0</v>
      </c>
      <c r="W16" s="83" t="s">
        <v>96</v>
      </c>
    </row>
    <row r="17" spans="1:23" x14ac:dyDescent="0.35">
      <c r="A17" s="9" t="s">
        <v>561</v>
      </c>
      <c r="B17" s="9" t="s">
        <v>1655</v>
      </c>
      <c r="C17" s="10">
        <v>5000</v>
      </c>
      <c r="D17" s="10">
        <v>3500</v>
      </c>
      <c r="E17" s="9" t="s">
        <v>50</v>
      </c>
      <c r="F17" s="9" t="s">
        <v>224</v>
      </c>
      <c r="G17" s="9" t="s">
        <v>1667</v>
      </c>
      <c r="H17" s="165"/>
      <c r="I17" s="9" t="s">
        <v>1654</v>
      </c>
      <c r="J17" s="127"/>
      <c r="K17" s="10"/>
      <c r="L17" s="9" t="s">
        <v>1668</v>
      </c>
      <c r="M17" s="9"/>
      <c r="N17" s="9" t="s">
        <v>1669</v>
      </c>
      <c r="P17" s="39" t="s">
        <v>81</v>
      </c>
      <c r="Q17" s="10"/>
      <c r="S17" s="121" t="s">
        <v>260</v>
      </c>
      <c r="T17" s="121" t="s">
        <v>39</v>
      </c>
      <c r="U17" s="113">
        <v>2500</v>
      </c>
      <c r="V17" s="113">
        <v>2500</v>
      </c>
      <c r="W17" s="121" t="s">
        <v>56</v>
      </c>
    </row>
    <row r="18" spans="1:23" x14ac:dyDescent="0.35">
      <c r="A18" s="50" t="s">
        <v>1670</v>
      </c>
      <c r="B18" s="9" t="s">
        <v>1671</v>
      </c>
      <c r="C18" s="10">
        <v>5000</v>
      </c>
      <c r="D18" s="10">
        <v>5000</v>
      </c>
      <c r="E18" s="9" t="s">
        <v>93</v>
      </c>
      <c r="F18" s="9" t="s">
        <v>1603</v>
      </c>
      <c r="G18" s="9"/>
      <c r="H18" s="165"/>
      <c r="I18" s="9" t="s">
        <v>1654</v>
      </c>
      <c r="J18" s="242">
        <v>45964</v>
      </c>
      <c r="K18" s="10">
        <v>5000</v>
      </c>
      <c r="L18" s="9" t="s">
        <v>1672</v>
      </c>
      <c r="M18" s="9"/>
      <c r="N18" s="86" t="s">
        <v>1673</v>
      </c>
      <c r="P18" s="39" t="s">
        <v>86</v>
      </c>
      <c r="Q18" s="10"/>
      <c r="S18" s="84" t="s">
        <v>302</v>
      </c>
      <c r="T18" s="84" t="s">
        <v>1665</v>
      </c>
      <c r="U18" s="55">
        <v>7500</v>
      </c>
      <c r="V18" s="55">
        <v>5000</v>
      </c>
      <c r="W18" s="84" t="s">
        <v>95</v>
      </c>
    </row>
    <row r="19" spans="1:23" x14ac:dyDescent="0.35">
      <c r="A19" s="9"/>
      <c r="B19" s="9" t="s">
        <v>201</v>
      </c>
      <c r="C19" s="10">
        <v>5000</v>
      </c>
      <c r="D19" s="10"/>
      <c r="E19" s="9"/>
      <c r="F19" s="9"/>
      <c r="G19" s="9"/>
      <c r="H19" s="165"/>
      <c r="I19" s="9"/>
      <c r="J19" s="127"/>
      <c r="K19" s="10"/>
      <c r="L19" s="9"/>
      <c r="M19" s="9"/>
      <c r="N19" s="9"/>
      <c r="P19" s="39" t="s">
        <v>90</v>
      </c>
      <c r="Q19" s="10">
        <v>10000</v>
      </c>
      <c r="S19" s="84" t="s">
        <v>57</v>
      </c>
      <c r="T19" s="84" t="s">
        <v>39</v>
      </c>
      <c r="U19" s="55">
        <v>2500</v>
      </c>
      <c r="V19" s="55">
        <v>2500</v>
      </c>
      <c r="W19" s="84" t="s">
        <v>24</v>
      </c>
    </row>
    <row r="20" spans="1:23" x14ac:dyDescent="0.35">
      <c r="A20" s="9" t="s">
        <v>640</v>
      </c>
      <c r="B20" s="9" t="s">
        <v>1664</v>
      </c>
      <c r="C20" s="10">
        <v>5000</v>
      </c>
      <c r="D20" s="10">
        <v>3000</v>
      </c>
      <c r="E20" s="9" t="s">
        <v>24</v>
      </c>
      <c r="F20" s="9" t="s">
        <v>1674</v>
      </c>
      <c r="G20" s="9"/>
      <c r="H20" s="165"/>
      <c r="I20" s="9" t="s">
        <v>1675</v>
      </c>
      <c r="J20" s="242">
        <v>45960</v>
      </c>
      <c r="K20" s="10">
        <v>3000</v>
      </c>
      <c r="L20" s="9" t="s">
        <v>1676</v>
      </c>
      <c r="M20" s="9"/>
      <c r="N20" s="9" t="s">
        <v>1677</v>
      </c>
      <c r="P20" s="39" t="s">
        <v>91</v>
      </c>
      <c r="Q20" s="10"/>
      <c r="S20" s="84" t="s">
        <v>480</v>
      </c>
      <c r="T20" s="84" t="s">
        <v>32</v>
      </c>
      <c r="U20" s="55">
        <v>5000</v>
      </c>
      <c r="V20" s="55">
        <v>5000</v>
      </c>
      <c r="W20" s="84" t="s">
        <v>92</v>
      </c>
    </row>
    <row r="21" spans="1:23" x14ac:dyDescent="0.35">
      <c r="A21" s="9" t="s">
        <v>187</v>
      </c>
      <c r="B21" s="9" t="s">
        <v>1678</v>
      </c>
      <c r="C21" s="10">
        <v>5000</v>
      </c>
      <c r="D21" s="10">
        <v>2000</v>
      </c>
      <c r="E21" s="9" t="s">
        <v>24</v>
      </c>
      <c r="F21" s="9" t="s">
        <v>189</v>
      </c>
      <c r="G21" s="9"/>
      <c r="H21" s="163" t="s">
        <v>27</v>
      </c>
      <c r="I21" s="9"/>
      <c r="J21" s="127" t="s">
        <v>172</v>
      </c>
      <c r="K21" s="10">
        <v>2000</v>
      </c>
      <c r="L21" s="9" t="s">
        <v>190</v>
      </c>
      <c r="M21" s="9"/>
      <c r="N21" s="9" t="s">
        <v>191</v>
      </c>
      <c r="P21" s="39" t="s">
        <v>92</v>
      </c>
      <c r="Q21" s="10">
        <v>6000</v>
      </c>
      <c r="S21" s="18" t="s">
        <v>608</v>
      </c>
      <c r="T21" s="18" t="s">
        <v>109</v>
      </c>
      <c r="U21" s="10">
        <v>1000</v>
      </c>
      <c r="V21" s="10">
        <v>1000</v>
      </c>
      <c r="W21" s="18" t="s">
        <v>76</v>
      </c>
    </row>
    <row r="22" spans="1:23" x14ac:dyDescent="0.35">
      <c r="A22" s="9"/>
      <c r="B22" s="9" t="s">
        <v>1678</v>
      </c>
      <c r="C22" s="10">
        <v>5000</v>
      </c>
      <c r="D22" s="10"/>
      <c r="E22" s="9"/>
      <c r="F22" s="9"/>
      <c r="G22" s="9"/>
      <c r="H22" s="165"/>
      <c r="I22" s="9"/>
      <c r="J22" s="127"/>
      <c r="K22" s="10"/>
      <c r="L22" s="9"/>
      <c r="M22" s="9"/>
      <c r="N22" s="9"/>
      <c r="P22" s="39" t="s">
        <v>93</v>
      </c>
      <c r="Q22" s="10">
        <v>6000</v>
      </c>
      <c r="S22" s="84" t="s">
        <v>945</v>
      </c>
      <c r="T22" s="84" t="s">
        <v>109</v>
      </c>
      <c r="U22" s="55">
        <v>1000</v>
      </c>
      <c r="V22" s="55">
        <v>1000</v>
      </c>
      <c r="W22" s="84" t="s">
        <v>92</v>
      </c>
    </row>
    <row r="23" spans="1:23" x14ac:dyDescent="0.35">
      <c r="A23" s="9" t="s">
        <v>1679</v>
      </c>
      <c r="B23" s="9" t="s">
        <v>1680</v>
      </c>
      <c r="C23" s="10">
        <v>7500</v>
      </c>
      <c r="D23" s="10">
        <v>7500</v>
      </c>
      <c r="E23" s="9" t="s">
        <v>37</v>
      </c>
      <c r="F23" s="9" t="s">
        <v>319</v>
      </c>
      <c r="G23" s="9" t="s">
        <v>1681</v>
      </c>
      <c r="H23" s="165"/>
      <c r="I23" s="9" t="s">
        <v>1654</v>
      </c>
      <c r="J23" s="242">
        <v>45982</v>
      </c>
      <c r="K23" s="10">
        <v>7500</v>
      </c>
      <c r="L23" s="9" t="s">
        <v>1682</v>
      </c>
      <c r="M23" s="9"/>
      <c r="N23" s="9" t="s">
        <v>1683</v>
      </c>
      <c r="P23" s="39" t="s">
        <v>94</v>
      </c>
      <c r="Q23" s="10"/>
      <c r="S23" s="84" t="s">
        <v>87</v>
      </c>
      <c r="T23" s="84" t="s">
        <v>109</v>
      </c>
      <c r="U23" s="55">
        <v>1000</v>
      </c>
      <c r="V23" s="55">
        <v>1000</v>
      </c>
      <c r="W23" s="84" t="s">
        <v>24</v>
      </c>
    </row>
    <row r="24" spans="1:23" x14ac:dyDescent="0.35">
      <c r="A24" s="9" t="s">
        <v>57</v>
      </c>
      <c r="B24" s="9" t="s">
        <v>39</v>
      </c>
      <c r="C24" s="10">
        <v>2500</v>
      </c>
      <c r="D24" s="10">
        <v>2500</v>
      </c>
      <c r="E24" s="9" t="s">
        <v>24</v>
      </c>
      <c r="F24" s="9" t="s">
        <v>58</v>
      </c>
      <c r="G24" s="9"/>
      <c r="H24" s="163" t="s">
        <v>27</v>
      </c>
      <c r="I24" s="9"/>
      <c r="J24" s="242">
        <v>45980</v>
      </c>
      <c r="K24" s="10">
        <v>2500</v>
      </c>
      <c r="L24" s="9" t="s">
        <v>60</v>
      </c>
      <c r="M24" s="9"/>
      <c r="N24" s="9" t="s">
        <v>61</v>
      </c>
      <c r="P24" s="39" t="s">
        <v>95</v>
      </c>
      <c r="Q24" s="10">
        <v>0</v>
      </c>
      <c r="S24" s="18" t="s">
        <v>222</v>
      </c>
      <c r="T24" s="18" t="s">
        <v>109</v>
      </c>
      <c r="U24" s="10">
        <v>1000</v>
      </c>
      <c r="V24" s="10">
        <v>1000</v>
      </c>
      <c r="W24" s="18" t="s">
        <v>92</v>
      </c>
    </row>
    <row r="25" spans="1:23" ht="72.5" x14ac:dyDescent="0.35">
      <c r="A25" s="9" t="s">
        <v>176</v>
      </c>
      <c r="B25" s="9" t="s">
        <v>39</v>
      </c>
      <c r="C25" s="10">
        <v>2500</v>
      </c>
      <c r="D25" s="10">
        <v>2500</v>
      </c>
      <c r="E25" s="9" t="s">
        <v>56</v>
      </c>
      <c r="F25" s="9" t="s">
        <v>418</v>
      </c>
      <c r="G25" s="9" t="s">
        <v>177</v>
      </c>
      <c r="H25" s="9"/>
      <c r="I25" s="9" t="s">
        <v>1654</v>
      </c>
      <c r="J25" s="195">
        <v>45960</v>
      </c>
      <c r="K25" s="10">
        <v>2500</v>
      </c>
      <c r="L25" s="9" t="s">
        <v>178</v>
      </c>
      <c r="M25" s="9"/>
      <c r="N25" s="87" t="s">
        <v>179</v>
      </c>
      <c r="P25" s="39" t="s">
        <v>96</v>
      </c>
      <c r="Q25" s="10">
        <v>8500</v>
      </c>
      <c r="S25" s="84" t="s">
        <v>1684</v>
      </c>
      <c r="T25" s="84" t="s">
        <v>39</v>
      </c>
      <c r="U25" s="55">
        <v>2500</v>
      </c>
      <c r="V25" s="55">
        <v>2500</v>
      </c>
      <c r="W25" s="84" t="s">
        <v>24</v>
      </c>
    </row>
    <row r="26" spans="1:23" ht="29" x14ac:dyDescent="0.35">
      <c r="A26" s="9" t="s">
        <v>1083</v>
      </c>
      <c r="B26" s="9" t="s">
        <v>39</v>
      </c>
      <c r="C26" s="10">
        <v>2500</v>
      </c>
      <c r="D26" s="10">
        <v>0</v>
      </c>
      <c r="E26" s="9" t="s">
        <v>95</v>
      </c>
      <c r="F26" s="9" t="s">
        <v>115</v>
      </c>
      <c r="G26" s="9" t="s">
        <v>1595</v>
      </c>
      <c r="H26" s="9"/>
      <c r="I26" s="9">
        <v>0</v>
      </c>
      <c r="J26" s="9"/>
      <c r="K26" s="10"/>
      <c r="L26" s="9" t="s">
        <v>1084</v>
      </c>
      <c r="M26" s="9"/>
      <c r="N26" s="9" t="s">
        <v>1085</v>
      </c>
      <c r="P26" s="39" t="s">
        <v>97</v>
      </c>
      <c r="Q26" s="10"/>
      <c r="S26" s="121" t="s">
        <v>352</v>
      </c>
      <c r="T26" s="121" t="s">
        <v>32</v>
      </c>
      <c r="U26" s="113">
        <v>5000</v>
      </c>
      <c r="V26" s="113">
        <v>3000</v>
      </c>
      <c r="W26" s="121" t="s">
        <v>94</v>
      </c>
    </row>
    <row r="27" spans="1:23" x14ac:dyDescent="0.35">
      <c r="A27" s="9" t="s">
        <v>1684</v>
      </c>
      <c r="B27" s="9" t="s">
        <v>39</v>
      </c>
      <c r="C27" s="10">
        <v>2500</v>
      </c>
      <c r="D27" s="10">
        <v>2500</v>
      </c>
      <c r="E27" s="9" t="s">
        <v>24</v>
      </c>
      <c r="F27" s="9" t="s">
        <v>1568</v>
      </c>
      <c r="G27" s="9"/>
      <c r="H27" s="9"/>
      <c r="I27" s="9" t="s">
        <v>1654</v>
      </c>
      <c r="J27" s="195">
        <v>46002</v>
      </c>
      <c r="K27" s="10">
        <v>2500</v>
      </c>
      <c r="L27" s="9" t="s">
        <v>1685</v>
      </c>
      <c r="M27" s="9"/>
      <c r="N27" s="9" t="s">
        <v>1686</v>
      </c>
      <c r="P27" s="39" t="s">
        <v>98</v>
      </c>
      <c r="Q27" s="10">
        <v>0</v>
      </c>
      <c r="S27" s="84" t="s">
        <v>742</v>
      </c>
      <c r="T27" s="84" t="s">
        <v>32</v>
      </c>
      <c r="U27" s="55">
        <v>5000</v>
      </c>
      <c r="V27" s="55">
        <v>2225</v>
      </c>
      <c r="W27" s="84" t="s">
        <v>24</v>
      </c>
    </row>
    <row r="28" spans="1:23" ht="43.5" x14ac:dyDescent="0.35">
      <c r="A28" s="9" t="s">
        <v>1687</v>
      </c>
      <c r="B28" s="9" t="s">
        <v>39</v>
      </c>
      <c r="C28" s="10">
        <v>2500</v>
      </c>
      <c r="D28" s="10">
        <v>1350</v>
      </c>
      <c r="E28" s="9" t="s">
        <v>76</v>
      </c>
      <c r="F28" s="9" t="s">
        <v>506</v>
      </c>
      <c r="G28" s="9" t="s">
        <v>1688</v>
      </c>
      <c r="H28" s="94" t="s">
        <v>27</v>
      </c>
      <c r="I28" s="9"/>
      <c r="J28" s="195" t="s">
        <v>1689</v>
      </c>
      <c r="K28" s="10">
        <f>450+450+450</f>
        <v>1350</v>
      </c>
      <c r="L28" s="9" t="s">
        <v>1690</v>
      </c>
      <c r="M28" s="9"/>
      <c r="N28" s="87" t="s">
        <v>1691</v>
      </c>
      <c r="P28" s="45" t="s">
        <v>99</v>
      </c>
      <c r="Q28" s="46">
        <v>80850</v>
      </c>
      <c r="S28" s="121" t="s">
        <v>1692</v>
      </c>
      <c r="T28" s="121" t="s">
        <v>39</v>
      </c>
      <c r="U28" s="113">
        <v>2500</v>
      </c>
      <c r="V28" s="113">
        <v>3500</v>
      </c>
      <c r="W28" s="121" t="s">
        <v>68</v>
      </c>
    </row>
    <row r="29" spans="1:23" ht="43.5" x14ac:dyDescent="0.35">
      <c r="A29" s="9" t="s">
        <v>1693</v>
      </c>
      <c r="B29" s="9" t="s">
        <v>1694</v>
      </c>
      <c r="C29" s="10">
        <v>2500</v>
      </c>
      <c r="D29" s="10">
        <v>2500</v>
      </c>
      <c r="E29" s="9" t="s">
        <v>76</v>
      </c>
      <c r="F29" s="9" t="s">
        <v>493</v>
      </c>
      <c r="G29" s="9" t="s">
        <v>1695</v>
      </c>
      <c r="H29" s="94" t="s">
        <v>27</v>
      </c>
      <c r="I29" s="195"/>
      <c r="J29" s="195">
        <v>45877</v>
      </c>
      <c r="K29" s="10">
        <v>2500</v>
      </c>
      <c r="L29" s="9" t="s">
        <v>1696</v>
      </c>
      <c r="M29" s="9"/>
      <c r="N29" s="87" t="s">
        <v>1697</v>
      </c>
      <c r="S29" s="84" t="s">
        <v>40</v>
      </c>
      <c r="T29" s="84" t="s">
        <v>32</v>
      </c>
      <c r="U29" s="55">
        <v>5000</v>
      </c>
      <c r="V29" s="55">
        <v>5000</v>
      </c>
      <c r="W29" s="84" t="s">
        <v>37</v>
      </c>
    </row>
    <row r="30" spans="1:23" x14ac:dyDescent="0.35">
      <c r="A30" s="9" t="s">
        <v>764</v>
      </c>
      <c r="B30" s="9" t="s">
        <v>109</v>
      </c>
      <c r="C30" s="10">
        <v>1000</v>
      </c>
      <c r="D30" s="10">
        <v>1000</v>
      </c>
      <c r="E30" s="9" t="s">
        <v>92</v>
      </c>
      <c r="F30" s="9" t="s">
        <v>253</v>
      </c>
      <c r="G30" s="9"/>
      <c r="H30" s="9"/>
      <c r="I30" s="9" t="s">
        <v>1654</v>
      </c>
      <c r="J30" s="9"/>
      <c r="K30" s="10"/>
      <c r="L30" s="9" t="s">
        <v>765</v>
      </c>
      <c r="M30" s="9"/>
      <c r="N30" s="87" t="s">
        <v>766</v>
      </c>
      <c r="S30" s="84" t="s">
        <v>1698</v>
      </c>
      <c r="T30" s="84" t="s">
        <v>109</v>
      </c>
      <c r="U30" s="55">
        <v>1000</v>
      </c>
      <c r="V30" s="55">
        <v>0</v>
      </c>
      <c r="W30" s="84" t="s">
        <v>95</v>
      </c>
    </row>
    <row r="31" spans="1:23" ht="29" x14ac:dyDescent="0.35">
      <c r="A31" s="9" t="s">
        <v>395</v>
      </c>
      <c r="B31" s="9" t="s">
        <v>109</v>
      </c>
      <c r="C31" s="10">
        <v>1000</v>
      </c>
      <c r="D31" s="10">
        <v>1000</v>
      </c>
      <c r="E31" s="9" t="s">
        <v>96</v>
      </c>
      <c r="F31" s="9" t="s">
        <v>161</v>
      </c>
      <c r="G31" s="9"/>
      <c r="H31" s="9"/>
      <c r="I31" s="9" t="s">
        <v>1654</v>
      </c>
      <c r="J31" s="195">
        <v>45945</v>
      </c>
      <c r="K31" s="10">
        <v>1000</v>
      </c>
      <c r="L31" s="9" t="s">
        <v>396</v>
      </c>
      <c r="M31" s="9"/>
      <c r="N31" s="87" t="s">
        <v>397</v>
      </c>
      <c r="S31" s="15"/>
      <c r="T31" s="15"/>
      <c r="U31" s="21"/>
      <c r="V31" s="21"/>
      <c r="W31" s="15"/>
    </row>
    <row r="32" spans="1:23" ht="29" x14ac:dyDescent="0.35">
      <c r="A32" s="50" t="s">
        <v>617</v>
      </c>
      <c r="B32" s="9" t="s">
        <v>109</v>
      </c>
      <c r="C32" s="10">
        <v>1000</v>
      </c>
      <c r="D32" s="10">
        <v>0</v>
      </c>
      <c r="E32" s="9" t="s">
        <v>96</v>
      </c>
      <c r="F32" s="9" t="s">
        <v>167</v>
      </c>
      <c r="G32" s="9" t="s">
        <v>618</v>
      </c>
      <c r="H32" s="9"/>
      <c r="I32" s="9">
        <v>0</v>
      </c>
      <c r="J32" s="9"/>
      <c r="K32" s="10"/>
      <c r="L32" s="9" t="s">
        <v>173</v>
      </c>
      <c r="M32" s="9"/>
      <c r="N32" s="87" t="s">
        <v>174</v>
      </c>
      <c r="S32" s="15"/>
      <c r="T32" s="15"/>
      <c r="U32" s="15"/>
      <c r="V32" s="15"/>
      <c r="W32" s="15"/>
    </row>
    <row r="33" spans="1:23" ht="29" x14ac:dyDescent="0.35">
      <c r="A33" s="9" t="s">
        <v>457</v>
      </c>
      <c r="B33" s="9" t="s">
        <v>109</v>
      </c>
      <c r="C33" s="10">
        <v>1000</v>
      </c>
      <c r="D33" s="10">
        <v>1500</v>
      </c>
      <c r="E33" s="9" t="s">
        <v>24</v>
      </c>
      <c r="F33" s="9" t="s">
        <v>25</v>
      </c>
      <c r="G33" s="9"/>
      <c r="H33" s="94" t="s">
        <v>27</v>
      </c>
      <c r="I33" s="9"/>
      <c r="J33" s="9"/>
      <c r="K33" s="10"/>
      <c r="L33" s="9" t="s">
        <v>459</v>
      </c>
      <c r="M33" s="9"/>
      <c r="N33" s="9" t="s">
        <v>460</v>
      </c>
      <c r="S33" s="15"/>
      <c r="T33" s="15"/>
      <c r="U33" s="21"/>
      <c r="V33" s="21"/>
      <c r="W33" s="15"/>
    </row>
    <row r="34" spans="1:23" x14ac:dyDescent="0.35">
      <c r="A34" s="5" t="s">
        <v>87</v>
      </c>
      <c r="B34" s="9" t="s">
        <v>109</v>
      </c>
      <c r="C34" s="10">
        <v>1000</v>
      </c>
      <c r="D34" s="10">
        <v>1000</v>
      </c>
      <c r="E34" s="9" t="s">
        <v>24</v>
      </c>
      <c r="F34" s="9" t="s">
        <v>768</v>
      </c>
      <c r="G34" s="9"/>
      <c r="H34" s="9"/>
      <c r="I34" s="9" t="s">
        <v>1654</v>
      </c>
      <c r="J34" s="9"/>
      <c r="K34" s="10"/>
      <c r="L34" s="9" t="s">
        <v>769</v>
      </c>
      <c r="M34" s="9"/>
      <c r="N34" s="9" t="s">
        <v>770</v>
      </c>
      <c r="S34" s="15"/>
      <c r="T34" s="15"/>
      <c r="U34" s="21"/>
      <c r="V34" s="21"/>
      <c r="W34" s="15"/>
    </row>
    <row r="35" spans="1:23" x14ac:dyDescent="0.35">
      <c r="A35" s="9" t="s">
        <v>494</v>
      </c>
      <c r="B35" s="9" t="s">
        <v>109</v>
      </c>
      <c r="C35" s="10">
        <v>1000</v>
      </c>
      <c r="D35" s="113" t="s">
        <v>1699</v>
      </c>
      <c r="E35" s="9" t="s">
        <v>93</v>
      </c>
      <c r="F35" s="9" t="s">
        <v>256</v>
      </c>
      <c r="G35" s="9" t="s">
        <v>1700</v>
      </c>
      <c r="H35" s="9"/>
      <c r="I35" s="9">
        <v>0</v>
      </c>
      <c r="J35" s="9"/>
      <c r="K35" s="10"/>
      <c r="L35" s="9" t="s">
        <v>453</v>
      </c>
      <c r="M35" s="9"/>
      <c r="N35" s="87" t="s">
        <v>454</v>
      </c>
      <c r="S35" s="15"/>
      <c r="T35" s="15"/>
      <c r="U35" s="21"/>
      <c r="V35" s="21"/>
      <c r="W35" s="15"/>
    </row>
    <row r="36" spans="1:23" x14ac:dyDescent="0.35">
      <c r="A36" s="50" t="s">
        <v>181</v>
      </c>
      <c r="B36" s="9" t="s">
        <v>109</v>
      </c>
      <c r="C36" s="10">
        <v>1000</v>
      </c>
      <c r="D36" s="10">
        <v>0</v>
      </c>
      <c r="E36" s="9"/>
      <c r="F36" s="9"/>
      <c r="G36" s="9"/>
      <c r="H36" s="9"/>
      <c r="I36" s="9">
        <v>0</v>
      </c>
      <c r="J36" s="9"/>
      <c r="K36" s="10"/>
      <c r="L36" s="9"/>
      <c r="M36" s="9"/>
      <c r="N36" s="9"/>
      <c r="S36" s="15"/>
      <c r="T36" s="15"/>
      <c r="U36" s="21"/>
      <c r="V36" s="21"/>
      <c r="W36" s="15"/>
    </row>
    <row r="37" spans="1:23" x14ac:dyDescent="0.35">
      <c r="C37" s="21"/>
      <c r="D37" s="21"/>
      <c r="K37" s="21"/>
      <c r="S37" s="15"/>
      <c r="T37" s="15"/>
      <c r="U37" s="21"/>
      <c r="V37" s="21"/>
      <c r="W37" s="15"/>
    </row>
    <row r="38" spans="1:23" x14ac:dyDescent="0.35">
      <c r="C38" s="21"/>
      <c r="D38" s="21"/>
      <c r="K38" s="29">
        <f>SUM(K9:K37)</f>
        <v>62850</v>
      </c>
      <c r="S38" s="15"/>
      <c r="T38" s="15"/>
      <c r="U38" s="21"/>
      <c r="V38" s="21"/>
      <c r="W38" s="15"/>
    </row>
    <row r="39" spans="1:23" x14ac:dyDescent="0.35">
      <c r="C39" s="21"/>
      <c r="D39" s="21"/>
      <c r="S39" s="15"/>
      <c r="T39" s="15"/>
      <c r="U39" s="21"/>
      <c r="V39" s="21"/>
      <c r="W39" s="15"/>
    </row>
    <row r="40" spans="1:23" x14ac:dyDescent="0.35">
      <c r="C40" s="21"/>
      <c r="D40" s="21"/>
    </row>
    <row r="41" spans="1:23" x14ac:dyDescent="0.35">
      <c r="C41" s="21"/>
      <c r="D41" s="21"/>
    </row>
    <row r="42" spans="1:23" x14ac:dyDescent="0.35">
      <c r="C42" s="21"/>
      <c r="D42" s="21"/>
    </row>
    <row r="43" spans="1:23" x14ac:dyDescent="0.35">
      <c r="C43" s="21"/>
      <c r="D43" s="21"/>
    </row>
    <row r="44" spans="1:23" x14ac:dyDescent="0.35">
      <c r="C44" s="21"/>
      <c r="D44" s="21"/>
    </row>
    <row r="45" spans="1:23" x14ac:dyDescent="0.35">
      <c r="C45" s="21"/>
      <c r="D45" s="21"/>
    </row>
    <row r="46" spans="1:23" x14ac:dyDescent="0.35">
      <c r="C46" s="21"/>
      <c r="D46" s="21"/>
    </row>
    <row r="47" spans="1:23" x14ac:dyDescent="0.35">
      <c r="C47" s="21"/>
      <c r="D47" s="21"/>
    </row>
    <row r="48" spans="1:23" x14ac:dyDescent="0.35">
      <c r="C48" s="21"/>
      <c r="D48" s="21"/>
    </row>
    <row r="49" spans="3:4" x14ac:dyDescent="0.35">
      <c r="C49" s="21"/>
      <c r="D49" s="21"/>
    </row>
    <row r="50" spans="3:4" x14ac:dyDescent="0.35">
      <c r="C50" s="21"/>
      <c r="D50" s="21"/>
    </row>
    <row r="51" spans="3:4" x14ac:dyDescent="0.35">
      <c r="C51" s="21"/>
      <c r="D51" s="21"/>
    </row>
    <row r="52" spans="3:4" x14ac:dyDescent="0.35">
      <c r="C52" s="21"/>
      <c r="D52" s="21"/>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W39">
    <sortCondition ref="S9:S39"/>
  </sortState>
  <hyperlinks>
    <hyperlink ref="N30" r:id="rId2" display="mailto:karenferguson501@gmail.com" xr:uid="{8FE91F94-825D-48E9-B609-B3561490DE5B}"/>
    <hyperlink ref="N31" r:id="rId3" display="mailto:cody@sowellarchitects.com" xr:uid="{1258FBA2-6E41-45C1-B814-E19BF185231C}"/>
    <hyperlink ref="N12" r:id="rId4" display="mailto:office@hdroofing-construction.com" xr:uid="{8A5B7EC1-8B0E-4BFF-8D00-45B60573FDBC}"/>
    <hyperlink ref="N32" r:id="rId5" display="mailto:adam@cousinsfurniture.com" xr:uid="{52FB0807-E78A-4F65-872E-D22FDBEF64BF}"/>
    <hyperlink ref="N25" r:id="rId6" display="mailto:jake.turpin@claytonhomes.com" xr:uid="{595CB9D9-8071-4D48-AB16-3451EED422F4}"/>
    <hyperlink ref="N35" r:id="rId7" display="mailto:crosscreekcaitlin@gmail.com" xr:uid="{306108EC-4A12-4E9F-A23C-9A0422B9D35C}"/>
    <hyperlink ref="N28" r:id="rId8" display="mailto:frostyourcakestudio@gmail.com" xr:uid="{45A61414-1821-4BD9-A970-FEB5BECDFB25}"/>
    <hyperlink ref="N29" r:id="rId9" display="mailto:ireyonia_n_felix@homedepot.com" xr:uid="{C386D7BE-7D19-4E07-A1D5-52B47E5CF85E}"/>
    <hyperlink ref="N18" r:id="rId10" display="mailto:blake@smithfamilypharmacy.com" xr:uid="{0E3B9329-9244-445D-B299-E2962720A54C}"/>
    <hyperlink ref="N15" r:id="rId11" xr:uid="{A99970F8-8A72-4305-8DE6-141FA301DF5E}"/>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F875A-57D9-4649-A5D7-BD5A59B559F5}">
  <dimension ref="A1:V317"/>
  <sheetViews>
    <sheetView workbookViewId="0">
      <pane ySplit="8" topLeftCell="A11" activePane="bottomLeft" state="frozen"/>
      <selection pane="bottomLeft" activeCell="K33" sqref="K33"/>
    </sheetView>
  </sheetViews>
  <sheetFormatPr defaultColWidth="74.26953125" defaultRowHeight="14.5" x14ac:dyDescent="0.35"/>
  <cols>
    <col min="1" max="1" width="29.7265625" style="5" bestFit="1" customWidth="1"/>
    <col min="2" max="2" width="23.7265625" style="5" bestFit="1" customWidth="1"/>
    <col min="3" max="3" width="13.54296875" style="5" customWidth="1"/>
    <col min="4" max="4" width="15.81640625" style="5" bestFit="1" customWidth="1"/>
    <col min="5" max="5" width="8.7265625" style="5" bestFit="1" customWidth="1"/>
    <col min="6" max="6" width="11.1796875" style="5" bestFit="1" customWidth="1"/>
    <col min="7" max="7" width="71.7265625" style="5" bestFit="1" customWidth="1"/>
    <col min="8" max="8" width="16.26953125" style="5" bestFit="1" customWidth="1"/>
    <col min="9" max="9" width="12.1796875" style="5" customWidth="1"/>
    <col min="10" max="10" width="10.26953125" style="5" bestFit="1" customWidth="1"/>
    <col min="11" max="11" width="14.453125" style="5" bestFit="1" customWidth="1"/>
    <col min="12" max="12" width="26.54296875" style="5" bestFit="1" customWidth="1"/>
    <col min="13" max="13" width="7.54296875" style="5" bestFit="1" customWidth="1"/>
    <col min="14" max="14" width="63.54296875" style="5" bestFit="1" customWidth="1"/>
    <col min="15" max="15" width="8.81640625" style="5" customWidth="1"/>
    <col min="16" max="16" width="11" style="5" bestFit="1" customWidth="1"/>
    <col min="17" max="17" width="10.1796875" style="5" bestFit="1" customWidth="1"/>
    <col min="18" max="18" width="74.26953125" style="5"/>
    <col min="19" max="19" width="61" style="5" bestFit="1" customWidth="1"/>
    <col min="20" max="20" width="23.7265625" style="5" bestFit="1" customWidth="1"/>
    <col min="21" max="21" width="15.81640625" style="5" bestFit="1" customWidth="1"/>
    <col min="22" max="22" width="8.7265625" style="5" bestFit="1" customWidth="1"/>
    <col min="23" max="16384" width="74.26953125" style="5"/>
  </cols>
  <sheetData>
    <row r="1" spans="1:22" x14ac:dyDescent="0.35">
      <c r="A1" s="4" t="s">
        <v>1701</v>
      </c>
      <c r="B1" s="4">
        <v>2025</v>
      </c>
      <c r="S1" s="4" t="s">
        <v>1701</v>
      </c>
      <c r="T1" s="4">
        <v>2024</v>
      </c>
    </row>
    <row r="2" spans="1:22" x14ac:dyDescent="0.35">
      <c r="A2" s="6" t="s">
        <v>1</v>
      </c>
      <c r="B2" s="7">
        <f>SUM(D9:D50)</f>
        <v>65750</v>
      </c>
      <c r="G2" s="47" t="s">
        <v>1702</v>
      </c>
      <c r="K2" s="11" t="s">
        <v>2</v>
      </c>
      <c r="S2" s="6" t="s">
        <v>1</v>
      </c>
      <c r="T2" s="7">
        <f>SUM(U9:U52)</f>
        <v>68000</v>
      </c>
    </row>
    <row r="3" spans="1:22" x14ac:dyDescent="0.35">
      <c r="A3" s="6" t="s">
        <v>3</v>
      </c>
      <c r="B3" s="7">
        <v>75000</v>
      </c>
      <c r="K3" s="7">
        <f>SUM(K47-B2)</f>
        <v>-4750</v>
      </c>
      <c r="S3" s="6" t="s">
        <v>3</v>
      </c>
      <c r="T3" s="7">
        <v>60500</v>
      </c>
    </row>
    <row r="4" spans="1:22" x14ac:dyDescent="0.35">
      <c r="A4" s="6" t="s">
        <v>4</v>
      </c>
      <c r="B4" s="7">
        <f>MIN(B2-B3)</f>
        <v>-9250</v>
      </c>
      <c r="K4" s="42">
        <f>K47/B2</f>
        <v>0.92775665399239549</v>
      </c>
      <c r="S4" s="6" t="s">
        <v>4</v>
      </c>
      <c r="T4" s="7">
        <f>MIN(T2-T3)</f>
        <v>7500</v>
      </c>
    </row>
    <row r="5" spans="1:22" x14ac:dyDescent="0.35">
      <c r="A5" s="6" t="s">
        <v>5</v>
      </c>
      <c r="B5" s="7">
        <v>100000</v>
      </c>
      <c r="S5" s="6" t="s">
        <v>5</v>
      </c>
      <c r="T5" s="7">
        <v>60500</v>
      </c>
    </row>
    <row r="6" spans="1:22" x14ac:dyDescent="0.35">
      <c r="A6" s="6" t="s">
        <v>4</v>
      </c>
      <c r="B6" s="7">
        <f>MIN(B2-B5)</f>
        <v>-34250</v>
      </c>
      <c r="S6" s="6" t="s">
        <v>4</v>
      </c>
      <c r="T6" s="7">
        <f>MIN(T2-T5)</f>
        <v>7500</v>
      </c>
    </row>
    <row r="8" spans="1:22"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c r="S8" s="8" t="s">
        <v>6</v>
      </c>
      <c r="T8" s="8" t="s">
        <v>21</v>
      </c>
      <c r="U8" s="8" t="s">
        <v>9</v>
      </c>
      <c r="V8" s="8" t="s">
        <v>10</v>
      </c>
    </row>
    <row r="9" spans="1:22" x14ac:dyDescent="0.35">
      <c r="A9" s="9" t="s">
        <v>424</v>
      </c>
      <c r="B9" s="9" t="s">
        <v>23</v>
      </c>
      <c r="C9" s="10">
        <v>20000</v>
      </c>
      <c r="D9" s="10">
        <v>6500</v>
      </c>
      <c r="E9" s="9" t="s">
        <v>90</v>
      </c>
      <c r="F9" s="9" t="s">
        <v>681</v>
      </c>
      <c r="G9" s="9"/>
      <c r="H9" s="9"/>
      <c r="I9" s="9" t="s">
        <v>1654</v>
      </c>
      <c r="J9" s="195">
        <v>45954</v>
      </c>
      <c r="K9" s="9">
        <v>6500</v>
      </c>
      <c r="L9" s="9" t="s">
        <v>1703</v>
      </c>
      <c r="M9" s="9"/>
      <c r="N9" s="9"/>
      <c r="P9" s="39" t="s">
        <v>24</v>
      </c>
      <c r="Q9" s="10">
        <v>31000</v>
      </c>
      <c r="S9" s="48" t="s">
        <v>31</v>
      </c>
      <c r="T9" s="48" t="s">
        <v>131</v>
      </c>
      <c r="U9" s="55">
        <v>3000</v>
      </c>
      <c r="V9" s="48" t="s">
        <v>37</v>
      </c>
    </row>
    <row r="10" spans="1:22" x14ac:dyDescent="0.35">
      <c r="A10" s="9" t="s">
        <v>160</v>
      </c>
      <c r="B10" s="9" t="s">
        <v>23</v>
      </c>
      <c r="C10" s="10">
        <v>20000</v>
      </c>
      <c r="D10" s="10">
        <v>5000</v>
      </c>
      <c r="E10" s="9" t="s">
        <v>90</v>
      </c>
      <c r="F10" s="9" t="s">
        <v>161</v>
      </c>
      <c r="G10" s="9" t="s">
        <v>1704</v>
      </c>
      <c r="H10" s="9"/>
      <c r="I10" s="9" t="s">
        <v>1654</v>
      </c>
      <c r="J10" s="195">
        <v>45947</v>
      </c>
      <c r="K10" s="9">
        <v>5000</v>
      </c>
      <c r="L10" s="9" t="s">
        <v>163</v>
      </c>
      <c r="M10" s="9"/>
      <c r="N10" s="86" t="s">
        <v>1705</v>
      </c>
      <c r="P10" s="39" t="s">
        <v>37</v>
      </c>
      <c r="Q10" s="10">
        <v>12500</v>
      </c>
      <c r="S10" s="9" t="s">
        <v>1706</v>
      </c>
      <c r="T10" s="9" t="s">
        <v>109</v>
      </c>
      <c r="U10" s="10">
        <v>750</v>
      </c>
      <c r="V10" s="9" t="s">
        <v>56</v>
      </c>
    </row>
    <row r="11" spans="1:22" ht="29" x14ac:dyDescent="0.35">
      <c r="A11" s="9" t="s">
        <v>52</v>
      </c>
      <c r="B11" s="9" t="s">
        <v>32</v>
      </c>
      <c r="C11" s="10">
        <v>7500</v>
      </c>
      <c r="D11" s="10">
        <v>5000</v>
      </c>
      <c r="E11" s="9" t="s">
        <v>24</v>
      </c>
      <c r="F11" s="9" t="s">
        <v>53</v>
      </c>
      <c r="H11" s="94" t="s">
        <v>27</v>
      </c>
      <c r="I11" s="9"/>
      <c r="J11" s="195" t="s">
        <v>1707</v>
      </c>
      <c r="K11" s="9">
        <f>213.75+4786.25</f>
        <v>5000</v>
      </c>
      <c r="L11" s="9" t="s">
        <v>54</v>
      </c>
      <c r="M11" s="9"/>
      <c r="N11" s="9" t="s">
        <v>55</v>
      </c>
      <c r="P11" s="39" t="s">
        <v>47</v>
      </c>
      <c r="Q11" s="10"/>
      <c r="S11" s="112" t="s">
        <v>1708</v>
      </c>
      <c r="T11" s="112" t="s">
        <v>39</v>
      </c>
      <c r="U11" s="113">
        <v>1500</v>
      </c>
      <c r="V11" s="112" t="s">
        <v>96</v>
      </c>
    </row>
    <row r="12" spans="1:22" x14ac:dyDescent="0.35">
      <c r="A12" s="9" t="s">
        <v>1055</v>
      </c>
      <c r="B12" s="9" t="s">
        <v>32</v>
      </c>
      <c r="C12" s="10">
        <v>7500</v>
      </c>
      <c r="D12" s="10">
        <v>7500</v>
      </c>
      <c r="E12" s="9" t="s">
        <v>37</v>
      </c>
      <c r="F12" s="9" t="s">
        <v>439</v>
      </c>
      <c r="G12" s="9" t="s">
        <v>1056</v>
      </c>
      <c r="H12" s="157" t="s">
        <v>27</v>
      </c>
      <c r="I12" s="34"/>
      <c r="J12" s="195">
        <v>45894</v>
      </c>
      <c r="K12" s="27">
        <v>7500</v>
      </c>
      <c r="L12" s="27" t="s">
        <v>1057</v>
      </c>
      <c r="M12" s="27"/>
      <c r="N12" s="27" t="s">
        <v>1058</v>
      </c>
      <c r="P12" s="39" t="s">
        <v>50</v>
      </c>
      <c r="Q12" s="10">
        <v>4000</v>
      </c>
      <c r="S12" s="9" t="s">
        <v>1709</v>
      </c>
      <c r="T12" s="9" t="s">
        <v>39</v>
      </c>
      <c r="U12" s="10">
        <v>1500</v>
      </c>
      <c r="V12" s="9" t="s">
        <v>96</v>
      </c>
    </row>
    <row r="13" spans="1:22" x14ac:dyDescent="0.35">
      <c r="A13" s="9" t="s">
        <v>57</v>
      </c>
      <c r="B13" s="9" t="s">
        <v>131</v>
      </c>
      <c r="C13" s="10">
        <v>5000</v>
      </c>
      <c r="D13" s="10">
        <v>3000</v>
      </c>
      <c r="E13" s="9" t="s">
        <v>24</v>
      </c>
      <c r="F13" s="9" t="s">
        <v>58</v>
      </c>
      <c r="G13" s="9"/>
      <c r="H13" s="94" t="s">
        <v>27</v>
      </c>
      <c r="I13" s="9"/>
      <c r="J13" s="195">
        <v>45980</v>
      </c>
      <c r="K13" s="9">
        <v>3000</v>
      </c>
      <c r="L13" s="9" t="s">
        <v>60</v>
      </c>
      <c r="M13" s="9"/>
      <c r="N13" s="9" t="s">
        <v>61</v>
      </c>
      <c r="P13" s="39" t="s">
        <v>56</v>
      </c>
      <c r="Q13" s="10">
        <v>3500</v>
      </c>
      <c r="S13" s="48" t="s">
        <v>699</v>
      </c>
      <c r="T13" s="48" t="s">
        <v>39</v>
      </c>
      <c r="U13" s="55">
        <v>0</v>
      </c>
      <c r="V13" s="48" t="s">
        <v>90</v>
      </c>
    </row>
    <row r="14" spans="1:22" x14ac:dyDescent="0.35">
      <c r="A14" s="9" t="s">
        <v>48</v>
      </c>
      <c r="B14" s="9" t="s">
        <v>131</v>
      </c>
      <c r="C14" s="10">
        <v>5000</v>
      </c>
      <c r="D14" s="10">
        <v>3500</v>
      </c>
      <c r="E14" s="9" t="s">
        <v>24</v>
      </c>
      <c r="F14" s="9" t="s">
        <v>64</v>
      </c>
      <c r="G14" s="9"/>
      <c r="H14" s="9"/>
      <c r="I14" s="9" t="s">
        <v>1654</v>
      </c>
      <c r="J14" s="195">
        <v>45952</v>
      </c>
      <c r="K14" s="9">
        <v>3500</v>
      </c>
      <c r="L14" s="9" t="s">
        <v>66</v>
      </c>
      <c r="M14" s="9"/>
      <c r="N14" s="9" t="s">
        <v>67</v>
      </c>
      <c r="P14" s="39" t="s">
        <v>62</v>
      </c>
      <c r="Q14" s="10"/>
      <c r="S14" s="48" t="s">
        <v>457</v>
      </c>
      <c r="T14" s="48" t="s">
        <v>109</v>
      </c>
      <c r="U14" s="48">
        <v>750</v>
      </c>
      <c r="V14" s="48" t="s">
        <v>37</v>
      </c>
    </row>
    <row r="15" spans="1:22" x14ac:dyDescent="0.35">
      <c r="A15" s="9" t="s">
        <v>40</v>
      </c>
      <c r="B15" s="9" t="s">
        <v>131</v>
      </c>
      <c r="C15" s="10">
        <v>5000</v>
      </c>
      <c r="D15" s="10">
        <v>3500</v>
      </c>
      <c r="E15" s="9" t="s">
        <v>24</v>
      </c>
      <c r="F15" s="9" t="s">
        <v>42</v>
      </c>
      <c r="G15" s="9" t="s">
        <v>1710</v>
      </c>
      <c r="H15" s="94" t="s">
        <v>27</v>
      </c>
      <c r="I15" s="9"/>
      <c r="J15" s="195">
        <v>46008</v>
      </c>
      <c r="K15" s="10">
        <v>3500</v>
      </c>
      <c r="L15" s="9" t="s">
        <v>45</v>
      </c>
      <c r="M15" s="9"/>
      <c r="N15" s="9" t="s">
        <v>46</v>
      </c>
      <c r="P15" s="39" t="s">
        <v>68</v>
      </c>
      <c r="Q15" s="10"/>
      <c r="S15" s="9" t="s">
        <v>1711</v>
      </c>
      <c r="T15" s="9" t="s">
        <v>109</v>
      </c>
      <c r="U15" s="10">
        <v>750</v>
      </c>
      <c r="V15" s="9" t="s">
        <v>37</v>
      </c>
    </row>
    <row r="16" spans="1:22" x14ac:dyDescent="0.35">
      <c r="A16" s="9" t="s">
        <v>31</v>
      </c>
      <c r="B16" s="9" t="s">
        <v>131</v>
      </c>
      <c r="C16" s="10">
        <v>5000</v>
      </c>
      <c r="D16" s="10">
        <v>3000</v>
      </c>
      <c r="E16" s="9" t="s">
        <v>24</v>
      </c>
      <c r="F16" s="9" t="s">
        <v>33</v>
      </c>
      <c r="G16" s="9"/>
      <c r="H16" s="9"/>
      <c r="I16" s="9" t="s">
        <v>1654</v>
      </c>
      <c r="J16" s="195">
        <v>45980</v>
      </c>
      <c r="K16" s="10">
        <v>3000</v>
      </c>
      <c r="L16" s="9" t="s">
        <v>35</v>
      </c>
      <c r="M16" s="9"/>
      <c r="N16" s="87" t="s">
        <v>36</v>
      </c>
      <c r="P16" s="39" t="s">
        <v>76</v>
      </c>
      <c r="Q16" s="10"/>
      <c r="S16" s="48" t="s">
        <v>338</v>
      </c>
      <c r="T16" s="48" t="s">
        <v>109</v>
      </c>
      <c r="U16" s="55">
        <v>750</v>
      </c>
      <c r="V16" s="48" t="s">
        <v>96</v>
      </c>
    </row>
    <row r="17" spans="1:22" x14ac:dyDescent="0.35">
      <c r="A17" s="9" t="s">
        <v>146</v>
      </c>
      <c r="B17" s="9" t="s">
        <v>39</v>
      </c>
      <c r="C17" s="10">
        <v>2500</v>
      </c>
      <c r="D17" s="10">
        <v>1500</v>
      </c>
      <c r="E17" s="9" t="s">
        <v>24</v>
      </c>
      <c r="F17" s="9" t="s">
        <v>147</v>
      </c>
      <c r="G17" s="9"/>
      <c r="H17" s="9"/>
      <c r="I17" s="9" t="s">
        <v>1654</v>
      </c>
      <c r="J17" s="195">
        <v>45975</v>
      </c>
      <c r="K17" s="10">
        <v>1500</v>
      </c>
      <c r="L17" s="9" t="s">
        <v>149</v>
      </c>
      <c r="M17" s="9"/>
      <c r="N17" s="9" t="s">
        <v>150</v>
      </c>
      <c r="P17" s="39" t="s">
        <v>81</v>
      </c>
      <c r="Q17" s="10"/>
      <c r="S17" s="48" t="s">
        <v>170</v>
      </c>
      <c r="T17" s="48" t="s">
        <v>39</v>
      </c>
      <c r="U17" s="55">
        <v>1500</v>
      </c>
      <c r="V17" s="48" t="s">
        <v>37</v>
      </c>
    </row>
    <row r="18" spans="1:22" x14ac:dyDescent="0.35">
      <c r="A18" s="9" t="s">
        <v>260</v>
      </c>
      <c r="B18" s="9" t="s">
        <v>39</v>
      </c>
      <c r="C18" s="10">
        <v>2500</v>
      </c>
      <c r="D18" s="10">
        <v>1500</v>
      </c>
      <c r="E18" s="9" t="s">
        <v>50</v>
      </c>
      <c r="F18" s="9" t="s">
        <v>261</v>
      </c>
      <c r="G18" s="9"/>
      <c r="H18" s="94" t="s">
        <v>27</v>
      </c>
      <c r="I18" s="9"/>
      <c r="J18" s="195">
        <v>45985</v>
      </c>
      <c r="K18" s="10">
        <v>1500</v>
      </c>
      <c r="L18" s="9" t="s">
        <v>262</v>
      </c>
      <c r="M18" s="9"/>
      <c r="N18" s="9" t="s">
        <v>263</v>
      </c>
      <c r="P18" s="39" t="s">
        <v>86</v>
      </c>
      <c r="Q18" s="10">
        <v>0</v>
      </c>
      <c r="S18" s="9" t="s">
        <v>1712</v>
      </c>
      <c r="T18" s="9" t="s">
        <v>39</v>
      </c>
      <c r="U18" s="10">
        <v>0</v>
      </c>
      <c r="V18" s="9" t="s">
        <v>56</v>
      </c>
    </row>
    <row r="19" spans="1:22" ht="29" x14ac:dyDescent="0.35">
      <c r="A19" s="9" t="s">
        <v>194</v>
      </c>
      <c r="B19" s="9" t="s">
        <v>39</v>
      </c>
      <c r="C19" s="10">
        <v>2500</v>
      </c>
      <c r="D19" s="10">
        <v>2500</v>
      </c>
      <c r="E19" s="9" t="s">
        <v>50</v>
      </c>
      <c r="F19" s="9" t="s">
        <v>195</v>
      </c>
      <c r="G19" s="9"/>
      <c r="H19" s="94" t="s">
        <v>27</v>
      </c>
      <c r="I19" s="9"/>
      <c r="J19" s="9" t="s">
        <v>1713</v>
      </c>
      <c r="K19" s="10">
        <f>2210+290</f>
        <v>2500</v>
      </c>
      <c r="L19" s="9" t="s">
        <v>196</v>
      </c>
      <c r="M19" s="9"/>
      <c r="N19" s="9" t="s">
        <v>197</v>
      </c>
      <c r="P19" s="39" t="s">
        <v>90</v>
      </c>
      <c r="Q19" s="10">
        <v>11500</v>
      </c>
      <c r="S19" s="48" t="s">
        <v>38</v>
      </c>
      <c r="T19" s="48" t="s">
        <v>39</v>
      </c>
      <c r="U19" s="55">
        <v>1500</v>
      </c>
      <c r="V19" s="48" t="s">
        <v>37</v>
      </c>
    </row>
    <row r="20" spans="1:22" ht="58" x14ac:dyDescent="0.35">
      <c r="A20" s="19" t="s">
        <v>176</v>
      </c>
      <c r="B20" s="19" t="s">
        <v>39</v>
      </c>
      <c r="C20" s="20">
        <v>2500</v>
      </c>
      <c r="D20" s="20">
        <v>2500</v>
      </c>
      <c r="E20" s="19" t="s">
        <v>56</v>
      </c>
      <c r="F20" s="19" t="s">
        <v>418</v>
      </c>
      <c r="G20" s="19" t="s">
        <v>1714</v>
      </c>
      <c r="H20" s="19"/>
      <c r="I20" s="9" t="s">
        <v>1654</v>
      </c>
      <c r="J20" s="256">
        <v>45958</v>
      </c>
      <c r="K20" s="20">
        <v>2500</v>
      </c>
      <c r="L20" s="19" t="s">
        <v>178</v>
      </c>
      <c r="M20" s="19"/>
      <c r="N20" s="86" t="s">
        <v>179</v>
      </c>
      <c r="P20" s="39" t="s">
        <v>91</v>
      </c>
      <c r="Q20" s="10"/>
      <c r="S20" s="9" t="s">
        <v>647</v>
      </c>
      <c r="T20" s="9" t="s">
        <v>109</v>
      </c>
      <c r="U20" s="10">
        <v>750</v>
      </c>
      <c r="V20" s="9" t="s">
        <v>96</v>
      </c>
    </row>
    <row r="21" spans="1:22" x14ac:dyDescent="0.35">
      <c r="A21" s="9" t="s">
        <v>515</v>
      </c>
      <c r="B21" s="9" t="s">
        <v>39</v>
      </c>
      <c r="C21" s="10">
        <v>2500</v>
      </c>
      <c r="D21" s="10">
        <v>2500</v>
      </c>
      <c r="E21" s="9" t="s">
        <v>37</v>
      </c>
      <c r="F21" s="9" t="s">
        <v>28</v>
      </c>
      <c r="G21" s="9"/>
      <c r="H21" s="9"/>
      <c r="I21" s="9" t="s">
        <v>1654</v>
      </c>
      <c r="J21" s="195">
        <v>45973</v>
      </c>
      <c r="K21" s="10">
        <v>2500</v>
      </c>
      <c r="L21" s="9" t="s">
        <v>518</v>
      </c>
      <c r="M21" s="9"/>
      <c r="N21" s="9" t="s">
        <v>1432</v>
      </c>
      <c r="P21" s="39" t="s">
        <v>92</v>
      </c>
      <c r="Q21" s="10">
        <v>1500</v>
      </c>
      <c r="S21" s="9" t="s">
        <v>1715</v>
      </c>
      <c r="T21" s="9" t="s">
        <v>109</v>
      </c>
      <c r="U21" s="10">
        <v>0</v>
      </c>
      <c r="V21" s="9" t="s">
        <v>96</v>
      </c>
    </row>
    <row r="22" spans="1:22" ht="29" x14ac:dyDescent="0.35">
      <c r="A22" s="9" t="s">
        <v>170</v>
      </c>
      <c r="B22" s="9" t="s">
        <v>109</v>
      </c>
      <c r="C22" s="10">
        <v>1000</v>
      </c>
      <c r="D22" s="10">
        <v>1500</v>
      </c>
      <c r="E22" s="9" t="s">
        <v>24</v>
      </c>
      <c r="F22" s="9" t="s">
        <v>227</v>
      </c>
      <c r="G22" s="9" t="s">
        <v>228</v>
      </c>
      <c r="H22" s="9"/>
      <c r="I22" s="9" t="s">
        <v>1654</v>
      </c>
      <c r="J22" s="195">
        <v>45950</v>
      </c>
      <c r="K22" s="10">
        <v>1500</v>
      </c>
      <c r="L22" s="9" t="s">
        <v>230</v>
      </c>
      <c r="M22" s="9"/>
      <c r="N22" s="9" t="s">
        <v>231</v>
      </c>
      <c r="P22" s="39" t="s">
        <v>93</v>
      </c>
      <c r="Q22" s="10"/>
      <c r="S22" s="48" t="s">
        <v>48</v>
      </c>
      <c r="T22" s="48" t="s">
        <v>131</v>
      </c>
      <c r="U22" s="55">
        <v>3500</v>
      </c>
      <c r="V22" s="48" t="s">
        <v>37</v>
      </c>
    </row>
    <row r="23" spans="1:22" x14ac:dyDescent="0.35">
      <c r="A23" s="9" t="s">
        <v>117</v>
      </c>
      <c r="B23" s="9" t="s">
        <v>109</v>
      </c>
      <c r="C23" s="10">
        <v>1000</v>
      </c>
      <c r="D23" s="10">
        <v>0</v>
      </c>
      <c r="E23" s="9" t="s">
        <v>95</v>
      </c>
      <c r="F23" s="9" t="s">
        <v>119</v>
      </c>
      <c r="G23" s="9"/>
      <c r="H23" s="9"/>
      <c r="I23" s="9">
        <v>0</v>
      </c>
      <c r="J23" s="9"/>
      <c r="K23" s="10"/>
      <c r="L23" s="9" t="s">
        <v>122</v>
      </c>
      <c r="M23" s="9"/>
      <c r="N23" s="86" t="s">
        <v>123</v>
      </c>
      <c r="P23" s="39" t="s">
        <v>94</v>
      </c>
      <c r="Q23" s="10"/>
      <c r="S23" s="48" t="s">
        <v>51</v>
      </c>
      <c r="T23" s="48" t="s">
        <v>39</v>
      </c>
      <c r="U23" s="55">
        <v>0</v>
      </c>
      <c r="V23" s="48" t="s">
        <v>37</v>
      </c>
    </row>
    <row r="24" spans="1:22" x14ac:dyDescent="0.35">
      <c r="A24" s="9" t="s">
        <v>187</v>
      </c>
      <c r="B24" s="9" t="s">
        <v>109</v>
      </c>
      <c r="C24" s="10">
        <v>1000</v>
      </c>
      <c r="D24" s="10">
        <v>1500</v>
      </c>
      <c r="E24" s="9" t="s">
        <v>24</v>
      </c>
      <c r="F24" s="9" t="s">
        <v>189</v>
      </c>
      <c r="G24" s="9"/>
      <c r="H24" s="94" t="s">
        <v>27</v>
      </c>
      <c r="I24" s="9"/>
      <c r="J24" s="9" t="s">
        <v>172</v>
      </c>
      <c r="K24" s="10">
        <v>1500</v>
      </c>
      <c r="L24" s="9" t="s">
        <v>190</v>
      </c>
      <c r="M24" s="9"/>
      <c r="N24" s="9" t="s">
        <v>191</v>
      </c>
      <c r="P24" s="39" t="s">
        <v>95</v>
      </c>
      <c r="Q24" s="10">
        <v>750</v>
      </c>
      <c r="S24" s="48" t="s">
        <v>260</v>
      </c>
      <c r="T24" s="48" t="s">
        <v>39</v>
      </c>
      <c r="U24" s="55">
        <v>1500</v>
      </c>
      <c r="V24" s="48" t="s">
        <v>56</v>
      </c>
    </row>
    <row r="25" spans="1:22" x14ac:dyDescent="0.35">
      <c r="A25" s="9" t="s">
        <v>232</v>
      </c>
      <c r="B25" s="9" t="s">
        <v>109</v>
      </c>
      <c r="C25" s="10">
        <v>1000</v>
      </c>
      <c r="D25" s="10">
        <v>1500</v>
      </c>
      <c r="E25" s="9" t="s">
        <v>24</v>
      </c>
      <c r="F25" s="9" t="s">
        <v>42</v>
      </c>
      <c r="G25" s="9"/>
      <c r="H25" s="9"/>
      <c r="I25" s="9" t="s">
        <v>1654</v>
      </c>
      <c r="J25" s="195">
        <v>45957</v>
      </c>
      <c r="K25" s="10">
        <v>1500</v>
      </c>
      <c r="L25" s="9" t="s">
        <v>233</v>
      </c>
      <c r="M25" s="9"/>
      <c r="N25" s="9" t="s">
        <v>234</v>
      </c>
      <c r="P25" s="39" t="s">
        <v>96</v>
      </c>
      <c r="Q25" s="10">
        <v>1000</v>
      </c>
      <c r="S25" s="120" t="s">
        <v>130</v>
      </c>
      <c r="T25" s="120" t="s">
        <v>109</v>
      </c>
      <c r="U25" s="105">
        <v>750</v>
      </c>
      <c r="V25" s="120" t="s">
        <v>56</v>
      </c>
    </row>
    <row r="26" spans="1:22" x14ac:dyDescent="0.35">
      <c r="A26" s="9" t="s">
        <v>51</v>
      </c>
      <c r="B26" s="9" t="s">
        <v>109</v>
      </c>
      <c r="C26" s="10">
        <v>1000</v>
      </c>
      <c r="D26" s="10">
        <v>1500</v>
      </c>
      <c r="E26" s="9" t="s">
        <v>37</v>
      </c>
      <c r="F26" s="9" t="s">
        <v>78</v>
      </c>
      <c r="G26" s="9"/>
      <c r="H26" s="94" t="s">
        <v>27</v>
      </c>
      <c r="I26" s="9"/>
      <c r="J26" s="9"/>
      <c r="K26" s="10"/>
      <c r="L26" s="9" t="s">
        <v>79</v>
      </c>
      <c r="M26" s="9"/>
      <c r="N26" s="9" t="s">
        <v>80</v>
      </c>
      <c r="P26" s="39" t="s">
        <v>97</v>
      </c>
      <c r="Q26" s="10"/>
      <c r="S26" s="112" t="s">
        <v>273</v>
      </c>
      <c r="T26" s="112" t="s">
        <v>32</v>
      </c>
      <c r="U26" s="113">
        <v>5000</v>
      </c>
      <c r="V26" s="112" t="s">
        <v>96</v>
      </c>
    </row>
    <row r="27" spans="1:22" x14ac:dyDescent="0.35">
      <c r="A27" s="9" t="s">
        <v>141</v>
      </c>
      <c r="B27" s="9" t="s">
        <v>109</v>
      </c>
      <c r="C27" s="10">
        <v>1000</v>
      </c>
      <c r="D27" s="10">
        <v>0</v>
      </c>
      <c r="E27" s="9" t="s">
        <v>86</v>
      </c>
      <c r="F27" s="9" t="s">
        <v>142</v>
      </c>
      <c r="G27" s="9"/>
      <c r="H27" s="9"/>
      <c r="I27" s="9">
        <v>0</v>
      </c>
      <c r="J27" s="9"/>
      <c r="K27" s="10"/>
      <c r="L27" s="9" t="s">
        <v>144</v>
      </c>
      <c r="M27" s="9"/>
      <c r="N27" s="9"/>
      <c r="P27" s="39" t="s">
        <v>98</v>
      </c>
      <c r="Q27" s="10"/>
      <c r="S27" s="48" t="s">
        <v>515</v>
      </c>
      <c r="T27" s="48" t="s">
        <v>39</v>
      </c>
      <c r="U27" s="55">
        <v>0</v>
      </c>
      <c r="V27" s="48" t="s">
        <v>37</v>
      </c>
    </row>
    <row r="28" spans="1:22" ht="29" x14ac:dyDescent="0.35">
      <c r="A28" s="9" t="s">
        <v>338</v>
      </c>
      <c r="B28" s="9" t="s">
        <v>109</v>
      </c>
      <c r="C28" s="10">
        <v>1000</v>
      </c>
      <c r="D28" s="10">
        <v>750</v>
      </c>
      <c r="E28" s="9" t="s">
        <v>95</v>
      </c>
      <c r="F28" s="9" t="s">
        <v>103</v>
      </c>
      <c r="G28" s="9"/>
      <c r="H28" s="9"/>
      <c r="I28" s="9" t="s">
        <v>1654</v>
      </c>
      <c r="J28" s="9"/>
      <c r="K28" s="10"/>
      <c r="L28" s="9" t="s">
        <v>339</v>
      </c>
      <c r="M28" s="9"/>
      <c r="N28" s="87" t="s">
        <v>340</v>
      </c>
      <c r="P28" s="45" t="s">
        <v>99</v>
      </c>
      <c r="Q28" s="46">
        <v>65750</v>
      </c>
      <c r="S28" s="48" t="s">
        <v>248</v>
      </c>
      <c r="T28" s="48" t="s">
        <v>1716</v>
      </c>
      <c r="U28" s="55">
        <v>3500</v>
      </c>
      <c r="V28" s="48" t="s">
        <v>37</v>
      </c>
    </row>
    <row r="29" spans="1:22" x14ac:dyDescent="0.35">
      <c r="A29" s="9" t="s">
        <v>457</v>
      </c>
      <c r="B29" s="9" t="s">
        <v>109</v>
      </c>
      <c r="C29" s="10">
        <v>1000</v>
      </c>
      <c r="D29" s="10">
        <v>1000</v>
      </c>
      <c r="E29" s="9" t="s">
        <v>37</v>
      </c>
      <c r="F29" s="9" t="s">
        <v>25</v>
      </c>
      <c r="G29" s="9"/>
      <c r="H29" s="94" t="s">
        <v>27</v>
      </c>
      <c r="I29" s="9"/>
      <c r="J29" s="195">
        <v>45999</v>
      </c>
      <c r="K29" s="10">
        <v>1000</v>
      </c>
      <c r="L29" s="9" t="s">
        <v>459</v>
      </c>
      <c r="M29" s="9"/>
      <c r="N29" s="9" t="s">
        <v>460</v>
      </c>
      <c r="S29" s="48" t="s">
        <v>57</v>
      </c>
      <c r="T29" s="48" t="s">
        <v>131</v>
      </c>
      <c r="U29" s="55">
        <v>3000</v>
      </c>
      <c r="V29" s="48" t="s">
        <v>37</v>
      </c>
    </row>
    <row r="30" spans="1:22" x14ac:dyDescent="0.35">
      <c r="A30" s="9" t="s">
        <v>130</v>
      </c>
      <c r="B30" s="9" t="s">
        <v>109</v>
      </c>
      <c r="C30" s="10">
        <v>1000</v>
      </c>
      <c r="D30" s="10">
        <v>1000</v>
      </c>
      <c r="E30" s="9" t="s">
        <v>56</v>
      </c>
      <c r="F30" s="9" t="s">
        <v>167</v>
      </c>
      <c r="G30" s="9" t="s">
        <v>1717</v>
      </c>
      <c r="H30" s="9"/>
      <c r="I30" s="9" t="s">
        <v>1654</v>
      </c>
      <c r="J30" s="195">
        <v>45991</v>
      </c>
      <c r="K30" s="10">
        <v>1000</v>
      </c>
      <c r="L30" s="9" t="s">
        <v>512</v>
      </c>
      <c r="M30" s="9"/>
      <c r="N30" s="9" t="s">
        <v>513</v>
      </c>
      <c r="S30" s="9" t="s">
        <v>1718</v>
      </c>
      <c r="T30" s="9" t="s">
        <v>39</v>
      </c>
      <c r="U30" s="10">
        <v>1500</v>
      </c>
      <c r="V30" s="9" t="s">
        <v>37</v>
      </c>
    </row>
    <row r="31" spans="1:22" x14ac:dyDescent="0.35">
      <c r="A31" s="9" t="s">
        <v>742</v>
      </c>
      <c r="B31" s="9" t="s">
        <v>109</v>
      </c>
      <c r="C31" s="10">
        <v>1000</v>
      </c>
      <c r="D31" s="10">
        <v>1000</v>
      </c>
      <c r="E31" s="9" t="s">
        <v>24</v>
      </c>
      <c r="F31" s="9" t="s">
        <v>418</v>
      </c>
      <c r="G31" s="9"/>
      <c r="H31" s="94" t="s">
        <v>27</v>
      </c>
      <c r="I31" s="9"/>
      <c r="J31" s="9" t="s">
        <v>664</v>
      </c>
      <c r="K31" s="10">
        <v>1000</v>
      </c>
      <c r="L31" s="9" t="s">
        <v>743</v>
      </c>
      <c r="M31" s="9"/>
      <c r="N31" s="9" t="s">
        <v>744</v>
      </c>
      <c r="S31" s="48" t="s">
        <v>194</v>
      </c>
      <c r="T31" s="48" t="s">
        <v>23</v>
      </c>
      <c r="U31" s="55">
        <v>10000</v>
      </c>
      <c r="V31" s="48" t="s">
        <v>56</v>
      </c>
    </row>
    <row r="32" spans="1:22" x14ac:dyDescent="0.35">
      <c r="A32" s="9" t="s">
        <v>702</v>
      </c>
      <c r="B32" s="9" t="s">
        <v>109</v>
      </c>
      <c r="C32" s="10">
        <v>1000</v>
      </c>
      <c r="D32" s="10">
        <v>1000</v>
      </c>
      <c r="E32" s="9" t="s">
        <v>96</v>
      </c>
      <c r="F32" s="9" t="s">
        <v>172</v>
      </c>
      <c r="G32" s="9"/>
      <c r="H32" s="9"/>
      <c r="I32" s="9" t="s">
        <v>1654</v>
      </c>
      <c r="J32" s="195">
        <v>46010</v>
      </c>
      <c r="K32" s="10">
        <v>1000</v>
      </c>
      <c r="L32" s="9" t="s">
        <v>1719</v>
      </c>
      <c r="M32" s="9"/>
      <c r="N32" s="87" t="s">
        <v>1720</v>
      </c>
      <c r="S32" s="9" t="s">
        <v>1721</v>
      </c>
      <c r="T32" s="9" t="s">
        <v>39</v>
      </c>
      <c r="U32" s="10">
        <v>1500</v>
      </c>
      <c r="V32" s="9" t="s">
        <v>56</v>
      </c>
    </row>
    <row r="33" spans="1:22" x14ac:dyDescent="0.35">
      <c r="A33" s="9"/>
      <c r="B33" s="9" t="s">
        <v>109</v>
      </c>
      <c r="C33" s="10">
        <v>1000</v>
      </c>
      <c r="D33" s="10"/>
      <c r="E33" s="9"/>
      <c r="F33" s="9"/>
      <c r="G33" s="9"/>
      <c r="H33" s="9"/>
      <c r="I33" s="9"/>
      <c r="J33" s="9"/>
      <c r="K33" s="10"/>
      <c r="L33" s="9"/>
      <c r="M33" s="9"/>
      <c r="N33" s="92"/>
      <c r="S33" s="48" t="s">
        <v>87</v>
      </c>
      <c r="T33" s="48" t="s">
        <v>631</v>
      </c>
      <c r="U33" s="55">
        <v>2500</v>
      </c>
      <c r="V33" s="48" t="s">
        <v>37</v>
      </c>
    </row>
    <row r="34" spans="1:22" x14ac:dyDescent="0.35">
      <c r="A34" s="9" t="s">
        <v>662</v>
      </c>
      <c r="B34" s="9" t="s">
        <v>109</v>
      </c>
      <c r="C34" s="10">
        <v>1000</v>
      </c>
      <c r="D34" s="10">
        <v>1500</v>
      </c>
      <c r="E34" s="9" t="s">
        <v>92</v>
      </c>
      <c r="F34" s="9" t="s">
        <v>1007</v>
      </c>
      <c r="G34" s="9"/>
      <c r="H34" s="9"/>
      <c r="I34" s="9" t="s">
        <v>1654</v>
      </c>
      <c r="J34" s="195">
        <v>45953</v>
      </c>
      <c r="K34" s="9">
        <v>1500</v>
      </c>
      <c r="L34" s="9" t="s">
        <v>665</v>
      </c>
      <c r="M34" s="9"/>
      <c r="N34" s="92" t="s">
        <v>666</v>
      </c>
      <c r="S34" s="9" t="s">
        <v>801</v>
      </c>
      <c r="T34" s="9" t="s">
        <v>39</v>
      </c>
      <c r="U34" s="10">
        <v>1500</v>
      </c>
      <c r="V34" s="9" t="s">
        <v>37</v>
      </c>
    </row>
    <row r="35" spans="1:22" x14ac:dyDescent="0.35">
      <c r="A35" s="9"/>
      <c r="B35" s="9" t="s">
        <v>1722</v>
      </c>
      <c r="C35" s="10">
        <v>5000</v>
      </c>
      <c r="D35" s="10"/>
      <c r="E35" s="9"/>
      <c r="F35" s="9"/>
      <c r="G35" s="9"/>
      <c r="H35" s="9"/>
      <c r="I35" s="9"/>
      <c r="J35" s="9"/>
      <c r="K35" s="10"/>
      <c r="L35" s="9"/>
      <c r="M35" s="9"/>
      <c r="N35" s="9"/>
      <c r="S35" s="48" t="s">
        <v>662</v>
      </c>
      <c r="T35" s="48" t="s">
        <v>39</v>
      </c>
      <c r="U35" s="55">
        <v>1500</v>
      </c>
      <c r="V35" s="48" t="s">
        <v>93</v>
      </c>
    </row>
    <row r="36" spans="1:22" x14ac:dyDescent="0.35">
      <c r="A36" s="9"/>
      <c r="B36" s="9" t="s">
        <v>1722</v>
      </c>
      <c r="C36" s="10">
        <v>5000</v>
      </c>
      <c r="D36" s="10"/>
      <c r="E36" s="9"/>
      <c r="F36" s="9"/>
      <c r="G36" s="9"/>
      <c r="H36" s="9"/>
      <c r="I36" s="9"/>
      <c r="J36" s="9"/>
      <c r="K36" s="9"/>
      <c r="L36" s="9"/>
      <c r="M36" s="9"/>
      <c r="N36" s="9"/>
      <c r="S36" s="48" t="s">
        <v>146</v>
      </c>
      <c r="T36" s="48" t="s">
        <v>39</v>
      </c>
      <c r="U36" s="55">
        <v>1500</v>
      </c>
      <c r="V36" s="48" t="s">
        <v>37</v>
      </c>
    </row>
    <row r="37" spans="1:22" x14ac:dyDescent="0.35">
      <c r="A37" s="9"/>
      <c r="B37" s="9" t="s">
        <v>1722</v>
      </c>
      <c r="C37" s="10">
        <v>5000</v>
      </c>
      <c r="D37" s="10"/>
      <c r="E37" s="9"/>
      <c r="F37" s="9"/>
      <c r="G37" s="9"/>
      <c r="H37" s="9"/>
      <c r="I37" s="9"/>
      <c r="J37" s="9"/>
      <c r="K37" s="9"/>
      <c r="L37" s="9"/>
      <c r="M37" s="9"/>
      <c r="N37" s="9"/>
      <c r="S37" s="48" t="s">
        <v>232</v>
      </c>
      <c r="T37" s="48" t="s">
        <v>39</v>
      </c>
      <c r="U37" s="55">
        <v>1500</v>
      </c>
      <c r="V37" s="48" t="s">
        <v>37</v>
      </c>
    </row>
    <row r="38" spans="1:22" x14ac:dyDescent="0.35">
      <c r="A38" s="9"/>
      <c r="B38" s="9" t="s">
        <v>1722</v>
      </c>
      <c r="C38" s="10">
        <v>5000</v>
      </c>
      <c r="D38" s="10"/>
      <c r="E38" s="9"/>
      <c r="F38" s="9"/>
      <c r="G38" s="9"/>
      <c r="H38" s="9"/>
      <c r="I38" s="9"/>
      <c r="J38" s="9"/>
      <c r="K38" s="9"/>
      <c r="L38" s="9"/>
      <c r="M38" s="9"/>
      <c r="N38" s="9"/>
      <c r="S38" s="9" t="s">
        <v>1723</v>
      </c>
      <c r="T38" s="9" t="s">
        <v>39</v>
      </c>
      <c r="U38" s="10">
        <v>1500</v>
      </c>
      <c r="V38" s="9" t="s">
        <v>76</v>
      </c>
    </row>
    <row r="39" spans="1:22" x14ac:dyDescent="0.35">
      <c r="A39" s="9"/>
      <c r="B39" s="9" t="s">
        <v>1722</v>
      </c>
      <c r="C39" s="10">
        <v>5000</v>
      </c>
      <c r="D39" s="10"/>
      <c r="E39" s="9"/>
      <c r="F39" s="9"/>
      <c r="G39" s="9"/>
      <c r="H39" s="9"/>
      <c r="I39" s="9"/>
      <c r="J39" s="9"/>
      <c r="K39" s="9"/>
      <c r="L39" s="9"/>
      <c r="M39" s="9"/>
      <c r="N39" s="9"/>
      <c r="S39" s="112" t="s">
        <v>507</v>
      </c>
      <c r="T39" s="112" t="s">
        <v>39</v>
      </c>
      <c r="U39" s="113">
        <v>1500</v>
      </c>
      <c r="V39" s="112" t="s">
        <v>56</v>
      </c>
    </row>
    <row r="40" spans="1:22" x14ac:dyDescent="0.35">
      <c r="A40" s="9" t="s">
        <v>87</v>
      </c>
      <c r="B40" s="9" t="s">
        <v>631</v>
      </c>
      <c r="C40" s="10">
        <v>2500</v>
      </c>
      <c r="D40" s="10">
        <v>2500</v>
      </c>
      <c r="E40" s="9" t="s">
        <v>24</v>
      </c>
      <c r="F40" s="9" t="s">
        <v>768</v>
      </c>
      <c r="G40" s="9"/>
      <c r="H40" s="9"/>
      <c r="I40" s="9" t="s">
        <v>1654</v>
      </c>
      <c r="J40" s="9"/>
      <c r="K40" s="9"/>
      <c r="L40" s="9" t="s">
        <v>769</v>
      </c>
      <c r="M40" s="9"/>
      <c r="N40" s="9" t="s">
        <v>770</v>
      </c>
      <c r="S40" s="48" t="s">
        <v>742</v>
      </c>
      <c r="T40" s="48" t="s">
        <v>39</v>
      </c>
      <c r="U40" s="55">
        <v>1500</v>
      </c>
      <c r="V40" s="48" t="s">
        <v>37</v>
      </c>
    </row>
    <row r="41" spans="1:22" x14ac:dyDescent="0.35">
      <c r="A41" s="9"/>
      <c r="B41" s="9" t="s">
        <v>834</v>
      </c>
      <c r="C41" s="10">
        <v>5000</v>
      </c>
      <c r="D41" s="10"/>
      <c r="E41" s="9"/>
      <c r="F41" s="9"/>
      <c r="G41" s="9"/>
      <c r="H41" s="9"/>
      <c r="I41" s="9"/>
      <c r="J41" s="9"/>
      <c r="K41" s="9"/>
      <c r="L41" s="9"/>
      <c r="M41" s="9"/>
      <c r="N41" s="9"/>
      <c r="S41" s="48" t="s">
        <v>702</v>
      </c>
      <c r="T41" s="48" t="s">
        <v>109</v>
      </c>
      <c r="U41" s="55">
        <v>750</v>
      </c>
      <c r="V41" s="48" t="s">
        <v>96</v>
      </c>
    </row>
    <row r="42" spans="1:22" x14ac:dyDescent="0.35">
      <c r="A42" s="9"/>
      <c r="B42" s="9" t="s">
        <v>834</v>
      </c>
      <c r="C42" s="10">
        <v>5000</v>
      </c>
      <c r="D42" s="10"/>
      <c r="E42" s="9"/>
      <c r="F42" s="9"/>
      <c r="G42" s="9"/>
      <c r="H42" s="9"/>
      <c r="I42" s="9"/>
      <c r="J42" s="9"/>
      <c r="K42" s="9"/>
      <c r="L42" s="9"/>
      <c r="M42" s="9"/>
      <c r="N42" s="9"/>
      <c r="S42" s="112" t="s">
        <v>70</v>
      </c>
      <c r="T42" s="112" t="s">
        <v>109</v>
      </c>
      <c r="U42" s="113">
        <v>750</v>
      </c>
      <c r="V42" s="112" t="s">
        <v>37</v>
      </c>
    </row>
    <row r="43" spans="1:22" x14ac:dyDescent="0.35">
      <c r="A43" s="9"/>
      <c r="B43" s="9" t="s">
        <v>1724</v>
      </c>
      <c r="C43" s="10">
        <v>5000</v>
      </c>
      <c r="D43" s="10"/>
      <c r="E43" s="9"/>
      <c r="F43" s="9"/>
      <c r="G43" s="9"/>
      <c r="H43" s="9"/>
      <c r="I43" s="9"/>
      <c r="J43" s="9"/>
      <c r="K43" s="9"/>
      <c r="L43" s="9"/>
      <c r="M43" s="9"/>
      <c r="N43" s="9"/>
      <c r="S43" s="48" t="s">
        <v>40</v>
      </c>
      <c r="T43" s="48" t="s">
        <v>131</v>
      </c>
      <c r="U43" s="55">
        <v>3500</v>
      </c>
      <c r="V43" s="48" t="s">
        <v>37</v>
      </c>
    </row>
    <row r="44" spans="1:22" x14ac:dyDescent="0.35">
      <c r="A44" s="9"/>
      <c r="B44" s="9" t="s">
        <v>1724</v>
      </c>
      <c r="C44" s="10">
        <v>5000</v>
      </c>
      <c r="D44" s="10"/>
      <c r="E44" s="9"/>
      <c r="F44" s="9"/>
      <c r="G44" s="9"/>
      <c r="H44" s="9"/>
      <c r="I44" s="9"/>
      <c r="J44" s="9"/>
      <c r="K44" s="9"/>
      <c r="L44" s="9"/>
      <c r="M44" s="9"/>
      <c r="N44" s="9"/>
      <c r="S44" s="48" t="s">
        <v>424</v>
      </c>
      <c r="T44" s="48" t="s">
        <v>39</v>
      </c>
      <c r="U44" s="55">
        <v>0</v>
      </c>
      <c r="V44" s="48" t="s">
        <v>56</v>
      </c>
    </row>
    <row r="45" spans="1:22" x14ac:dyDescent="0.35">
      <c r="A45" s="9" t="s">
        <v>248</v>
      </c>
      <c r="B45" s="9" t="s">
        <v>1716</v>
      </c>
      <c r="C45" s="10">
        <v>3500</v>
      </c>
      <c r="D45" s="10">
        <v>3500</v>
      </c>
      <c r="E45" s="9" t="s">
        <v>24</v>
      </c>
      <c r="F45" s="9" t="s">
        <v>511</v>
      </c>
      <c r="G45" s="9"/>
      <c r="H45" s="9"/>
      <c r="I45" s="9" t="s">
        <v>1654</v>
      </c>
      <c r="J45" s="195">
        <v>45996</v>
      </c>
      <c r="K45" s="9">
        <v>3500</v>
      </c>
      <c r="L45" s="9" t="s">
        <v>1725</v>
      </c>
      <c r="M45" s="9"/>
      <c r="N45" s="9" t="s">
        <v>1726</v>
      </c>
      <c r="S45" s="19" t="s">
        <v>1727</v>
      </c>
      <c r="T45" s="19" t="s">
        <v>109</v>
      </c>
      <c r="U45" s="20">
        <v>750</v>
      </c>
      <c r="V45" s="19" t="s">
        <v>96</v>
      </c>
    </row>
    <row r="46" spans="1:22" x14ac:dyDescent="0.35">
      <c r="S46" s="48" t="s">
        <v>1728</v>
      </c>
      <c r="T46" s="48" t="s">
        <v>109</v>
      </c>
      <c r="U46" s="55">
        <v>0</v>
      </c>
      <c r="V46" s="48" t="s">
        <v>56</v>
      </c>
    </row>
    <row r="47" spans="1:22" x14ac:dyDescent="0.35">
      <c r="K47" s="29">
        <f>SUM(K9:K45)</f>
        <v>61000</v>
      </c>
      <c r="S47" s="48" t="s">
        <v>1729</v>
      </c>
      <c r="T47" s="48" t="s">
        <v>39</v>
      </c>
      <c r="U47" s="55">
        <v>0</v>
      </c>
      <c r="V47" s="48" t="s">
        <v>96</v>
      </c>
    </row>
    <row r="48" spans="1:22" x14ac:dyDescent="0.35">
      <c r="S48" s="9" t="s">
        <v>1730</v>
      </c>
      <c r="T48" s="9" t="s">
        <v>109</v>
      </c>
      <c r="U48" s="10">
        <v>500</v>
      </c>
      <c r="V48" s="9" t="s">
        <v>56</v>
      </c>
    </row>
    <row r="49" spans="19:22" x14ac:dyDescent="0.35">
      <c r="S49" s="48" t="s">
        <v>52</v>
      </c>
      <c r="T49" s="48" t="s">
        <v>32</v>
      </c>
      <c r="U49" s="55">
        <v>5000</v>
      </c>
      <c r="V49" s="48" t="s">
        <v>37</v>
      </c>
    </row>
    <row r="50" spans="19:22" x14ac:dyDescent="0.35">
      <c r="S50" s="112" t="s">
        <v>1698</v>
      </c>
      <c r="T50" s="112" t="s">
        <v>109</v>
      </c>
      <c r="U50" s="113">
        <v>750</v>
      </c>
      <c r="V50" s="112" t="s">
        <v>96</v>
      </c>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V50">
    <sortCondition ref="S9:S50"/>
  </sortState>
  <hyperlinks>
    <hyperlink ref="N23" r:id="rId2" display="amyw@uca.edu; " xr:uid="{84EC0DA0-CF9A-4B34-A82D-EDBDCD39A543}"/>
    <hyperlink ref="N16" r:id="rId3" display="mailto:Crystal.Floyd@acxiom.com" xr:uid="{4BEE9553-ABB0-4C5E-8C84-903EB28C5EAC}"/>
    <hyperlink ref="N28" r:id="rId4" display="mailto:jfaulkner@cbc.edu" xr:uid="{DA0C3062-A15E-40F8-873D-505D46CA2475}"/>
    <hyperlink ref="N10" r:id="rId5" display="mailto:DLTackett@GarverUSA.com" xr:uid="{F77BA0FF-871A-40B5-9C0C-8D08CDCD2929}"/>
    <hyperlink ref="N20" r:id="rId6" display="mailto:jake.turpin@claytonhomes.com" xr:uid="{66D3F8CC-BEBD-4E3A-8A60-81E977A4F586}"/>
    <hyperlink ref="N32" r:id="rId7" display="mailto:tmalcolm@summitutilities.com" xr:uid="{D9C03916-8FFB-45BD-820C-141295A64547}"/>
    <hyperlink ref="N34" r:id="rId8" display="mailto:cbrand@nabco.com" xr:uid="{BE3D26AF-8586-45ED-BBD9-2964A0D16DFD}"/>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7CC67-4C4C-4E91-8A48-AC7D2CF3D522}">
  <dimension ref="A1:Q318"/>
  <sheetViews>
    <sheetView workbookViewId="0">
      <pane ySplit="10" topLeftCell="A74" activePane="bottomLeft" state="frozen"/>
      <selection pane="bottomLeft" activeCell="K89" sqref="K89"/>
    </sheetView>
  </sheetViews>
  <sheetFormatPr defaultColWidth="36.1796875" defaultRowHeight="14.5" x14ac:dyDescent="0.35"/>
  <cols>
    <col min="1" max="1" width="30.81640625" style="5" bestFit="1" customWidth="1"/>
    <col min="2" max="2" width="14.453125" style="5" bestFit="1" customWidth="1"/>
    <col min="3" max="3" width="12.81640625" style="5" customWidth="1"/>
    <col min="4" max="4" width="15.81640625" style="5" bestFit="1" customWidth="1"/>
    <col min="5" max="5" width="8.7265625" style="5" bestFit="1" customWidth="1"/>
    <col min="6" max="6" width="11.1796875" style="5" bestFit="1" customWidth="1"/>
    <col min="7" max="7" width="39.7265625" style="5" bestFit="1" customWidth="1"/>
    <col min="8" max="8" width="16.26953125" style="5" bestFit="1" customWidth="1"/>
    <col min="9" max="9" width="10.1796875" bestFit="1" customWidth="1"/>
    <col min="10" max="10" width="10.26953125" style="5" bestFit="1" customWidth="1"/>
    <col min="11" max="11" width="14.453125" style="5" bestFit="1" customWidth="1"/>
    <col min="12" max="12" width="28.453125" style="5" customWidth="1"/>
    <col min="13" max="13" width="21.54296875" style="5" customWidth="1"/>
    <col min="14" max="14" width="43.1796875" style="5" bestFit="1" customWidth="1"/>
    <col min="15" max="15" width="36.1796875" style="5"/>
    <col min="16" max="16" width="11" style="5" bestFit="1" customWidth="1"/>
    <col min="17" max="17" width="10.1796875" style="5" bestFit="1" customWidth="1"/>
    <col min="18" max="16384" width="36.1796875" style="5"/>
  </cols>
  <sheetData>
    <row r="1" spans="1:17" x14ac:dyDescent="0.35">
      <c r="A1" s="4" t="s">
        <v>1731</v>
      </c>
      <c r="B1" s="4">
        <v>2025</v>
      </c>
    </row>
    <row r="2" spans="1:17" ht="29" x14ac:dyDescent="0.35">
      <c r="A2" s="6" t="s">
        <v>1</v>
      </c>
      <c r="B2" s="7">
        <f>SUM(D9:D91)</f>
        <v>77000</v>
      </c>
      <c r="G2" s="6" t="s">
        <v>1732</v>
      </c>
      <c r="H2" s="7">
        <f>SUM(D11:D28)</f>
        <v>14750</v>
      </c>
      <c r="K2" s="11" t="s">
        <v>2</v>
      </c>
      <c r="M2" s="47" t="s">
        <v>1733</v>
      </c>
    </row>
    <row r="3" spans="1:17" x14ac:dyDescent="0.35">
      <c r="A3" s="6" t="s">
        <v>3</v>
      </c>
      <c r="B3" s="7">
        <v>60000</v>
      </c>
      <c r="G3" s="6" t="s">
        <v>1734</v>
      </c>
      <c r="H3" s="7">
        <f>SUM(D31:D51)</f>
        <v>27750</v>
      </c>
      <c r="K3" s="7">
        <f>SUM(K92-B2)</f>
        <v>-19577.5</v>
      </c>
    </row>
    <row r="4" spans="1:17" x14ac:dyDescent="0.35">
      <c r="A4" s="6" t="s">
        <v>4</v>
      </c>
      <c r="B4" s="7">
        <f>MIN(B2-B3)</f>
        <v>17000</v>
      </c>
      <c r="G4" s="6" t="s">
        <v>1735</v>
      </c>
      <c r="H4" s="7">
        <f>SUM(D53:D70)</f>
        <v>18750</v>
      </c>
      <c r="K4" s="42">
        <f>K92/B2</f>
        <v>0.74574675324675321</v>
      </c>
    </row>
    <row r="5" spans="1:17" x14ac:dyDescent="0.35">
      <c r="A5" s="6" t="s">
        <v>5</v>
      </c>
      <c r="B5" s="7">
        <v>70000</v>
      </c>
      <c r="G5" s="6" t="s">
        <v>1736</v>
      </c>
      <c r="H5" s="7">
        <f>SUM(D73:D90)</f>
        <v>15750</v>
      </c>
    </row>
    <row r="6" spans="1:17" x14ac:dyDescent="0.35">
      <c r="A6" s="6" t="s">
        <v>4</v>
      </c>
      <c r="B6" s="7">
        <f>MIN(B2-B5)</f>
        <v>7000</v>
      </c>
      <c r="H6" s="29">
        <f>SUM(H2:H5)</f>
        <v>77000</v>
      </c>
    </row>
    <row r="8" spans="1:17"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row>
    <row r="9" spans="1:17" x14ac:dyDescent="0.35">
      <c r="I9" s="34"/>
      <c r="P9" s="39" t="s">
        <v>24</v>
      </c>
      <c r="Q9" s="10">
        <v>25000</v>
      </c>
    </row>
    <row r="10" spans="1:17" ht="15.75" customHeight="1" x14ac:dyDescent="0.35">
      <c r="A10" s="85" t="s">
        <v>1737</v>
      </c>
      <c r="B10" s="85"/>
      <c r="C10" s="85"/>
      <c r="D10" s="85"/>
      <c r="E10" s="85"/>
      <c r="F10" s="85"/>
      <c r="G10" s="85"/>
      <c r="H10" s="85"/>
      <c r="I10" s="174"/>
      <c r="J10" s="85"/>
      <c r="K10" s="85"/>
      <c r="L10" s="85"/>
      <c r="M10" s="85"/>
      <c r="N10" s="85"/>
      <c r="P10" s="39" t="s">
        <v>37</v>
      </c>
      <c r="Q10" s="10">
        <v>45000</v>
      </c>
    </row>
    <row r="11" spans="1:17" x14ac:dyDescent="0.35">
      <c r="A11" s="9" t="s">
        <v>48</v>
      </c>
      <c r="B11" s="9" t="s">
        <v>23</v>
      </c>
      <c r="C11" s="10">
        <v>15000</v>
      </c>
      <c r="D11" s="10">
        <v>2500</v>
      </c>
      <c r="E11" s="9" t="s">
        <v>24</v>
      </c>
      <c r="F11" s="9" t="s">
        <v>64</v>
      </c>
      <c r="G11" s="9"/>
      <c r="H11" s="165"/>
      <c r="I11" s="34"/>
      <c r="J11" s="127" t="s">
        <v>319</v>
      </c>
      <c r="K11" s="10">
        <v>2500</v>
      </c>
      <c r="L11" s="9" t="s">
        <v>66</v>
      </c>
      <c r="M11" s="9"/>
      <c r="N11" s="87" t="s">
        <v>67</v>
      </c>
      <c r="P11" s="39" t="s">
        <v>47</v>
      </c>
      <c r="Q11" s="10"/>
    </row>
    <row r="12" spans="1:17" ht="58" x14ac:dyDescent="0.35">
      <c r="A12" s="9" t="s">
        <v>204</v>
      </c>
      <c r="B12" s="9" t="s">
        <v>23</v>
      </c>
      <c r="C12" s="10">
        <v>15000</v>
      </c>
      <c r="D12" s="10">
        <v>3750</v>
      </c>
      <c r="E12" s="9" t="s">
        <v>24</v>
      </c>
      <c r="F12" s="9" t="s">
        <v>206</v>
      </c>
      <c r="G12" s="9" t="s">
        <v>1738</v>
      </c>
      <c r="H12" s="165"/>
      <c r="I12" s="34"/>
      <c r="J12" s="242">
        <v>45870</v>
      </c>
      <c r="K12" s="10">
        <v>3750</v>
      </c>
      <c r="L12" s="9" t="s">
        <v>209</v>
      </c>
      <c r="M12" s="125" t="s">
        <v>210</v>
      </c>
      <c r="N12" s="9" t="s">
        <v>211</v>
      </c>
      <c r="P12" s="39" t="s">
        <v>50</v>
      </c>
      <c r="Q12" s="10"/>
    </row>
    <row r="13" spans="1:17" x14ac:dyDescent="0.35">
      <c r="A13" s="9" t="s">
        <v>1739</v>
      </c>
      <c r="B13" s="9" t="s">
        <v>32</v>
      </c>
      <c r="C13" s="10">
        <v>5000</v>
      </c>
      <c r="D13" s="10">
        <v>5000</v>
      </c>
      <c r="E13" s="9" t="s">
        <v>37</v>
      </c>
      <c r="F13" s="9" t="s">
        <v>78</v>
      </c>
      <c r="G13" s="9"/>
      <c r="H13" s="165"/>
      <c r="I13" s="34"/>
      <c r="J13" s="127" t="s">
        <v>277</v>
      </c>
      <c r="K13" s="10">
        <v>5000</v>
      </c>
      <c r="L13" s="9" t="s">
        <v>1740</v>
      </c>
      <c r="M13" s="9"/>
      <c r="N13" s="9" t="s">
        <v>1741</v>
      </c>
      <c r="P13" s="39" t="s">
        <v>56</v>
      </c>
      <c r="Q13" s="10">
        <v>4000</v>
      </c>
    </row>
    <row r="14" spans="1:17" x14ac:dyDescent="0.35">
      <c r="A14" s="9"/>
      <c r="B14" s="9" t="s">
        <v>32</v>
      </c>
      <c r="C14" s="10">
        <v>5000</v>
      </c>
      <c r="D14" s="10"/>
      <c r="E14" s="9"/>
      <c r="F14" s="9"/>
      <c r="G14" s="9"/>
      <c r="H14" s="165"/>
      <c r="I14" s="34"/>
      <c r="J14" s="127"/>
      <c r="K14" s="10"/>
      <c r="L14" s="9"/>
      <c r="M14" s="9"/>
      <c r="N14" s="9"/>
      <c r="P14" s="39" t="s">
        <v>62</v>
      </c>
      <c r="Q14" s="10"/>
    </row>
    <row r="15" spans="1:17" x14ac:dyDescent="0.35">
      <c r="A15" s="9"/>
      <c r="B15" s="9" t="s">
        <v>32</v>
      </c>
      <c r="C15" s="10">
        <v>5000</v>
      </c>
      <c r="D15" s="10"/>
      <c r="E15" s="9"/>
      <c r="F15" s="9"/>
      <c r="G15" s="9"/>
      <c r="H15" s="165"/>
      <c r="I15" s="34"/>
      <c r="J15" s="127"/>
      <c r="K15" s="10"/>
      <c r="L15" s="9"/>
      <c r="M15" s="9"/>
      <c r="N15" s="9"/>
      <c r="P15" s="39" t="s">
        <v>68</v>
      </c>
      <c r="Q15" s="10"/>
    </row>
    <row r="16" spans="1:17" x14ac:dyDescent="0.35">
      <c r="A16" s="9"/>
      <c r="B16" s="9" t="s">
        <v>32</v>
      </c>
      <c r="C16" s="10">
        <v>5000</v>
      </c>
      <c r="D16" s="10"/>
      <c r="E16" s="9"/>
      <c r="F16" s="9"/>
      <c r="G16" s="9"/>
      <c r="H16" s="165"/>
      <c r="I16" s="34"/>
      <c r="J16" s="127"/>
      <c r="K16" s="10"/>
      <c r="L16" s="9"/>
      <c r="M16" s="9"/>
      <c r="N16" s="9"/>
      <c r="P16" s="39" t="s">
        <v>76</v>
      </c>
      <c r="Q16" s="10"/>
    </row>
    <row r="17" spans="1:17" x14ac:dyDescent="0.35">
      <c r="A17" s="9"/>
      <c r="B17" s="9" t="s">
        <v>1742</v>
      </c>
      <c r="C17" s="10">
        <v>7500</v>
      </c>
      <c r="D17" s="10"/>
      <c r="E17" s="9"/>
      <c r="F17" s="9"/>
      <c r="G17" s="9"/>
      <c r="H17" s="165"/>
      <c r="I17" s="34"/>
      <c r="J17" s="127"/>
      <c r="K17" s="10"/>
      <c r="L17" s="9"/>
      <c r="M17" s="9"/>
      <c r="N17" s="9"/>
      <c r="P17" s="39" t="s">
        <v>81</v>
      </c>
      <c r="Q17" s="10"/>
    </row>
    <row r="18" spans="1:17" ht="29" x14ac:dyDescent="0.35">
      <c r="A18" s="9" t="s">
        <v>40</v>
      </c>
      <c r="B18" s="9" t="s">
        <v>188</v>
      </c>
      <c r="C18" s="10">
        <v>7500</v>
      </c>
      <c r="D18" s="10">
        <v>1875</v>
      </c>
      <c r="E18" s="9" t="s">
        <v>37</v>
      </c>
      <c r="F18" s="9" t="s">
        <v>42</v>
      </c>
      <c r="G18" s="9" t="s">
        <v>1743</v>
      </c>
      <c r="H18" s="163" t="s">
        <v>27</v>
      </c>
      <c r="I18" s="34"/>
      <c r="J18" s="127"/>
      <c r="K18" s="10">
        <v>1875</v>
      </c>
      <c r="L18" s="9" t="s">
        <v>45</v>
      </c>
      <c r="M18" s="9"/>
      <c r="N18" s="9" t="s">
        <v>46</v>
      </c>
      <c r="P18" s="39" t="s">
        <v>86</v>
      </c>
      <c r="Q18" s="10"/>
    </row>
    <row r="19" spans="1:17" x14ac:dyDescent="0.35">
      <c r="A19" s="9" t="s">
        <v>52</v>
      </c>
      <c r="B19" s="9" t="s">
        <v>39</v>
      </c>
      <c r="C19" s="10">
        <v>2500</v>
      </c>
      <c r="D19" s="10">
        <v>625</v>
      </c>
      <c r="E19" s="9" t="s">
        <v>37</v>
      </c>
      <c r="F19" s="9" t="s">
        <v>53</v>
      </c>
      <c r="G19" s="9"/>
      <c r="H19" s="173" t="s">
        <v>27</v>
      </c>
      <c r="I19" s="34"/>
      <c r="J19" s="254">
        <v>45908</v>
      </c>
      <c r="K19" s="35">
        <v>625</v>
      </c>
      <c r="L19" s="34" t="s">
        <v>54</v>
      </c>
      <c r="M19" s="34"/>
      <c r="N19" s="34" t="s">
        <v>55</v>
      </c>
      <c r="P19" s="39" t="s">
        <v>90</v>
      </c>
      <c r="Q19" s="10"/>
    </row>
    <row r="20" spans="1:17" x14ac:dyDescent="0.35">
      <c r="A20" s="9"/>
      <c r="B20" s="9" t="s">
        <v>39</v>
      </c>
      <c r="C20" s="10">
        <v>2500</v>
      </c>
      <c r="D20" s="10"/>
      <c r="E20" s="9"/>
      <c r="F20" s="9"/>
      <c r="G20" s="9"/>
      <c r="H20" s="165"/>
      <c r="I20" s="34"/>
      <c r="J20" s="127"/>
      <c r="K20" s="10"/>
      <c r="L20" s="9"/>
      <c r="M20" s="9"/>
      <c r="N20" s="9"/>
      <c r="P20" s="39" t="s">
        <v>91</v>
      </c>
      <c r="Q20" s="10"/>
    </row>
    <row r="21" spans="1:17" x14ac:dyDescent="0.35">
      <c r="A21" s="9"/>
      <c r="B21" s="9" t="s">
        <v>39</v>
      </c>
      <c r="C21" s="10">
        <v>2500</v>
      </c>
      <c r="D21" s="10"/>
      <c r="E21" s="9"/>
      <c r="F21" s="9"/>
      <c r="G21" s="9"/>
      <c r="H21" s="165"/>
      <c r="I21" s="34"/>
      <c r="J21" s="127"/>
      <c r="K21" s="10"/>
      <c r="L21" s="9"/>
      <c r="M21" s="9"/>
      <c r="N21" s="9"/>
      <c r="P21" s="39" t="s">
        <v>92</v>
      </c>
      <c r="Q21" s="10"/>
    </row>
    <row r="22" spans="1:17" x14ac:dyDescent="0.35">
      <c r="A22" s="9"/>
      <c r="B22" s="9" t="s">
        <v>39</v>
      </c>
      <c r="C22" s="10">
        <v>2500</v>
      </c>
      <c r="D22" s="10"/>
      <c r="E22" s="9"/>
      <c r="F22" s="9"/>
      <c r="G22" s="9"/>
      <c r="H22" s="165"/>
      <c r="I22" s="34"/>
      <c r="J22" s="127"/>
      <c r="K22" s="10"/>
      <c r="L22" s="9"/>
      <c r="M22" s="9"/>
      <c r="N22" s="9"/>
      <c r="P22" s="39" t="s">
        <v>93</v>
      </c>
      <c r="Q22" s="10"/>
    </row>
    <row r="23" spans="1:17" x14ac:dyDescent="0.35">
      <c r="A23" s="9"/>
      <c r="B23" s="9" t="s">
        <v>39</v>
      </c>
      <c r="C23" s="10">
        <v>2500</v>
      </c>
      <c r="D23" s="10"/>
      <c r="E23" s="9"/>
      <c r="F23" s="9"/>
      <c r="G23" s="9"/>
      <c r="H23" s="165"/>
      <c r="I23" s="34"/>
      <c r="J23" s="127"/>
      <c r="K23" s="10"/>
      <c r="L23" s="9"/>
      <c r="M23" s="9"/>
      <c r="N23" s="9"/>
      <c r="P23" s="39" t="s">
        <v>94</v>
      </c>
      <c r="Q23" s="10"/>
    </row>
    <row r="24" spans="1:17" x14ac:dyDescent="0.35">
      <c r="A24" s="9"/>
      <c r="B24" s="9" t="s">
        <v>39</v>
      </c>
      <c r="C24" s="10">
        <v>2500</v>
      </c>
      <c r="D24" s="10"/>
      <c r="E24" s="9"/>
      <c r="F24" s="9"/>
      <c r="G24" s="9"/>
      <c r="H24" s="165"/>
      <c r="I24" s="34"/>
      <c r="J24" s="127"/>
      <c r="K24" s="10"/>
      <c r="L24" s="9"/>
      <c r="M24" s="9"/>
      <c r="N24" s="9"/>
      <c r="P24" s="39" t="s">
        <v>95</v>
      </c>
      <c r="Q24" s="10"/>
    </row>
    <row r="25" spans="1:17" ht="72.5" x14ac:dyDescent="0.35">
      <c r="A25" s="9" t="s">
        <v>170</v>
      </c>
      <c r="B25" s="9" t="s">
        <v>109</v>
      </c>
      <c r="C25" s="10">
        <v>1000</v>
      </c>
      <c r="D25" s="10">
        <v>0</v>
      </c>
      <c r="E25" s="9" t="s">
        <v>227</v>
      </c>
      <c r="F25" s="9" t="s">
        <v>37</v>
      </c>
      <c r="G25" s="9" t="s">
        <v>1744</v>
      </c>
      <c r="H25" s="165"/>
      <c r="I25" s="34"/>
      <c r="J25" s="242"/>
      <c r="K25" s="10"/>
      <c r="L25" s="9" t="s">
        <v>230</v>
      </c>
      <c r="M25" s="9"/>
      <c r="N25" s="9" t="s">
        <v>231</v>
      </c>
      <c r="P25" s="39" t="s">
        <v>96</v>
      </c>
      <c r="Q25" s="10">
        <v>3000</v>
      </c>
    </row>
    <row r="26" spans="1:17" x14ac:dyDescent="0.35">
      <c r="A26" s="9" t="s">
        <v>232</v>
      </c>
      <c r="B26" s="9" t="s">
        <v>109</v>
      </c>
      <c r="C26" s="10">
        <v>1000</v>
      </c>
      <c r="D26" s="10">
        <v>1000</v>
      </c>
      <c r="E26" s="9" t="s">
        <v>37</v>
      </c>
      <c r="F26" s="9" t="s">
        <v>42</v>
      </c>
      <c r="G26" s="9"/>
      <c r="H26" s="165"/>
      <c r="I26" s="34"/>
      <c r="J26" s="127" t="s">
        <v>325</v>
      </c>
      <c r="K26" s="10">
        <v>1000</v>
      </c>
      <c r="L26" s="9" t="s">
        <v>233</v>
      </c>
      <c r="M26" s="9"/>
      <c r="N26" s="9" t="s">
        <v>234</v>
      </c>
      <c r="P26" s="39" t="s">
        <v>97</v>
      </c>
      <c r="Q26" s="10"/>
    </row>
    <row r="27" spans="1:17" ht="29" x14ac:dyDescent="0.35">
      <c r="A27" s="9" t="s">
        <v>1745</v>
      </c>
      <c r="B27" s="9" t="s">
        <v>109</v>
      </c>
      <c r="C27" s="10">
        <v>1000</v>
      </c>
      <c r="D27" s="10">
        <v>0</v>
      </c>
      <c r="E27" s="9"/>
      <c r="F27" s="9"/>
      <c r="G27" s="9"/>
      <c r="H27" s="165"/>
      <c r="I27" s="34"/>
      <c r="J27" s="127"/>
      <c r="K27" s="10"/>
      <c r="L27" s="9" t="s">
        <v>1746</v>
      </c>
      <c r="M27" s="9"/>
      <c r="N27" s="87" t="s">
        <v>690</v>
      </c>
      <c r="P27" s="39" t="s">
        <v>98</v>
      </c>
      <c r="Q27" s="10">
        <v>0</v>
      </c>
    </row>
    <row r="28" spans="1:17" x14ac:dyDescent="0.35">
      <c r="A28" s="9"/>
      <c r="B28" s="9" t="s">
        <v>109</v>
      </c>
      <c r="C28" s="10">
        <v>1000</v>
      </c>
      <c r="D28" s="10"/>
      <c r="E28" s="9"/>
      <c r="F28" s="9"/>
      <c r="G28" s="9"/>
      <c r="H28" s="165"/>
      <c r="I28" s="34"/>
      <c r="J28" s="127"/>
      <c r="K28" s="10"/>
      <c r="L28" s="9"/>
      <c r="M28" s="9"/>
      <c r="N28" s="9"/>
      <c r="P28" s="39" t="s">
        <v>227</v>
      </c>
      <c r="Q28" s="10">
        <v>0</v>
      </c>
    </row>
    <row r="29" spans="1:17" x14ac:dyDescent="0.35">
      <c r="I29" s="34"/>
      <c r="K29" s="21"/>
      <c r="P29" s="45" t="s">
        <v>99</v>
      </c>
      <c r="Q29" s="46">
        <v>77000</v>
      </c>
    </row>
    <row r="30" spans="1:17" x14ac:dyDescent="0.35">
      <c r="A30" s="85" t="s">
        <v>1747</v>
      </c>
      <c r="B30" s="85"/>
      <c r="C30" s="85"/>
      <c r="D30" s="85"/>
      <c r="E30" s="85"/>
      <c r="F30" s="85"/>
      <c r="G30" s="85"/>
      <c r="H30" s="85"/>
      <c r="I30" s="174"/>
      <c r="J30" s="85"/>
      <c r="K30" s="129"/>
      <c r="L30" s="85"/>
      <c r="M30" s="85"/>
      <c r="N30" s="85"/>
      <c r="P30"/>
      <c r="Q30"/>
    </row>
    <row r="31" spans="1:17" x14ac:dyDescent="0.35">
      <c r="A31" s="9" t="s">
        <v>48</v>
      </c>
      <c r="B31" s="9" t="s">
        <v>23</v>
      </c>
      <c r="C31" s="10">
        <v>15000</v>
      </c>
      <c r="D31" s="10">
        <v>2500</v>
      </c>
      <c r="E31" s="9" t="s">
        <v>24</v>
      </c>
      <c r="F31" s="9" t="s">
        <v>64</v>
      </c>
      <c r="G31" s="9"/>
      <c r="H31" s="165"/>
      <c r="I31" s="34"/>
      <c r="J31" s="127" t="s">
        <v>65</v>
      </c>
      <c r="K31" s="10">
        <v>2500</v>
      </c>
      <c r="L31" s="9" t="s">
        <v>66</v>
      </c>
      <c r="M31" s="9"/>
      <c r="N31" s="9" t="s">
        <v>67</v>
      </c>
    </row>
    <row r="32" spans="1:17" ht="58" x14ac:dyDescent="0.35">
      <c r="A32" s="9" t="s">
        <v>204</v>
      </c>
      <c r="B32" s="9" t="s">
        <v>23</v>
      </c>
      <c r="C32" s="10">
        <v>15000</v>
      </c>
      <c r="D32" s="10">
        <v>3750</v>
      </c>
      <c r="E32" s="9" t="s">
        <v>24</v>
      </c>
      <c r="F32" s="9" t="s">
        <v>206</v>
      </c>
      <c r="G32" s="9" t="s">
        <v>1748</v>
      </c>
      <c r="H32" s="165"/>
      <c r="I32" s="34"/>
      <c r="J32" s="242">
        <v>45943</v>
      </c>
      <c r="K32" s="10">
        <v>337</v>
      </c>
      <c r="L32" s="9" t="s">
        <v>209</v>
      </c>
      <c r="M32" s="125" t="s">
        <v>210</v>
      </c>
      <c r="N32" s="9" t="s">
        <v>211</v>
      </c>
    </row>
    <row r="33" spans="1:14" x14ac:dyDescent="0.35">
      <c r="A33" s="9" t="s">
        <v>260</v>
      </c>
      <c r="B33" s="9" t="s">
        <v>32</v>
      </c>
      <c r="C33" s="10">
        <v>5000</v>
      </c>
      <c r="D33" s="10">
        <v>4000</v>
      </c>
      <c r="E33" s="9" t="s">
        <v>56</v>
      </c>
      <c r="F33" s="9" t="s">
        <v>261</v>
      </c>
      <c r="G33" s="9"/>
      <c r="H33" s="163" t="s">
        <v>27</v>
      </c>
      <c r="I33" s="34"/>
      <c r="J33" s="242">
        <v>45877</v>
      </c>
      <c r="K33" s="10">
        <v>4000</v>
      </c>
      <c r="L33" s="9" t="s">
        <v>262</v>
      </c>
      <c r="M33" s="9"/>
      <c r="N33" s="9" t="s">
        <v>263</v>
      </c>
    </row>
    <row r="34" spans="1:14" x14ac:dyDescent="0.35">
      <c r="A34" s="9"/>
      <c r="B34" s="9" t="s">
        <v>32</v>
      </c>
      <c r="C34" s="10">
        <v>5000</v>
      </c>
      <c r="D34" s="10"/>
      <c r="E34" s="9"/>
      <c r="F34" s="9"/>
      <c r="G34" s="9"/>
      <c r="H34" s="165"/>
      <c r="I34" s="34"/>
      <c r="J34" s="127"/>
      <c r="K34" s="10"/>
      <c r="L34" s="9"/>
      <c r="M34" s="9"/>
      <c r="N34" s="9"/>
    </row>
    <row r="35" spans="1:14" x14ac:dyDescent="0.35">
      <c r="A35" s="9"/>
      <c r="B35" s="9" t="s">
        <v>32</v>
      </c>
      <c r="C35" s="10">
        <v>5000</v>
      </c>
      <c r="D35" s="10"/>
      <c r="E35" s="9"/>
      <c r="F35" s="9"/>
      <c r="G35" s="9"/>
      <c r="H35" s="165"/>
      <c r="I35" s="34"/>
      <c r="J35" s="127"/>
      <c r="K35" s="10"/>
      <c r="L35" s="9"/>
      <c r="M35" s="9"/>
      <c r="N35" s="9"/>
    </row>
    <row r="36" spans="1:14" x14ac:dyDescent="0.35">
      <c r="A36" s="9"/>
      <c r="B36" s="9" t="s">
        <v>32</v>
      </c>
      <c r="C36" s="10">
        <v>5000</v>
      </c>
      <c r="D36" s="10"/>
      <c r="E36" s="9"/>
      <c r="F36" s="9"/>
      <c r="G36" s="9"/>
      <c r="H36" s="165"/>
      <c r="I36" s="34"/>
      <c r="J36" s="127"/>
      <c r="K36" s="10"/>
      <c r="L36" s="9"/>
      <c r="M36" s="9"/>
      <c r="N36" s="9"/>
    </row>
    <row r="37" spans="1:14" x14ac:dyDescent="0.35">
      <c r="A37" s="9"/>
      <c r="B37" s="9" t="s">
        <v>1742</v>
      </c>
      <c r="C37" s="10">
        <v>7500</v>
      </c>
      <c r="D37" s="10"/>
      <c r="E37" s="9"/>
      <c r="F37" s="9"/>
      <c r="G37" s="9"/>
      <c r="H37" s="165"/>
      <c r="I37" s="34"/>
      <c r="J37" s="127"/>
      <c r="K37" s="10"/>
      <c r="L37" s="9"/>
      <c r="M37" s="9"/>
      <c r="N37" s="9"/>
    </row>
    <row r="38" spans="1:14" ht="29" x14ac:dyDescent="0.35">
      <c r="A38" s="9" t="s">
        <v>40</v>
      </c>
      <c r="B38" s="9" t="s">
        <v>188</v>
      </c>
      <c r="C38" s="10">
        <v>7500</v>
      </c>
      <c r="D38" s="10">
        <v>1875</v>
      </c>
      <c r="E38" s="9" t="s">
        <v>37</v>
      </c>
      <c r="F38" s="9" t="s">
        <v>42</v>
      </c>
      <c r="G38" s="9" t="s">
        <v>1743</v>
      </c>
      <c r="H38" s="163" t="s">
        <v>27</v>
      </c>
      <c r="I38" s="34"/>
      <c r="J38" s="127" t="s">
        <v>128</v>
      </c>
      <c r="K38" s="10">
        <v>248.75</v>
      </c>
      <c r="L38" s="9" t="s">
        <v>45</v>
      </c>
      <c r="M38" s="9"/>
      <c r="N38" s="9" t="s">
        <v>46</v>
      </c>
    </row>
    <row r="39" spans="1:14" x14ac:dyDescent="0.35">
      <c r="A39" s="43"/>
      <c r="B39" s="43"/>
      <c r="C39" s="43"/>
      <c r="D39" s="43"/>
      <c r="E39" s="43"/>
      <c r="F39" s="43"/>
      <c r="G39" s="43"/>
      <c r="H39" s="43"/>
      <c r="I39" s="33"/>
      <c r="J39" s="5" t="s">
        <v>44</v>
      </c>
      <c r="K39" s="209">
        <v>1626.25</v>
      </c>
      <c r="L39" s="43"/>
      <c r="M39" s="43"/>
      <c r="N39" s="43"/>
    </row>
    <row r="40" spans="1:14" x14ac:dyDescent="0.35">
      <c r="A40" s="9" t="s">
        <v>52</v>
      </c>
      <c r="B40" s="9" t="s">
        <v>39</v>
      </c>
      <c r="C40" s="10">
        <v>2500</v>
      </c>
      <c r="D40" s="10">
        <v>625</v>
      </c>
      <c r="E40" s="9" t="s">
        <v>37</v>
      </c>
      <c r="F40" s="9" t="s">
        <v>53</v>
      </c>
      <c r="G40" s="9"/>
      <c r="H40" s="173" t="s">
        <v>27</v>
      </c>
      <c r="I40" s="34"/>
      <c r="J40" s="254">
        <v>45908</v>
      </c>
      <c r="K40" s="35">
        <v>625</v>
      </c>
      <c r="L40" s="34" t="s">
        <v>54</v>
      </c>
      <c r="M40" s="34"/>
      <c r="N40" s="34" t="s">
        <v>55</v>
      </c>
    </row>
    <row r="41" spans="1:14" x14ac:dyDescent="0.35">
      <c r="A41" s="9" t="s">
        <v>51</v>
      </c>
      <c r="B41" s="9" t="s">
        <v>39</v>
      </c>
      <c r="C41" s="10">
        <v>2500</v>
      </c>
      <c r="D41" s="10">
        <v>2500</v>
      </c>
      <c r="E41" s="9" t="s">
        <v>37</v>
      </c>
      <c r="F41" s="9" t="s">
        <v>78</v>
      </c>
      <c r="G41" s="9"/>
      <c r="H41" s="163" t="s">
        <v>27</v>
      </c>
      <c r="I41" s="34"/>
      <c r="J41" s="242">
        <v>45980</v>
      </c>
      <c r="K41" s="10">
        <v>2163</v>
      </c>
      <c r="L41" s="9" t="s">
        <v>79</v>
      </c>
      <c r="M41" s="9"/>
      <c r="N41" s="9" t="s">
        <v>80</v>
      </c>
    </row>
    <row r="42" spans="1:14" x14ac:dyDescent="0.35">
      <c r="A42" s="9" t="s">
        <v>146</v>
      </c>
      <c r="B42" s="9" t="s">
        <v>39</v>
      </c>
      <c r="C42" s="10">
        <v>2500</v>
      </c>
      <c r="D42" s="10">
        <v>2500</v>
      </c>
      <c r="E42" s="9" t="s">
        <v>37</v>
      </c>
      <c r="F42" s="9" t="s">
        <v>147</v>
      </c>
      <c r="G42" s="9"/>
      <c r="H42" s="165"/>
      <c r="I42" s="34"/>
      <c r="J42" s="242">
        <v>45979</v>
      </c>
      <c r="K42" s="10">
        <v>2500</v>
      </c>
      <c r="L42" s="9" t="s">
        <v>149</v>
      </c>
      <c r="M42" s="9"/>
      <c r="N42" s="9" t="s">
        <v>150</v>
      </c>
    </row>
    <row r="43" spans="1:14" x14ac:dyDescent="0.35">
      <c r="A43" s="9" t="s">
        <v>279</v>
      </c>
      <c r="B43" s="9" t="s">
        <v>39</v>
      </c>
      <c r="C43" s="10">
        <v>2500</v>
      </c>
      <c r="D43" s="10">
        <v>2500</v>
      </c>
      <c r="E43" s="9" t="s">
        <v>37</v>
      </c>
      <c r="F43" s="9" t="s">
        <v>418</v>
      </c>
      <c r="G43" s="9"/>
      <c r="H43" s="165"/>
      <c r="I43" s="34"/>
      <c r="J43" s="127" t="s">
        <v>514</v>
      </c>
      <c r="K43" s="10">
        <v>2500</v>
      </c>
      <c r="L43" s="9" t="s">
        <v>283</v>
      </c>
      <c r="M43" s="9"/>
      <c r="N43" s="9" t="s">
        <v>284</v>
      </c>
    </row>
    <row r="44" spans="1:14" ht="29" x14ac:dyDescent="0.35">
      <c r="A44" s="9" t="s">
        <v>1055</v>
      </c>
      <c r="B44" s="9" t="s">
        <v>39</v>
      </c>
      <c r="C44" s="10">
        <v>2500</v>
      </c>
      <c r="D44" s="10">
        <v>2500</v>
      </c>
      <c r="E44" s="9" t="s">
        <v>37</v>
      </c>
      <c r="F44" s="9" t="s">
        <v>439</v>
      </c>
      <c r="G44" s="9" t="s">
        <v>1056</v>
      </c>
      <c r="H44" s="157" t="s">
        <v>27</v>
      </c>
      <c r="I44" s="34"/>
      <c r="J44" s="27" t="s">
        <v>73</v>
      </c>
      <c r="K44" s="27">
        <v>2500</v>
      </c>
      <c r="L44" s="27" t="s">
        <v>1057</v>
      </c>
      <c r="M44" s="27"/>
      <c r="N44" s="27" t="s">
        <v>1058</v>
      </c>
    </row>
    <row r="45" spans="1:14" x14ac:dyDescent="0.35">
      <c r="A45" s="9"/>
      <c r="B45" s="9" t="s">
        <v>39</v>
      </c>
      <c r="C45" s="10">
        <v>2500</v>
      </c>
      <c r="D45" s="10"/>
      <c r="E45" s="9"/>
      <c r="F45" s="9"/>
      <c r="G45" s="9"/>
      <c r="H45" s="165"/>
      <c r="I45" s="34"/>
      <c r="J45" s="127"/>
      <c r="K45" s="10"/>
      <c r="L45" s="9"/>
      <c r="M45" s="9"/>
      <c r="N45" s="9"/>
    </row>
    <row r="46" spans="1:14" x14ac:dyDescent="0.35">
      <c r="A46" s="9" t="s">
        <v>57</v>
      </c>
      <c r="B46" s="9" t="s">
        <v>109</v>
      </c>
      <c r="C46" s="10">
        <v>1000</v>
      </c>
      <c r="D46" s="10">
        <v>1500</v>
      </c>
      <c r="E46" s="9" t="s">
        <v>37</v>
      </c>
      <c r="F46" s="9" t="s">
        <v>58</v>
      </c>
      <c r="G46" s="9"/>
      <c r="H46" s="163" t="s">
        <v>27</v>
      </c>
      <c r="I46" s="34"/>
      <c r="J46" s="242">
        <v>45903</v>
      </c>
      <c r="K46" s="10">
        <v>1500</v>
      </c>
      <c r="L46" s="9" t="s">
        <v>60</v>
      </c>
      <c r="M46" s="9"/>
      <c r="N46" s="9" t="s">
        <v>61</v>
      </c>
    </row>
    <row r="47" spans="1:14" ht="29" x14ac:dyDescent="0.35">
      <c r="A47" s="9" t="s">
        <v>289</v>
      </c>
      <c r="B47" s="9" t="s">
        <v>109</v>
      </c>
      <c r="C47" s="10">
        <v>1000</v>
      </c>
      <c r="D47" s="10">
        <v>1000</v>
      </c>
      <c r="E47" s="9" t="s">
        <v>37</v>
      </c>
      <c r="F47" s="9" t="s">
        <v>115</v>
      </c>
      <c r="G47" s="9"/>
      <c r="H47" s="163" t="s">
        <v>27</v>
      </c>
      <c r="I47" s="34"/>
      <c r="J47" s="242">
        <v>45902</v>
      </c>
      <c r="K47" s="10">
        <v>1000</v>
      </c>
      <c r="L47" s="9" t="s">
        <v>1610</v>
      </c>
      <c r="M47" s="9"/>
      <c r="N47" s="9" t="s">
        <v>1611</v>
      </c>
    </row>
    <row r="48" spans="1:14" x14ac:dyDescent="0.35">
      <c r="A48" s="9" t="s">
        <v>457</v>
      </c>
      <c r="B48" s="9" t="s">
        <v>109</v>
      </c>
      <c r="C48" s="10">
        <v>1000</v>
      </c>
      <c r="D48" s="10">
        <v>1000</v>
      </c>
      <c r="E48" s="9" t="s">
        <v>37</v>
      </c>
      <c r="F48" s="9" t="s">
        <v>25</v>
      </c>
      <c r="G48" s="9"/>
      <c r="H48" s="163" t="s">
        <v>27</v>
      </c>
      <c r="I48" s="34"/>
      <c r="J48" s="127" t="s">
        <v>635</v>
      </c>
      <c r="K48" s="10">
        <v>1000</v>
      </c>
      <c r="L48" s="9" t="s">
        <v>459</v>
      </c>
      <c r="M48" s="9"/>
      <c r="N48" s="9" t="s">
        <v>460</v>
      </c>
    </row>
    <row r="49" spans="1:14" ht="29" x14ac:dyDescent="0.35">
      <c r="A49" s="9" t="s">
        <v>742</v>
      </c>
      <c r="B49" s="9" t="s">
        <v>109</v>
      </c>
      <c r="C49" s="10">
        <v>1000</v>
      </c>
      <c r="D49" s="10">
        <v>1000</v>
      </c>
      <c r="E49" s="9" t="s">
        <v>37</v>
      </c>
      <c r="F49" s="9" t="s">
        <v>418</v>
      </c>
      <c r="G49" s="9"/>
      <c r="H49" s="163" t="s">
        <v>27</v>
      </c>
      <c r="I49" s="34"/>
      <c r="J49" s="127" t="s">
        <v>522</v>
      </c>
      <c r="K49" s="10">
        <v>1000</v>
      </c>
      <c r="L49" s="9" t="s">
        <v>743</v>
      </c>
      <c r="M49" s="9"/>
      <c r="N49" s="9" t="s">
        <v>744</v>
      </c>
    </row>
    <row r="50" spans="1:14" x14ac:dyDescent="0.35">
      <c r="A50" s="9" t="s">
        <v>479</v>
      </c>
      <c r="B50" s="9" t="s">
        <v>109</v>
      </c>
      <c r="C50" s="10">
        <v>1000</v>
      </c>
      <c r="D50" s="10">
        <v>500</v>
      </c>
      <c r="E50" s="9" t="s">
        <v>96</v>
      </c>
      <c r="F50" s="9" t="s">
        <v>642</v>
      </c>
      <c r="G50" s="9" t="s">
        <v>1749</v>
      </c>
      <c r="H50" s="163"/>
      <c r="I50" s="34"/>
      <c r="J50" s="127"/>
      <c r="K50" s="10"/>
      <c r="L50" s="9" t="s">
        <v>910</v>
      </c>
      <c r="M50" s="9"/>
      <c r="N50" s="81" t="s">
        <v>911</v>
      </c>
    </row>
    <row r="51" spans="1:14" x14ac:dyDescent="0.35">
      <c r="A51" s="9" t="s">
        <v>1750</v>
      </c>
      <c r="B51" s="9" t="s">
        <v>109</v>
      </c>
      <c r="C51" s="10">
        <v>1000</v>
      </c>
      <c r="D51" s="10">
        <v>0</v>
      </c>
      <c r="E51" s="9"/>
      <c r="F51" s="9"/>
      <c r="G51" s="9"/>
      <c r="H51" s="165"/>
      <c r="I51" s="34"/>
      <c r="J51" s="127"/>
      <c r="K51" s="10"/>
      <c r="L51" s="9"/>
      <c r="M51" s="9"/>
      <c r="N51" s="9"/>
    </row>
    <row r="52" spans="1:14" x14ac:dyDescent="0.35">
      <c r="A52" s="85" t="s">
        <v>1751</v>
      </c>
      <c r="B52" s="85"/>
      <c r="C52" s="85"/>
      <c r="D52" s="85"/>
      <c r="E52" s="85"/>
      <c r="F52" s="85"/>
      <c r="G52" s="85"/>
      <c r="H52" s="85"/>
      <c r="I52" s="174"/>
      <c r="J52" s="85"/>
      <c r="K52" s="129"/>
      <c r="L52" s="85"/>
      <c r="M52" s="85"/>
      <c r="N52" s="85"/>
    </row>
    <row r="53" spans="1:14" x14ac:dyDescent="0.35">
      <c r="A53" s="9" t="s">
        <v>48</v>
      </c>
      <c r="B53" s="9" t="s">
        <v>23</v>
      </c>
      <c r="C53" s="10">
        <v>15000</v>
      </c>
      <c r="D53" s="10">
        <v>2500</v>
      </c>
      <c r="E53" s="9" t="s">
        <v>24</v>
      </c>
      <c r="F53" s="9" t="s">
        <v>64</v>
      </c>
      <c r="G53" s="9"/>
      <c r="H53" s="165"/>
      <c r="I53" s="34"/>
      <c r="J53" s="242">
        <v>45961</v>
      </c>
      <c r="K53" s="10">
        <v>2500</v>
      </c>
      <c r="L53" s="9" t="s">
        <v>66</v>
      </c>
      <c r="M53" s="9"/>
      <c r="N53" s="9" t="s">
        <v>67</v>
      </c>
    </row>
    <row r="54" spans="1:14" ht="58" x14ac:dyDescent="0.35">
      <c r="A54" s="9" t="s">
        <v>204</v>
      </c>
      <c r="B54" s="9" t="s">
        <v>23</v>
      </c>
      <c r="C54" s="10">
        <v>15000</v>
      </c>
      <c r="D54" s="10">
        <v>3750</v>
      </c>
      <c r="E54" s="9" t="s">
        <v>24</v>
      </c>
      <c r="F54" s="9" t="s">
        <v>206</v>
      </c>
      <c r="G54" s="9" t="s">
        <v>1748</v>
      </c>
      <c r="H54" s="165"/>
      <c r="I54" s="34"/>
      <c r="J54" s="242">
        <v>45870</v>
      </c>
      <c r="K54" s="10">
        <v>3750</v>
      </c>
      <c r="L54" s="9" t="s">
        <v>209</v>
      </c>
      <c r="M54" s="125" t="s">
        <v>210</v>
      </c>
      <c r="N54" s="9" t="s">
        <v>211</v>
      </c>
    </row>
    <row r="55" spans="1:14" ht="29" x14ac:dyDescent="0.35">
      <c r="A55" s="9" t="s">
        <v>289</v>
      </c>
      <c r="B55" s="9" t="s">
        <v>32</v>
      </c>
      <c r="C55" s="10">
        <v>5000</v>
      </c>
      <c r="D55" s="10">
        <v>4000</v>
      </c>
      <c r="E55" s="9" t="s">
        <v>37</v>
      </c>
      <c r="F55" s="9" t="s">
        <v>148</v>
      </c>
      <c r="G55" s="9" t="s">
        <v>1752</v>
      </c>
      <c r="H55" s="163" t="s">
        <v>27</v>
      </c>
      <c r="I55" s="34"/>
      <c r="J55" s="127"/>
      <c r="K55" s="10"/>
      <c r="L55" s="9" t="s">
        <v>1610</v>
      </c>
      <c r="M55" s="9"/>
      <c r="N55" s="9" t="s">
        <v>1611</v>
      </c>
    </row>
    <row r="56" spans="1:14" x14ac:dyDescent="0.35">
      <c r="A56" s="9"/>
      <c r="B56" s="9" t="s">
        <v>32</v>
      </c>
      <c r="C56" s="10">
        <v>5000</v>
      </c>
      <c r="D56" s="10"/>
      <c r="E56" s="9"/>
      <c r="F56" s="9"/>
      <c r="G56" s="9"/>
      <c r="H56" s="165"/>
      <c r="I56" s="34"/>
      <c r="J56" s="127"/>
      <c r="K56" s="10"/>
      <c r="L56" s="9"/>
      <c r="M56" s="9"/>
      <c r="N56" s="9"/>
    </row>
    <row r="57" spans="1:14" x14ac:dyDescent="0.35">
      <c r="A57" s="9"/>
      <c r="B57" s="9" t="s">
        <v>32</v>
      </c>
      <c r="C57" s="10">
        <v>5000</v>
      </c>
      <c r="D57" s="10"/>
      <c r="E57" s="9"/>
      <c r="F57" s="9"/>
      <c r="G57" s="9"/>
      <c r="H57" s="165"/>
      <c r="I57" s="34"/>
      <c r="J57" s="127"/>
      <c r="K57" s="10"/>
      <c r="L57" s="9"/>
      <c r="M57" s="9"/>
      <c r="N57" s="9"/>
    </row>
    <row r="58" spans="1:14" x14ac:dyDescent="0.35">
      <c r="A58" s="9"/>
      <c r="B58" s="9" t="s">
        <v>32</v>
      </c>
      <c r="C58" s="10">
        <v>5000</v>
      </c>
      <c r="D58" s="10"/>
      <c r="E58" s="9"/>
      <c r="F58" s="9"/>
      <c r="G58" s="9"/>
      <c r="H58" s="165"/>
      <c r="I58" s="34"/>
      <c r="J58" s="127"/>
      <c r="K58" s="10"/>
      <c r="L58" s="9"/>
      <c r="M58" s="9"/>
      <c r="N58" s="9"/>
    </row>
    <row r="59" spans="1:14" x14ac:dyDescent="0.35">
      <c r="A59" s="9"/>
      <c r="B59" s="9" t="s">
        <v>1742</v>
      </c>
      <c r="C59" s="10">
        <v>7500</v>
      </c>
      <c r="D59" s="10"/>
      <c r="E59" s="9"/>
      <c r="F59" s="9"/>
      <c r="G59" s="9"/>
      <c r="H59" s="165"/>
      <c r="I59" s="34"/>
      <c r="J59" s="127"/>
      <c r="K59" s="10"/>
      <c r="L59" s="9"/>
      <c r="M59" s="9"/>
      <c r="N59" s="9"/>
    </row>
    <row r="60" spans="1:14" ht="29" x14ac:dyDescent="0.35">
      <c r="A60" s="9" t="s">
        <v>40</v>
      </c>
      <c r="B60" s="9" t="s">
        <v>188</v>
      </c>
      <c r="C60" s="10">
        <v>7500</v>
      </c>
      <c r="D60" s="10">
        <v>1875</v>
      </c>
      <c r="E60" s="9" t="s">
        <v>37</v>
      </c>
      <c r="F60" s="9" t="s">
        <v>42</v>
      </c>
      <c r="G60" s="9" t="s">
        <v>1743</v>
      </c>
      <c r="H60" s="163" t="s">
        <v>27</v>
      </c>
      <c r="I60" s="34"/>
      <c r="J60" s="127" t="s">
        <v>44</v>
      </c>
      <c r="K60" s="10">
        <v>1875</v>
      </c>
      <c r="L60" s="9" t="s">
        <v>45</v>
      </c>
      <c r="M60" s="9"/>
      <c r="N60" s="9" t="s">
        <v>46</v>
      </c>
    </row>
    <row r="61" spans="1:14" x14ac:dyDescent="0.35">
      <c r="A61" s="9" t="s">
        <v>52</v>
      </c>
      <c r="B61" s="9" t="s">
        <v>39</v>
      </c>
      <c r="C61" s="10">
        <v>2500</v>
      </c>
      <c r="D61" s="10">
        <v>625</v>
      </c>
      <c r="E61" s="9" t="s">
        <v>37</v>
      </c>
      <c r="F61" s="9" t="s">
        <v>53</v>
      </c>
      <c r="G61" s="9"/>
      <c r="H61" s="173" t="s">
        <v>27</v>
      </c>
      <c r="I61" s="34"/>
      <c r="J61" s="254">
        <v>45908</v>
      </c>
      <c r="K61" s="35">
        <v>572.5</v>
      </c>
      <c r="L61" s="34" t="s">
        <v>54</v>
      </c>
      <c r="M61" s="34"/>
      <c r="N61" s="34" t="s">
        <v>55</v>
      </c>
    </row>
    <row r="62" spans="1:14" x14ac:dyDescent="0.35">
      <c r="A62" s="9" t="s">
        <v>279</v>
      </c>
      <c r="B62" s="9" t="s">
        <v>39</v>
      </c>
      <c r="C62" s="10">
        <v>2500</v>
      </c>
      <c r="D62" s="10">
        <v>2500</v>
      </c>
      <c r="E62" s="9" t="s">
        <v>37</v>
      </c>
      <c r="F62" s="9" t="s">
        <v>418</v>
      </c>
      <c r="G62" s="9"/>
      <c r="H62" s="165"/>
      <c r="I62" s="34"/>
      <c r="J62" s="127" t="s">
        <v>34</v>
      </c>
      <c r="K62" s="10">
        <v>2500</v>
      </c>
      <c r="L62" s="9" t="s">
        <v>283</v>
      </c>
      <c r="M62" s="9"/>
      <c r="N62" s="9" t="s">
        <v>284</v>
      </c>
    </row>
    <row r="63" spans="1:14" x14ac:dyDescent="0.35">
      <c r="A63" s="9" t="s">
        <v>1753</v>
      </c>
      <c r="B63" s="9" t="s">
        <v>39</v>
      </c>
      <c r="C63" s="10">
        <v>2500</v>
      </c>
      <c r="D63" s="10">
        <v>2500</v>
      </c>
      <c r="E63" s="9" t="s">
        <v>37</v>
      </c>
      <c r="F63" s="9" t="s">
        <v>1051</v>
      </c>
      <c r="G63" s="9"/>
      <c r="H63" s="165"/>
      <c r="I63" s="34"/>
      <c r="J63" s="127" t="s">
        <v>717</v>
      </c>
      <c r="K63" s="10">
        <v>2500</v>
      </c>
      <c r="L63" s="9" t="s">
        <v>1259</v>
      </c>
      <c r="M63" s="9"/>
      <c r="N63" s="81" t="s">
        <v>1754</v>
      </c>
    </row>
    <row r="64" spans="1:14" x14ac:dyDescent="0.35">
      <c r="A64" s="9"/>
      <c r="B64" s="9" t="s">
        <v>39</v>
      </c>
      <c r="C64" s="10">
        <v>2500</v>
      </c>
      <c r="D64" s="10"/>
      <c r="E64" s="9"/>
      <c r="F64" s="9"/>
      <c r="G64" s="9"/>
      <c r="H64" s="165"/>
      <c r="I64" s="34"/>
      <c r="J64" s="127"/>
      <c r="K64" s="10"/>
      <c r="L64" s="9"/>
      <c r="M64" s="9"/>
      <c r="N64" s="9"/>
    </row>
    <row r="65" spans="1:14" x14ac:dyDescent="0.35">
      <c r="A65" s="9"/>
      <c r="B65" s="9" t="s">
        <v>39</v>
      </c>
      <c r="C65" s="10">
        <v>2500</v>
      </c>
      <c r="D65" s="10"/>
      <c r="E65" s="9"/>
      <c r="F65" s="9"/>
      <c r="G65" s="9"/>
      <c r="H65" s="165"/>
      <c r="I65" s="34"/>
      <c r="J65" s="127"/>
      <c r="K65" s="10"/>
      <c r="L65" s="9"/>
      <c r="M65" s="9"/>
      <c r="N65" s="9"/>
    </row>
    <row r="66" spans="1:14" x14ac:dyDescent="0.35">
      <c r="A66" s="9"/>
      <c r="B66" s="9" t="s">
        <v>39</v>
      </c>
      <c r="C66" s="10">
        <v>2500</v>
      </c>
      <c r="D66" s="10"/>
      <c r="E66" s="9"/>
      <c r="F66" s="9"/>
      <c r="G66" s="9"/>
      <c r="H66" s="165"/>
      <c r="I66" s="34"/>
      <c r="J66" s="127"/>
      <c r="K66" s="10"/>
      <c r="L66" s="9"/>
      <c r="M66" s="9"/>
      <c r="N66" s="9"/>
    </row>
    <row r="67" spans="1:14" x14ac:dyDescent="0.35">
      <c r="A67" s="9" t="s">
        <v>1755</v>
      </c>
      <c r="B67" s="9" t="s">
        <v>109</v>
      </c>
      <c r="C67" s="10">
        <v>1000</v>
      </c>
      <c r="D67" s="10">
        <v>1000</v>
      </c>
      <c r="E67" s="9" t="s">
        <v>37</v>
      </c>
      <c r="F67" s="9" t="s">
        <v>88</v>
      </c>
      <c r="G67" s="9"/>
      <c r="H67" s="165"/>
      <c r="I67" s="34"/>
      <c r="J67" s="127" t="s">
        <v>439</v>
      </c>
      <c r="K67" s="10">
        <v>1000</v>
      </c>
      <c r="L67" s="9" t="s">
        <v>1756</v>
      </c>
      <c r="M67" s="9"/>
      <c r="N67" s="81" t="s">
        <v>1757</v>
      </c>
    </row>
    <row r="68" spans="1:14" ht="43.5" x14ac:dyDescent="0.35">
      <c r="A68" s="9" t="s">
        <v>1758</v>
      </c>
      <c r="B68" s="9" t="s">
        <v>109</v>
      </c>
      <c r="C68" s="10">
        <v>1000</v>
      </c>
      <c r="D68" s="10">
        <v>0</v>
      </c>
      <c r="E68" s="9"/>
      <c r="F68" s="9"/>
      <c r="G68" s="9"/>
      <c r="H68" s="165"/>
      <c r="I68" s="34"/>
      <c r="J68" s="127"/>
      <c r="K68" s="10"/>
      <c r="L68" s="9" t="s">
        <v>1746</v>
      </c>
      <c r="M68" s="9"/>
      <c r="N68" s="87" t="s">
        <v>690</v>
      </c>
    </row>
    <row r="69" spans="1:14" x14ac:dyDescent="0.35">
      <c r="A69" s="9"/>
      <c r="B69" s="9" t="s">
        <v>109</v>
      </c>
      <c r="C69" s="10">
        <v>1000</v>
      </c>
      <c r="D69" s="10"/>
      <c r="E69" s="9"/>
      <c r="F69" s="9"/>
      <c r="G69" s="9"/>
      <c r="H69" s="165"/>
      <c r="I69" s="34"/>
      <c r="J69" s="127"/>
      <c r="K69" s="10"/>
      <c r="L69" s="9"/>
      <c r="M69" s="9"/>
      <c r="N69" s="9"/>
    </row>
    <row r="70" spans="1:14" x14ac:dyDescent="0.35">
      <c r="A70" s="9"/>
      <c r="B70" s="9" t="s">
        <v>109</v>
      </c>
      <c r="C70" s="10">
        <v>1000</v>
      </c>
      <c r="D70" s="10"/>
      <c r="E70" s="9"/>
      <c r="F70" s="9"/>
      <c r="G70" s="9"/>
      <c r="H70" s="165"/>
      <c r="I70" s="34"/>
      <c r="J70" s="127"/>
      <c r="K70" s="10"/>
      <c r="L70" s="9"/>
      <c r="M70" s="9"/>
      <c r="N70" s="9"/>
    </row>
    <row r="71" spans="1:14" x14ac:dyDescent="0.35">
      <c r="I71" s="34"/>
      <c r="K71" s="21"/>
    </row>
    <row r="72" spans="1:14" x14ac:dyDescent="0.35">
      <c r="A72" s="85" t="s">
        <v>1759</v>
      </c>
      <c r="B72" s="85"/>
      <c r="C72" s="85"/>
      <c r="D72" s="85"/>
      <c r="E72" s="85"/>
      <c r="F72" s="85"/>
      <c r="G72" s="85"/>
      <c r="H72" s="85"/>
      <c r="I72" s="174"/>
      <c r="J72" s="85"/>
      <c r="K72" s="129"/>
      <c r="L72" s="85"/>
      <c r="M72" s="85"/>
      <c r="N72" s="85"/>
    </row>
    <row r="73" spans="1:14" x14ac:dyDescent="0.35">
      <c r="A73" s="9" t="s">
        <v>48</v>
      </c>
      <c r="B73" s="9" t="s">
        <v>23</v>
      </c>
      <c r="C73" s="10">
        <v>15000</v>
      </c>
      <c r="D73" s="10">
        <v>2500</v>
      </c>
      <c r="E73" s="9" t="s">
        <v>24</v>
      </c>
      <c r="F73" s="9" t="s">
        <v>64</v>
      </c>
      <c r="G73" s="9"/>
      <c r="H73" s="165"/>
      <c r="I73" s="34"/>
      <c r="J73" s="127"/>
      <c r="K73" s="10"/>
      <c r="L73" s="9" t="s">
        <v>66</v>
      </c>
      <c r="M73" s="9"/>
      <c r="N73" s="9" t="s">
        <v>67</v>
      </c>
    </row>
    <row r="74" spans="1:14" ht="58" x14ac:dyDescent="0.35">
      <c r="A74" s="9" t="s">
        <v>204</v>
      </c>
      <c r="B74" s="9" t="s">
        <v>23</v>
      </c>
      <c r="C74" s="10">
        <v>15000</v>
      </c>
      <c r="D74" s="10">
        <v>3750</v>
      </c>
      <c r="E74" s="9" t="s">
        <v>24</v>
      </c>
      <c r="F74" s="9" t="s">
        <v>206</v>
      </c>
      <c r="G74" s="9" t="s">
        <v>1748</v>
      </c>
      <c r="H74" s="165"/>
      <c r="I74" s="34"/>
      <c r="J74" s="127"/>
      <c r="K74" s="10"/>
      <c r="L74" s="9" t="s">
        <v>209</v>
      </c>
      <c r="M74" s="125" t="s">
        <v>210</v>
      </c>
      <c r="N74" s="9" t="s">
        <v>211</v>
      </c>
    </row>
    <row r="75" spans="1:14" x14ac:dyDescent="0.35">
      <c r="A75" s="9"/>
      <c r="B75" s="9" t="s">
        <v>32</v>
      </c>
      <c r="C75" s="10">
        <v>5000</v>
      </c>
      <c r="D75" s="10"/>
      <c r="E75" s="9"/>
      <c r="F75" s="9"/>
      <c r="G75" s="9"/>
      <c r="H75" s="165"/>
      <c r="I75" s="34"/>
      <c r="J75" s="127"/>
      <c r="K75" s="10"/>
      <c r="L75" s="9"/>
      <c r="M75" s="9"/>
      <c r="N75" s="9"/>
    </row>
    <row r="76" spans="1:14" x14ac:dyDescent="0.35">
      <c r="A76" s="9"/>
      <c r="B76" s="9" t="s">
        <v>32</v>
      </c>
      <c r="C76" s="10">
        <v>5000</v>
      </c>
      <c r="D76" s="10"/>
      <c r="E76" s="9"/>
      <c r="F76" s="9"/>
      <c r="G76" s="9"/>
      <c r="H76" s="165"/>
      <c r="I76" s="34"/>
      <c r="J76" s="127"/>
      <c r="K76" s="10"/>
      <c r="L76" s="9"/>
      <c r="M76" s="9"/>
      <c r="N76" s="9"/>
    </row>
    <row r="77" spans="1:14" x14ac:dyDescent="0.35">
      <c r="A77" s="9"/>
      <c r="B77" s="9" t="s">
        <v>32</v>
      </c>
      <c r="C77" s="10">
        <v>5000</v>
      </c>
      <c r="D77" s="10"/>
      <c r="E77" s="9"/>
      <c r="F77" s="9"/>
      <c r="G77" s="9"/>
      <c r="H77" s="165"/>
      <c r="I77" s="34"/>
      <c r="J77" s="127"/>
      <c r="K77" s="10"/>
      <c r="L77" s="9"/>
      <c r="M77" s="9"/>
      <c r="N77" s="9"/>
    </row>
    <row r="78" spans="1:14" x14ac:dyDescent="0.35">
      <c r="A78" s="9"/>
      <c r="B78" s="9" t="s">
        <v>32</v>
      </c>
      <c r="C78" s="10">
        <v>5000</v>
      </c>
      <c r="D78" s="10"/>
      <c r="E78" s="9"/>
      <c r="F78" s="9"/>
      <c r="G78" s="9"/>
      <c r="H78" s="165"/>
      <c r="I78" s="34"/>
      <c r="J78" s="127"/>
      <c r="K78" s="10"/>
      <c r="L78" s="9"/>
      <c r="M78" s="9"/>
      <c r="N78" s="9"/>
    </row>
    <row r="79" spans="1:14" x14ac:dyDescent="0.35">
      <c r="A79" s="9"/>
      <c r="B79" s="9" t="s">
        <v>1742</v>
      </c>
      <c r="C79" s="10">
        <v>7500</v>
      </c>
      <c r="D79" s="10"/>
      <c r="E79" s="9"/>
      <c r="F79" s="9"/>
      <c r="G79" s="9"/>
      <c r="H79" s="165"/>
      <c r="I79" s="34"/>
      <c r="J79" s="127"/>
      <c r="K79" s="10"/>
      <c r="L79" s="9"/>
      <c r="M79" s="9"/>
      <c r="N79" s="9"/>
    </row>
    <row r="80" spans="1:14" ht="29" x14ac:dyDescent="0.35">
      <c r="A80" s="9" t="s">
        <v>40</v>
      </c>
      <c r="B80" s="9" t="s">
        <v>188</v>
      </c>
      <c r="C80" s="10">
        <v>7500</v>
      </c>
      <c r="D80" s="10">
        <v>1875</v>
      </c>
      <c r="E80" s="9" t="s">
        <v>37</v>
      </c>
      <c r="F80" s="9" t="s">
        <v>42</v>
      </c>
      <c r="G80" s="9" t="s">
        <v>1743</v>
      </c>
      <c r="H80" s="163" t="s">
        <v>27</v>
      </c>
      <c r="I80" s="34"/>
      <c r="J80" s="127" t="s">
        <v>44</v>
      </c>
      <c r="K80" s="10">
        <v>1875</v>
      </c>
      <c r="L80" s="9" t="s">
        <v>45</v>
      </c>
      <c r="M80" s="9"/>
      <c r="N80" s="9" t="s">
        <v>46</v>
      </c>
    </row>
    <row r="81" spans="1:14" x14ac:dyDescent="0.35">
      <c r="A81" s="9" t="s">
        <v>146</v>
      </c>
      <c r="B81" s="9" t="s">
        <v>39</v>
      </c>
      <c r="C81" s="10">
        <v>2500</v>
      </c>
      <c r="D81" s="10">
        <v>2500</v>
      </c>
      <c r="E81" s="9" t="s">
        <v>37</v>
      </c>
      <c r="F81" s="9" t="s">
        <v>147</v>
      </c>
      <c r="G81" s="9"/>
      <c r="H81" s="165"/>
      <c r="I81" s="34"/>
      <c r="J81" s="127"/>
      <c r="K81" s="10"/>
      <c r="L81" s="9" t="s">
        <v>149</v>
      </c>
      <c r="M81" s="9"/>
      <c r="N81" s="9" t="s">
        <v>150</v>
      </c>
    </row>
    <row r="82" spans="1:14" x14ac:dyDescent="0.35">
      <c r="A82" s="9" t="s">
        <v>52</v>
      </c>
      <c r="B82" s="9" t="s">
        <v>39</v>
      </c>
      <c r="C82" s="10">
        <v>2500</v>
      </c>
      <c r="D82" s="10">
        <v>625</v>
      </c>
      <c r="E82" s="9" t="s">
        <v>37</v>
      </c>
      <c r="F82" s="9" t="s">
        <v>53</v>
      </c>
      <c r="G82" s="9"/>
      <c r="H82" s="173" t="s">
        <v>27</v>
      </c>
      <c r="I82" s="34"/>
      <c r="J82" s="254"/>
      <c r="K82" s="35"/>
      <c r="L82" s="34" t="s">
        <v>54</v>
      </c>
      <c r="M82" s="34"/>
      <c r="N82" s="34" t="s">
        <v>55</v>
      </c>
    </row>
    <row r="83" spans="1:14" ht="29" x14ac:dyDescent="0.35">
      <c r="A83" s="9" t="s">
        <v>329</v>
      </c>
      <c r="B83" s="9" t="s">
        <v>39</v>
      </c>
      <c r="C83" s="10">
        <v>2500</v>
      </c>
      <c r="D83" s="10">
        <v>2500</v>
      </c>
      <c r="E83" s="9" t="s">
        <v>96</v>
      </c>
      <c r="F83" s="9" t="s">
        <v>353</v>
      </c>
      <c r="G83" s="9"/>
      <c r="H83" s="163" t="s">
        <v>27</v>
      </c>
      <c r="I83" s="34"/>
      <c r="J83" s="127" t="s">
        <v>143</v>
      </c>
      <c r="K83" s="10">
        <v>2500</v>
      </c>
      <c r="L83" s="9" t="s">
        <v>371</v>
      </c>
      <c r="M83" s="9"/>
      <c r="N83" s="87" t="s">
        <v>372</v>
      </c>
    </row>
    <row r="84" spans="1:14" x14ac:dyDescent="0.35">
      <c r="A84" s="9"/>
      <c r="B84" s="9" t="s">
        <v>39</v>
      </c>
      <c r="C84" s="10">
        <v>2500</v>
      </c>
      <c r="D84" s="10"/>
      <c r="E84" s="9"/>
      <c r="F84" s="9"/>
      <c r="G84" s="9"/>
      <c r="H84" s="165"/>
      <c r="I84" s="34"/>
      <c r="J84" s="127"/>
      <c r="K84" s="10"/>
      <c r="L84" s="9"/>
      <c r="M84" s="9"/>
      <c r="N84" s="9"/>
    </row>
    <row r="85" spans="1:14" x14ac:dyDescent="0.35">
      <c r="A85" s="9"/>
      <c r="B85" s="9" t="s">
        <v>39</v>
      </c>
      <c r="C85" s="10">
        <v>2500</v>
      </c>
      <c r="D85" s="10"/>
      <c r="E85" s="9"/>
      <c r="F85" s="9"/>
      <c r="G85" s="9"/>
      <c r="H85" s="165"/>
      <c r="I85" s="34"/>
      <c r="J85" s="127"/>
      <c r="K85" s="10"/>
      <c r="L85" s="9"/>
      <c r="M85" s="9"/>
      <c r="N85" s="9"/>
    </row>
    <row r="86" spans="1:14" x14ac:dyDescent="0.35">
      <c r="A86" s="9"/>
      <c r="B86" s="9" t="s">
        <v>39</v>
      </c>
      <c r="C86" s="10">
        <v>2500</v>
      </c>
      <c r="D86" s="10"/>
      <c r="E86" s="9"/>
      <c r="F86" s="9"/>
      <c r="G86" s="9"/>
      <c r="H86" s="165"/>
      <c r="I86" s="34"/>
      <c r="J86" s="127"/>
      <c r="K86" s="10"/>
      <c r="L86" s="9"/>
      <c r="M86" s="9"/>
      <c r="N86" s="9"/>
    </row>
    <row r="87" spans="1:14" x14ac:dyDescent="0.35">
      <c r="A87" s="9" t="s">
        <v>232</v>
      </c>
      <c r="B87" s="9" t="s">
        <v>109</v>
      </c>
      <c r="C87" s="10">
        <v>1000</v>
      </c>
      <c r="D87" s="10">
        <v>1000</v>
      </c>
      <c r="E87" s="9" t="s">
        <v>37</v>
      </c>
      <c r="F87" s="9" t="s">
        <v>42</v>
      </c>
      <c r="G87" s="9"/>
      <c r="H87" s="165"/>
      <c r="I87" s="34"/>
      <c r="J87" s="127"/>
      <c r="K87" s="10"/>
      <c r="L87" s="9" t="s">
        <v>233</v>
      </c>
      <c r="M87" s="9"/>
      <c r="N87" s="9" t="s">
        <v>234</v>
      </c>
    </row>
    <row r="88" spans="1:14" x14ac:dyDescent="0.35">
      <c r="A88" s="9" t="s">
        <v>457</v>
      </c>
      <c r="B88" s="9" t="s">
        <v>109</v>
      </c>
      <c r="C88" s="10">
        <v>1000</v>
      </c>
      <c r="D88" s="10">
        <v>1000</v>
      </c>
      <c r="E88" s="9" t="s">
        <v>37</v>
      </c>
      <c r="F88" s="9" t="s">
        <v>25</v>
      </c>
      <c r="G88" s="9"/>
      <c r="H88" s="163" t="s">
        <v>27</v>
      </c>
      <c r="I88" s="34"/>
      <c r="J88" s="242">
        <v>45999</v>
      </c>
      <c r="K88" s="9">
        <v>100</v>
      </c>
      <c r="L88" s="9" t="s">
        <v>459</v>
      </c>
      <c r="M88" s="9"/>
      <c r="N88" s="9" t="s">
        <v>460</v>
      </c>
    </row>
    <row r="89" spans="1:14" x14ac:dyDescent="0.35">
      <c r="A89" s="9"/>
      <c r="B89" s="9" t="s">
        <v>109</v>
      </c>
      <c r="C89" s="10">
        <v>1000</v>
      </c>
      <c r="D89" s="10"/>
      <c r="E89" s="9"/>
      <c r="F89" s="9"/>
      <c r="G89" s="9"/>
      <c r="H89" s="165"/>
      <c r="I89" s="34"/>
      <c r="J89" s="127"/>
      <c r="K89" s="10"/>
      <c r="L89" s="9"/>
      <c r="M89" s="9"/>
      <c r="N89" s="9"/>
    </row>
    <row r="90" spans="1:14" x14ac:dyDescent="0.35">
      <c r="A90" s="9"/>
      <c r="B90" s="9" t="s">
        <v>109</v>
      </c>
      <c r="C90" s="10">
        <v>1000</v>
      </c>
      <c r="D90" s="10"/>
      <c r="E90" s="9"/>
      <c r="F90" s="9"/>
      <c r="G90" s="9"/>
      <c r="H90" s="165"/>
      <c r="I90" s="34"/>
      <c r="J90" s="127"/>
      <c r="K90" s="10"/>
      <c r="L90" s="9"/>
      <c r="M90" s="9"/>
      <c r="N90" s="9"/>
    </row>
    <row r="92" spans="1:14" x14ac:dyDescent="0.35">
      <c r="K92" s="29">
        <f>SUM(K9:K90)</f>
        <v>57422.5</v>
      </c>
    </row>
    <row r="301" spans="5:5" x14ac:dyDescent="0.35">
      <c r="E301" s="5" t="s">
        <v>47</v>
      </c>
    </row>
    <row r="302" spans="5:5" x14ac:dyDescent="0.35">
      <c r="E302" s="5" t="s">
        <v>37</v>
      </c>
    </row>
    <row r="303" spans="5:5" x14ac:dyDescent="0.35">
      <c r="E303" s="5" t="s">
        <v>24</v>
      </c>
    </row>
    <row r="304" spans="5:5" x14ac:dyDescent="0.35">
      <c r="E304" s="5" t="s">
        <v>62</v>
      </c>
    </row>
    <row r="305" spans="5:5" x14ac:dyDescent="0.35">
      <c r="E305" s="5" t="s">
        <v>56</v>
      </c>
    </row>
    <row r="306" spans="5:5" x14ac:dyDescent="0.35">
      <c r="E306" s="5" t="s">
        <v>50</v>
      </c>
    </row>
    <row r="307" spans="5:5" x14ac:dyDescent="0.35">
      <c r="E307" s="5" t="s">
        <v>91</v>
      </c>
    </row>
    <row r="308" spans="5:5" x14ac:dyDescent="0.35">
      <c r="E308" s="5" t="s">
        <v>90</v>
      </c>
    </row>
    <row r="309" spans="5:5" x14ac:dyDescent="0.35">
      <c r="E309" s="5" t="s">
        <v>86</v>
      </c>
    </row>
    <row r="310" spans="5:5" x14ac:dyDescent="0.35">
      <c r="E310" s="5" t="s">
        <v>81</v>
      </c>
    </row>
    <row r="311" spans="5:5" x14ac:dyDescent="0.35">
      <c r="E311" s="5" t="s">
        <v>76</v>
      </c>
    </row>
    <row r="312" spans="5:5" x14ac:dyDescent="0.35">
      <c r="E312" s="5" t="s">
        <v>68</v>
      </c>
    </row>
    <row r="313" spans="5:5" x14ac:dyDescent="0.35">
      <c r="E313" s="5" t="s">
        <v>94</v>
      </c>
    </row>
    <row r="314" spans="5:5" x14ac:dyDescent="0.35">
      <c r="E314" s="5" t="s">
        <v>93</v>
      </c>
    </row>
    <row r="315" spans="5:5" x14ac:dyDescent="0.35">
      <c r="E315" s="5" t="s">
        <v>92</v>
      </c>
    </row>
    <row r="316" spans="5:5" x14ac:dyDescent="0.35">
      <c r="E316" s="5" t="s">
        <v>97</v>
      </c>
    </row>
    <row r="317" spans="5:5" x14ac:dyDescent="0.35">
      <c r="E317" s="5" t="s">
        <v>96</v>
      </c>
    </row>
    <row r="318" spans="5:5" x14ac:dyDescent="0.35">
      <c r="E318" s="5" t="s">
        <v>95</v>
      </c>
    </row>
  </sheetData>
  <hyperlinks>
    <hyperlink ref="N11" r:id="rId2" xr:uid="{3836E553-A843-4B47-B110-1E8EC0685600}"/>
    <hyperlink ref="N83" r:id="rId3" display="mailto:twhite@hsaconsultants.com" xr:uid="{89CFA4F2-0D49-403C-9E06-F507F15A1226}"/>
    <hyperlink ref="N67" r:id="rId4" display="mailto:gcronkhite@ticold.com" xr:uid="{6CEBBC9F-7968-4F67-99F5-C2B9B03BD0C7}"/>
    <hyperlink ref="N63" r:id="rId5" display="mailto:DSchwartz@my100bank.com" xr:uid="{C0033D40-AF35-4459-9582-0A6D8C988892}"/>
    <hyperlink ref="N50" r:id="rId6" display="mailto:Brandon@ciseandys.com" xr:uid="{DAAEB162-C5E6-4941-A78F-E2E1BEBECD50}"/>
    <hyperlink ref="N68" r:id="rId7" display="jbasey@marketplacegrill.com" xr:uid="{4C2B51DB-27AC-4CED-83C8-5637431DE2B1}"/>
    <hyperlink ref="N27" r:id="rId8" display="jbasey@marketplacegrill.com" xr:uid="{E3EFE150-11D9-4FF0-A419-D36B966A8774}"/>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82BDB-5A5C-4968-8874-9C62EE31D414}">
  <dimension ref="A1:V317"/>
  <sheetViews>
    <sheetView workbookViewId="0">
      <pane ySplit="8" topLeftCell="A9" activePane="bottomLeft" state="frozen"/>
      <selection pane="bottomLeft" activeCell="K25" sqref="K25"/>
    </sheetView>
  </sheetViews>
  <sheetFormatPr defaultColWidth="9.1796875" defaultRowHeight="14.5" x14ac:dyDescent="0.35"/>
  <cols>
    <col min="1" max="1" width="29.7265625" style="5" bestFit="1" customWidth="1"/>
    <col min="2" max="2" width="24.54296875" style="5" bestFit="1" customWidth="1"/>
    <col min="3" max="3" width="13.1796875" style="5" customWidth="1"/>
    <col min="4" max="4" width="15.81640625" style="5" bestFit="1" customWidth="1"/>
    <col min="5" max="5" width="8.7265625" style="5" bestFit="1" customWidth="1"/>
    <col min="6" max="6" width="11.1796875" style="5" bestFit="1" customWidth="1"/>
    <col min="7" max="7" width="51.81640625" style="5" customWidth="1"/>
    <col min="8" max="8" width="16.26953125" style="5" bestFit="1" customWidth="1"/>
    <col min="9" max="9" width="13.26953125" style="5" customWidth="1"/>
    <col min="10" max="10" width="10.26953125" style="5" bestFit="1" customWidth="1"/>
    <col min="11" max="11" width="14.453125" style="5" bestFit="1" customWidth="1"/>
    <col min="12" max="12" width="27.453125" style="5" customWidth="1"/>
    <col min="13" max="13" width="7.54296875" style="5" bestFit="1" customWidth="1"/>
    <col min="14" max="14" width="36.81640625" style="5" bestFit="1" customWidth="1"/>
    <col min="15" max="15" width="9.1796875" style="5"/>
    <col min="16" max="16" width="11" style="5" bestFit="1" customWidth="1"/>
    <col min="17" max="17" width="10.1796875" style="5" bestFit="1" customWidth="1"/>
    <col min="18" max="18" width="9.1796875" style="5"/>
    <col min="19" max="19" width="53.81640625" style="5" bestFit="1" customWidth="1"/>
    <col min="20" max="20" width="14.453125" style="5" bestFit="1" customWidth="1"/>
    <col min="21" max="21" width="15.81640625" style="5" bestFit="1" customWidth="1"/>
    <col min="22" max="22" width="8.7265625" style="5" bestFit="1" customWidth="1"/>
    <col min="23" max="16384" width="9.1796875" style="5"/>
  </cols>
  <sheetData>
    <row r="1" spans="1:22" x14ac:dyDescent="0.35">
      <c r="A1" s="4" t="s">
        <v>1760</v>
      </c>
      <c r="B1" s="4">
        <v>2025</v>
      </c>
      <c r="S1" s="4" t="s">
        <v>1760</v>
      </c>
      <c r="T1" s="4">
        <v>2024</v>
      </c>
    </row>
    <row r="2" spans="1:22" x14ac:dyDescent="0.35">
      <c r="A2" s="6" t="s">
        <v>1</v>
      </c>
      <c r="B2" s="7">
        <f>SUM(D9:D49)</f>
        <v>81500</v>
      </c>
      <c r="K2" s="11" t="s">
        <v>2</v>
      </c>
      <c r="S2" s="6" t="s">
        <v>1</v>
      </c>
      <c r="T2" s="7">
        <f>SUM(U9:U44)</f>
        <v>62925</v>
      </c>
    </row>
    <row r="3" spans="1:22" x14ac:dyDescent="0.35">
      <c r="A3" s="6" t="s">
        <v>3</v>
      </c>
      <c r="B3" s="7">
        <v>57000</v>
      </c>
      <c r="K3" s="7">
        <f>SUM(K44-B2)</f>
        <v>-14086.25</v>
      </c>
      <c r="S3" s="6" t="s">
        <v>3</v>
      </c>
      <c r="T3" s="7">
        <v>57000</v>
      </c>
    </row>
    <row r="4" spans="1:22" x14ac:dyDescent="0.35">
      <c r="A4" s="6" t="s">
        <v>4</v>
      </c>
      <c r="B4" s="7">
        <f>MIN(B2-B3)</f>
        <v>24500</v>
      </c>
      <c r="K4" s="42">
        <f>K44/B2</f>
        <v>0.82716257668711657</v>
      </c>
      <c r="S4" s="6" t="s">
        <v>4</v>
      </c>
      <c r="T4" s="7">
        <f>MIN(T2-T3)</f>
        <v>5925</v>
      </c>
    </row>
    <row r="5" spans="1:22" x14ac:dyDescent="0.35">
      <c r="A5" s="6" t="s">
        <v>5</v>
      </c>
      <c r="B5" s="7">
        <v>65000</v>
      </c>
      <c r="S5" s="6" t="s">
        <v>5</v>
      </c>
      <c r="T5" s="7">
        <v>70000</v>
      </c>
    </row>
    <row r="6" spans="1:22" x14ac:dyDescent="0.35">
      <c r="A6" s="6" t="s">
        <v>4</v>
      </c>
      <c r="B6" s="7">
        <f>MIN(B2-B5)</f>
        <v>16500</v>
      </c>
      <c r="S6" s="6" t="s">
        <v>4</v>
      </c>
      <c r="T6" s="7">
        <f>MIN(T2-T5)</f>
        <v>-7075</v>
      </c>
    </row>
    <row r="8" spans="1:22" x14ac:dyDescent="0.35">
      <c r="A8" s="12" t="s">
        <v>6</v>
      </c>
      <c r="B8" s="12" t="s">
        <v>7</v>
      </c>
      <c r="C8" s="12" t="s">
        <v>8</v>
      </c>
      <c r="D8" s="12" t="s">
        <v>9</v>
      </c>
      <c r="E8" s="12" t="s">
        <v>10</v>
      </c>
      <c r="F8" s="12" t="s">
        <v>11</v>
      </c>
      <c r="G8" s="12" t="s">
        <v>12</v>
      </c>
      <c r="H8" s="11" t="s">
        <v>13</v>
      </c>
      <c r="I8" s="122" t="s">
        <v>14</v>
      </c>
      <c r="J8" s="12" t="s">
        <v>15</v>
      </c>
      <c r="K8" s="12" t="s">
        <v>16</v>
      </c>
      <c r="L8" s="12" t="s">
        <v>17</v>
      </c>
      <c r="M8" s="12" t="s">
        <v>18</v>
      </c>
      <c r="N8" s="12" t="s">
        <v>19</v>
      </c>
      <c r="P8" s="44" t="s">
        <v>10</v>
      </c>
      <c r="Q8" s="44" t="s">
        <v>20</v>
      </c>
      <c r="S8" s="8" t="s">
        <v>6</v>
      </c>
      <c r="T8" s="8" t="s">
        <v>21</v>
      </c>
      <c r="U8" s="8" t="s">
        <v>9</v>
      </c>
      <c r="V8" s="8" t="s">
        <v>10</v>
      </c>
    </row>
    <row r="9" spans="1:22" ht="58" x14ac:dyDescent="0.35">
      <c r="A9" s="9" t="s">
        <v>285</v>
      </c>
      <c r="B9" s="9" t="s">
        <v>23</v>
      </c>
      <c r="C9" s="10">
        <v>15000</v>
      </c>
      <c r="D9" s="10">
        <v>10000</v>
      </c>
      <c r="E9" s="9" t="s">
        <v>95</v>
      </c>
      <c r="F9" s="9" t="s">
        <v>303</v>
      </c>
      <c r="G9" s="9"/>
      <c r="H9" s="116" t="s">
        <v>27</v>
      </c>
      <c r="I9" s="9"/>
      <c r="J9" s="9" t="s">
        <v>304</v>
      </c>
      <c r="K9" s="10">
        <v>10000</v>
      </c>
      <c r="L9" s="9" t="s">
        <v>305</v>
      </c>
      <c r="M9" s="9"/>
      <c r="N9" s="9" t="s">
        <v>306</v>
      </c>
      <c r="P9" s="39" t="s">
        <v>24</v>
      </c>
      <c r="Q9" s="10">
        <v>24000</v>
      </c>
      <c r="S9" s="9" t="s">
        <v>1761</v>
      </c>
      <c r="T9" s="9" t="s">
        <v>1762</v>
      </c>
      <c r="U9" s="10">
        <v>0</v>
      </c>
      <c r="V9" s="9" t="s">
        <v>76</v>
      </c>
    </row>
    <row r="10" spans="1:22" x14ac:dyDescent="0.35">
      <c r="A10" s="9" t="s">
        <v>69</v>
      </c>
      <c r="B10" s="9" t="s">
        <v>32</v>
      </c>
      <c r="C10" s="10">
        <v>10000</v>
      </c>
      <c r="D10" s="10">
        <v>6000</v>
      </c>
      <c r="E10" s="9" t="s">
        <v>24</v>
      </c>
      <c r="F10" s="9" t="s">
        <v>82</v>
      </c>
      <c r="G10" s="9"/>
      <c r="H10" s="9"/>
      <c r="I10" s="9"/>
      <c r="J10" s="9" t="s">
        <v>44</v>
      </c>
      <c r="K10" s="10">
        <v>6000</v>
      </c>
      <c r="L10" s="9" t="s">
        <v>84</v>
      </c>
      <c r="M10" s="9"/>
      <c r="N10" s="9" t="s">
        <v>85</v>
      </c>
      <c r="P10" s="39" t="s">
        <v>37</v>
      </c>
      <c r="Q10" s="10">
        <v>15000</v>
      </c>
      <c r="S10" s="48" t="s">
        <v>116</v>
      </c>
      <c r="T10" s="48" t="s">
        <v>201</v>
      </c>
      <c r="U10" s="55">
        <v>0</v>
      </c>
      <c r="V10" s="48"/>
    </row>
    <row r="11" spans="1:22" x14ac:dyDescent="0.35">
      <c r="A11" s="9" t="s">
        <v>152</v>
      </c>
      <c r="B11" s="9" t="s">
        <v>32</v>
      </c>
      <c r="C11" s="10">
        <v>10000</v>
      </c>
      <c r="D11" s="10">
        <v>7500</v>
      </c>
      <c r="E11" s="9" t="s">
        <v>95</v>
      </c>
      <c r="F11" s="9" t="s">
        <v>153</v>
      </c>
      <c r="G11" s="9"/>
      <c r="H11" s="94" t="s">
        <v>27</v>
      </c>
      <c r="I11" s="9"/>
      <c r="J11" s="195">
        <v>45973</v>
      </c>
      <c r="K11" s="10">
        <v>3413.75</v>
      </c>
      <c r="L11" s="9" t="s">
        <v>155</v>
      </c>
      <c r="M11" s="9"/>
      <c r="N11" s="87" t="s">
        <v>156</v>
      </c>
      <c r="P11" s="39" t="s">
        <v>47</v>
      </c>
      <c r="Q11" s="10"/>
      <c r="S11" s="48" t="s">
        <v>1137</v>
      </c>
      <c r="T11" s="48" t="s">
        <v>1762</v>
      </c>
      <c r="U11" s="55">
        <v>500</v>
      </c>
      <c r="V11" s="48" t="s">
        <v>24</v>
      </c>
    </row>
    <row r="12" spans="1:22" x14ac:dyDescent="0.35">
      <c r="A12" s="9" t="s">
        <v>431</v>
      </c>
      <c r="B12" s="9" t="s">
        <v>201</v>
      </c>
      <c r="C12" s="10">
        <v>15000</v>
      </c>
      <c r="D12" s="10">
        <v>0</v>
      </c>
      <c r="E12" s="9"/>
      <c r="F12" s="9"/>
      <c r="G12" s="9"/>
      <c r="H12" s="9"/>
      <c r="I12" s="9">
        <v>0</v>
      </c>
      <c r="J12" s="9"/>
      <c r="K12" s="9"/>
      <c r="L12" s="9"/>
      <c r="M12" s="9"/>
      <c r="N12" s="9"/>
      <c r="P12" s="39" t="s">
        <v>50</v>
      </c>
      <c r="Q12" s="10"/>
      <c r="S12" s="9" t="s">
        <v>1763</v>
      </c>
      <c r="T12" s="9" t="s">
        <v>1762</v>
      </c>
      <c r="U12" s="10">
        <v>150</v>
      </c>
      <c r="V12" s="9" t="s">
        <v>76</v>
      </c>
    </row>
    <row r="13" spans="1:22" x14ac:dyDescent="0.35">
      <c r="A13" s="9" t="s">
        <v>313</v>
      </c>
      <c r="B13" s="9" t="s">
        <v>1764</v>
      </c>
      <c r="C13" s="10">
        <v>5000</v>
      </c>
      <c r="D13" s="10">
        <v>5000</v>
      </c>
      <c r="E13" s="9" t="s">
        <v>95</v>
      </c>
      <c r="F13" s="9" t="s">
        <v>643</v>
      </c>
      <c r="G13" s="9"/>
      <c r="H13" s="94" t="s">
        <v>27</v>
      </c>
      <c r="I13" s="9"/>
      <c r="J13" s="9" t="s">
        <v>290</v>
      </c>
      <c r="K13" s="10">
        <v>5000</v>
      </c>
      <c r="L13" s="9" t="s">
        <v>1173</v>
      </c>
      <c r="M13" s="9"/>
      <c r="N13" s="9" t="s">
        <v>1174</v>
      </c>
      <c r="P13" s="39" t="s">
        <v>56</v>
      </c>
      <c r="Q13" s="10">
        <v>0</v>
      </c>
      <c r="S13" s="48" t="s">
        <v>1524</v>
      </c>
      <c r="T13" s="48" t="s">
        <v>1762</v>
      </c>
      <c r="U13" s="55">
        <v>5000</v>
      </c>
      <c r="V13" s="48"/>
    </row>
    <row r="14" spans="1:22" ht="29" x14ac:dyDescent="0.35">
      <c r="A14" s="9" t="s">
        <v>1055</v>
      </c>
      <c r="B14" s="9" t="s">
        <v>1764</v>
      </c>
      <c r="C14" s="10">
        <v>5000</v>
      </c>
      <c r="D14" s="10">
        <v>4000</v>
      </c>
      <c r="E14" s="9" t="s">
        <v>37</v>
      </c>
      <c r="F14" s="9" t="s">
        <v>439</v>
      </c>
      <c r="G14" s="9" t="s">
        <v>1056</v>
      </c>
      <c r="H14" s="157" t="s">
        <v>27</v>
      </c>
      <c r="I14" s="9"/>
      <c r="J14" s="27" t="s">
        <v>73</v>
      </c>
      <c r="K14" s="27">
        <v>4000</v>
      </c>
      <c r="L14" s="27" t="s">
        <v>1057</v>
      </c>
      <c r="M14" s="27"/>
      <c r="N14" s="27" t="s">
        <v>1058</v>
      </c>
      <c r="P14" s="39" t="s">
        <v>62</v>
      </c>
      <c r="Q14" s="10"/>
      <c r="S14" s="9" t="s">
        <v>338</v>
      </c>
      <c r="T14" s="9" t="s">
        <v>1762</v>
      </c>
      <c r="U14" s="10">
        <v>0</v>
      </c>
      <c r="V14" s="9" t="s">
        <v>96</v>
      </c>
    </row>
    <row r="15" spans="1:22" x14ac:dyDescent="0.35">
      <c r="A15" s="19" t="s">
        <v>794</v>
      </c>
      <c r="B15" s="19" t="s">
        <v>1764</v>
      </c>
      <c r="C15" s="20">
        <v>5000</v>
      </c>
      <c r="D15" s="20">
        <v>5000</v>
      </c>
      <c r="E15" s="19" t="s">
        <v>92</v>
      </c>
      <c r="F15" s="19" t="s">
        <v>208</v>
      </c>
      <c r="G15" s="19"/>
      <c r="H15" s="19"/>
      <c r="I15" s="19"/>
      <c r="J15" s="256">
        <v>45908</v>
      </c>
      <c r="K15" s="20">
        <v>5000</v>
      </c>
      <c r="L15" s="19" t="s">
        <v>1765</v>
      </c>
      <c r="M15" s="19"/>
      <c r="N15" s="86" t="s">
        <v>798</v>
      </c>
      <c r="P15" s="39" t="s">
        <v>68</v>
      </c>
      <c r="Q15" s="10"/>
      <c r="S15" s="112" t="s">
        <v>159</v>
      </c>
      <c r="T15" s="112" t="s">
        <v>39</v>
      </c>
      <c r="U15" s="113">
        <v>1000</v>
      </c>
      <c r="V15" s="112" t="s">
        <v>95</v>
      </c>
    </row>
    <row r="16" spans="1:22" x14ac:dyDescent="0.35">
      <c r="A16" s="9" t="s">
        <v>298</v>
      </c>
      <c r="B16" s="9" t="s">
        <v>1764</v>
      </c>
      <c r="C16" s="10">
        <v>5000</v>
      </c>
      <c r="D16" s="10">
        <v>5000</v>
      </c>
      <c r="E16" s="9" t="s">
        <v>37</v>
      </c>
      <c r="F16" s="9" t="s">
        <v>471</v>
      </c>
      <c r="G16" s="9"/>
      <c r="H16" s="94" t="s">
        <v>27</v>
      </c>
      <c r="I16" s="9"/>
      <c r="J16" s="9"/>
      <c r="K16" s="9"/>
      <c r="L16" s="9" t="s">
        <v>461</v>
      </c>
      <c r="M16" s="9"/>
      <c r="N16" s="87" t="s">
        <v>1766</v>
      </c>
      <c r="P16" s="39" t="s">
        <v>76</v>
      </c>
      <c r="Q16" s="10"/>
      <c r="S16" s="9" t="s">
        <v>181</v>
      </c>
      <c r="T16" s="9" t="s">
        <v>1762</v>
      </c>
      <c r="U16" s="10">
        <v>0</v>
      </c>
      <c r="V16" s="9"/>
    </row>
    <row r="17" spans="1:22" x14ac:dyDescent="0.35">
      <c r="A17" s="9" t="s">
        <v>187</v>
      </c>
      <c r="B17" s="9" t="s">
        <v>1767</v>
      </c>
      <c r="C17" s="10">
        <v>2500</v>
      </c>
      <c r="D17" s="10">
        <v>2500</v>
      </c>
      <c r="E17" s="9" t="s">
        <v>24</v>
      </c>
      <c r="F17" s="9" t="s">
        <v>189</v>
      </c>
      <c r="G17" s="9"/>
      <c r="H17" s="94" t="s">
        <v>27</v>
      </c>
      <c r="I17" s="9"/>
      <c r="J17" s="9" t="s">
        <v>172</v>
      </c>
      <c r="K17" s="10">
        <v>2500</v>
      </c>
      <c r="L17" s="9" t="s">
        <v>190</v>
      </c>
      <c r="M17" s="9"/>
      <c r="N17" s="9" t="s">
        <v>191</v>
      </c>
      <c r="P17" s="39" t="s">
        <v>81</v>
      </c>
      <c r="Q17" s="10"/>
      <c r="S17" s="9" t="s">
        <v>1768</v>
      </c>
      <c r="T17" s="9" t="s">
        <v>1762</v>
      </c>
      <c r="U17" s="10">
        <v>150</v>
      </c>
      <c r="V17" s="9"/>
    </row>
    <row r="18" spans="1:22" x14ac:dyDescent="0.35">
      <c r="A18" s="9" t="s">
        <v>232</v>
      </c>
      <c r="B18" s="9" t="s">
        <v>1767</v>
      </c>
      <c r="C18" s="10">
        <v>2500</v>
      </c>
      <c r="D18" s="10">
        <v>2500</v>
      </c>
      <c r="E18" s="9" t="s">
        <v>24</v>
      </c>
      <c r="F18" s="9" t="s">
        <v>42</v>
      </c>
      <c r="G18" s="9"/>
      <c r="H18" s="9"/>
      <c r="I18" s="9"/>
      <c r="J18" s="9" t="s">
        <v>681</v>
      </c>
      <c r="K18" s="10">
        <v>2500</v>
      </c>
      <c r="L18" s="9" t="s">
        <v>233</v>
      </c>
      <c r="M18" s="9"/>
      <c r="N18" s="9" t="s">
        <v>234</v>
      </c>
      <c r="P18" s="39" t="s">
        <v>86</v>
      </c>
      <c r="Q18" s="10">
        <v>2500</v>
      </c>
      <c r="S18" s="48" t="s">
        <v>38</v>
      </c>
      <c r="T18" s="48" t="s">
        <v>1767</v>
      </c>
      <c r="U18" s="55">
        <v>2500</v>
      </c>
      <c r="V18" s="48" t="s">
        <v>24</v>
      </c>
    </row>
    <row r="19" spans="1:22" x14ac:dyDescent="0.35">
      <c r="A19" s="9" t="s">
        <v>146</v>
      </c>
      <c r="B19" s="9" t="s">
        <v>1769</v>
      </c>
      <c r="C19" s="10">
        <v>2500</v>
      </c>
      <c r="D19" s="10">
        <v>2500</v>
      </c>
      <c r="E19" s="9" t="s">
        <v>24</v>
      </c>
      <c r="F19" s="9" t="s">
        <v>147</v>
      </c>
      <c r="G19" s="9"/>
      <c r="H19" s="9"/>
      <c r="I19" s="9"/>
      <c r="J19" s="9" t="s">
        <v>658</v>
      </c>
      <c r="K19" s="10">
        <v>2500</v>
      </c>
      <c r="L19" s="9" t="s">
        <v>149</v>
      </c>
      <c r="M19" s="9"/>
      <c r="N19" s="9" t="s">
        <v>150</v>
      </c>
      <c r="P19" s="39" t="s">
        <v>90</v>
      </c>
      <c r="Q19" s="10">
        <v>4000</v>
      </c>
      <c r="S19" s="48" t="s">
        <v>48</v>
      </c>
      <c r="T19" s="48" t="s">
        <v>39</v>
      </c>
      <c r="U19" s="55">
        <v>1000</v>
      </c>
      <c r="V19" s="48" t="s">
        <v>24</v>
      </c>
    </row>
    <row r="20" spans="1:22" ht="29" x14ac:dyDescent="0.35">
      <c r="A20" s="9" t="s">
        <v>346</v>
      </c>
      <c r="B20" s="9" t="s">
        <v>1767</v>
      </c>
      <c r="C20" s="10">
        <v>2500</v>
      </c>
      <c r="D20" s="10">
        <v>2500</v>
      </c>
      <c r="E20" s="9" t="s">
        <v>86</v>
      </c>
      <c r="F20" s="9" t="s">
        <v>253</v>
      </c>
      <c r="G20" s="9" t="s">
        <v>1770</v>
      </c>
      <c r="H20" s="9"/>
      <c r="I20" s="9"/>
      <c r="J20" s="9" t="s">
        <v>650</v>
      </c>
      <c r="K20" s="10">
        <v>2500</v>
      </c>
      <c r="L20" s="9" t="s">
        <v>348</v>
      </c>
      <c r="M20" s="9"/>
      <c r="N20" s="87" t="s">
        <v>349</v>
      </c>
      <c r="P20" s="39" t="s">
        <v>91</v>
      </c>
      <c r="Q20" s="10"/>
      <c r="S20" s="48" t="s">
        <v>51</v>
      </c>
      <c r="T20" s="48" t="s">
        <v>39</v>
      </c>
      <c r="U20" s="55">
        <v>1000</v>
      </c>
      <c r="V20" s="48" t="s">
        <v>24</v>
      </c>
    </row>
    <row r="21" spans="1:22" ht="58" x14ac:dyDescent="0.35">
      <c r="A21" s="9" t="s">
        <v>193</v>
      </c>
      <c r="B21" s="9" t="s">
        <v>1771</v>
      </c>
      <c r="C21" s="10">
        <v>3500</v>
      </c>
      <c r="D21" s="10">
        <v>3500</v>
      </c>
      <c r="E21" s="9" t="s">
        <v>37</v>
      </c>
      <c r="F21" s="9" t="s">
        <v>418</v>
      </c>
      <c r="G21" s="9" t="s">
        <v>1772</v>
      </c>
      <c r="H21" s="9"/>
      <c r="I21" s="9"/>
      <c r="J21" s="195">
        <v>45831</v>
      </c>
      <c r="K21" s="10">
        <v>3500</v>
      </c>
      <c r="L21" s="9"/>
      <c r="M21" s="9"/>
      <c r="N21" s="9"/>
      <c r="P21" s="39" t="s">
        <v>92</v>
      </c>
      <c r="Q21" s="10">
        <v>5000</v>
      </c>
      <c r="S21" s="9" t="s">
        <v>1773</v>
      </c>
      <c r="T21" s="9" t="s">
        <v>1762</v>
      </c>
      <c r="U21" s="10">
        <v>0</v>
      </c>
      <c r="V21" s="9"/>
    </row>
    <row r="22" spans="1:22" x14ac:dyDescent="0.35">
      <c r="A22" s="9" t="s">
        <v>279</v>
      </c>
      <c r="B22" s="9" t="s">
        <v>1767</v>
      </c>
      <c r="C22" s="10">
        <v>2500</v>
      </c>
      <c r="D22" s="10">
        <v>2500</v>
      </c>
      <c r="E22" s="9" t="s">
        <v>24</v>
      </c>
      <c r="F22" s="9" t="s">
        <v>418</v>
      </c>
      <c r="G22" s="9"/>
      <c r="H22" s="9"/>
      <c r="I22" s="9"/>
      <c r="J22" s="195">
        <v>45831</v>
      </c>
      <c r="K22" s="10">
        <v>2500</v>
      </c>
      <c r="L22" s="9" t="s">
        <v>283</v>
      </c>
      <c r="M22" s="9"/>
      <c r="N22" s="9" t="s">
        <v>284</v>
      </c>
      <c r="P22" s="39" t="s">
        <v>93</v>
      </c>
      <c r="Q22" s="10"/>
      <c r="S22" s="112" t="s">
        <v>243</v>
      </c>
      <c r="T22" s="112" t="s">
        <v>39</v>
      </c>
      <c r="U22" s="113">
        <v>1000</v>
      </c>
      <c r="V22" s="112" t="s">
        <v>24</v>
      </c>
    </row>
    <row r="23" spans="1:22" ht="29" x14ac:dyDescent="0.35">
      <c r="A23" s="9" t="s">
        <v>515</v>
      </c>
      <c r="B23" s="9" t="s">
        <v>1767</v>
      </c>
      <c r="C23" s="10">
        <v>2500</v>
      </c>
      <c r="D23" s="10">
        <v>2500</v>
      </c>
      <c r="E23" s="9" t="s">
        <v>24</v>
      </c>
      <c r="F23" s="9" t="s">
        <v>28</v>
      </c>
      <c r="G23" s="9" t="s">
        <v>1774</v>
      </c>
      <c r="H23" s="9"/>
      <c r="I23" s="9"/>
      <c r="J23" s="9" t="s">
        <v>73</v>
      </c>
      <c r="K23" s="10">
        <v>2500</v>
      </c>
      <c r="L23" s="9" t="s">
        <v>518</v>
      </c>
      <c r="M23" s="9"/>
      <c r="N23" s="9" t="s">
        <v>519</v>
      </c>
      <c r="P23" s="39" t="s">
        <v>94</v>
      </c>
      <c r="Q23" s="10"/>
      <c r="S23" s="48" t="s">
        <v>285</v>
      </c>
      <c r="T23" s="48" t="s">
        <v>23</v>
      </c>
      <c r="U23" s="55">
        <v>10000</v>
      </c>
      <c r="V23" s="48" t="s">
        <v>95</v>
      </c>
    </row>
    <row r="24" spans="1:22" ht="29" x14ac:dyDescent="0.35">
      <c r="A24" s="9" t="s">
        <v>130</v>
      </c>
      <c r="B24" s="9" t="s">
        <v>1767</v>
      </c>
      <c r="C24" s="10">
        <v>2500</v>
      </c>
      <c r="D24" s="10">
        <v>2500</v>
      </c>
      <c r="E24" s="9" t="s">
        <v>37</v>
      </c>
      <c r="F24" s="9" t="s">
        <v>128</v>
      </c>
      <c r="G24" s="9" t="s">
        <v>1775</v>
      </c>
      <c r="H24" s="9"/>
      <c r="I24" s="195">
        <v>45776</v>
      </c>
      <c r="J24" s="195">
        <v>46010</v>
      </c>
      <c r="K24" s="10">
        <v>2500</v>
      </c>
      <c r="L24" s="9" t="s">
        <v>1776</v>
      </c>
      <c r="M24" s="9"/>
      <c r="N24" s="87" t="s">
        <v>1777</v>
      </c>
      <c r="P24" s="39" t="s">
        <v>95</v>
      </c>
      <c r="Q24" s="10">
        <v>23500</v>
      </c>
      <c r="S24" s="48" t="s">
        <v>515</v>
      </c>
      <c r="T24" s="48" t="s">
        <v>1767</v>
      </c>
      <c r="U24" s="55">
        <v>2500</v>
      </c>
      <c r="V24" s="48" t="s">
        <v>24</v>
      </c>
    </row>
    <row r="25" spans="1:22" x14ac:dyDescent="0.35">
      <c r="A25" s="9" t="s">
        <v>1778</v>
      </c>
      <c r="B25" s="9" t="s">
        <v>1549</v>
      </c>
      <c r="C25" s="10">
        <v>2000</v>
      </c>
      <c r="D25" s="10">
        <v>2000</v>
      </c>
      <c r="E25" s="9" t="s">
        <v>90</v>
      </c>
      <c r="F25" s="9" t="s">
        <v>290</v>
      </c>
      <c r="G25" s="9"/>
      <c r="H25" s="9"/>
      <c r="I25" s="9"/>
      <c r="J25" s="9" t="s">
        <v>625</v>
      </c>
      <c r="K25" s="10">
        <v>2000</v>
      </c>
      <c r="L25" s="9" t="s">
        <v>1138</v>
      </c>
      <c r="M25" s="9"/>
      <c r="N25" s="87" t="s">
        <v>1139</v>
      </c>
      <c r="P25" s="39" t="s">
        <v>96</v>
      </c>
      <c r="Q25" s="10">
        <v>2500</v>
      </c>
      <c r="S25" s="112" t="s">
        <v>883</v>
      </c>
      <c r="T25" s="112" t="s">
        <v>1762</v>
      </c>
      <c r="U25" s="113">
        <v>0</v>
      </c>
      <c r="V25" s="112"/>
    </row>
    <row r="26" spans="1:22" x14ac:dyDescent="0.35">
      <c r="A26" s="9" t="s">
        <v>841</v>
      </c>
      <c r="B26" s="9" t="s">
        <v>1549</v>
      </c>
      <c r="C26" s="10">
        <v>2000</v>
      </c>
      <c r="D26" s="10">
        <v>2000</v>
      </c>
      <c r="E26" s="9" t="s">
        <v>90</v>
      </c>
      <c r="F26" s="9" t="s">
        <v>121</v>
      </c>
      <c r="G26" s="9" t="s">
        <v>843</v>
      </c>
      <c r="H26" s="9"/>
      <c r="I26" s="9"/>
      <c r="J26" s="9" t="s">
        <v>638</v>
      </c>
      <c r="K26" s="10">
        <v>2000</v>
      </c>
      <c r="L26" s="9" t="s">
        <v>844</v>
      </c>
      <c r="M26" s="9"/>
      <c r="N26" s="81" t="s">
        <v>845</v>
      </c>
      <c r="P26" s="39" t="s">
        <v>97</v>
      </c>
      <c r="Q26" s="10"/>
      <c r="S26" s="48" t="s">
        <v>57</v>
      </c>
      <c r="T26" s="48" t="s">
        <v>39</v>
      </c>
      <c r="U26" s="55">
        <v>1000</v>
      </c>
      <c r="V26" s="48" t="s">
        <v>24</v>
      </c>
    </row>
    <row r="27" spans="1:22" x14ac:dyDescent="0.35">
      <c r="A27" s="9" t="s">
        <v>57</v>
      </c>
      <c r="B27" s="9" t="s">
        <v>39</v>
      </c>
      <c r="C27" s="10">
        <v>1000</v>
      </c>
      <c r="D27" s="10">
        <v>1000</v>
      </c>
      <c r="E27" s="9" t="s">
        <v>24</v>
      </c>
      <c r="F27" s="9" t="s">
        <v>58</v>
      </c>
      <c r="G27" s="9"/>
      <c r="H27" s="94" t="s">
        <v>27</v>
      </c>
      <c r="I27" s="9"/>
      <c r="J27" s="9" t="s">
        <v>59</v>
      </c>
      <c r="K27" s="10">
        <v>1000</v>
      </c>
      <c r="L27" s="9" t="s">
        <v>60</v>
      </c>
      <c r="M27" s="9"/>
      <c r="N27" s="9" t="s">
        <v>61</v>
      </c>
      <c r="P27" s="39" t="s">
        <v>98</v>
      </c>
      <c r="Q27" s="10">
        <v>5000</v>
      </c>
      <c r="S27" s="120" t="s">
        <v>313</v>
      </c>
      <c r="T27" s="120" t="s">
        <v>1764</v>
      </c>
      <c r="U27" s="105">
        <v>5000</v>
      </c>
      <c r="V27" s="120" t="s">
        <v>95</v>
      </c>
    </row>
    <row r="28" spans="1:22" x14ac:dyDescent="0.35">
      <c r="A28" s="9" t="s">
        <v>117</v>
      </c>
      <c r="B28" s="9" t="s">
        <v>39</v>
      </c>
      <c r="C28" s="10">
        <v>1000</v>
      </c>
      <c r="D28" s="10">
        <v>1000</v>
      </c>
      <c r="E28" s="9" t="s">
        <v>95</v>
      </c>
      <c r="F28" s="9" t="s">
        <v>119</v>
      </c>
      <c r="G28" s="9"/>
      <c r="H28" s="9"/>
      <c r="I28" s="9"/>
      <c r="J28" s="9" t="s">
        <v>681</v>
      </c>
      <c r="K28" s="10">
        <v>1000</v>
      </c>
      <c r="L28" s="9" t="s">
        <v>122</v>
      </c>
      <c r="M28" s="9"/>
      <c r="N28" s="87" t="s">
        <v>123</v>
      </c>
      <c r="P28" s="45" t="s">
        <v>99</v>
      </c>
      <c r="Q28" s="46">
        <v>81500</v>
      </c>
      <c r="S28" s="48" t="s">
        <v>794</v>
      </c>
      <c r="T28" s="48" t="s">
        <v>1764</v>
      </c>
      <c r="U28" s="55">
        <v>5000</v>
      </c>
      <c r="V28" s="48" t="s">
        <v>92</v>
      </c>
    </row>
    <row r="29" spans="1:22" x14ac:dyDescent="0.35">
      <c r="A29" s="9" t="s">
        <v>48</v>
      </c>
      <c r="B29" s="9" t="s">
        <v>39</v>
      </c>
      <c r="C29" s="10">
        <v>1000</v>
      </c>
      <c r="D29" s="10">
        <v>1000</v>
      </c>
      <c r="E29" s="9" t="s">
        <v>24</v>
      </c>
      <c r="F29" s="9" t="s">
        <v>64</v>
      </c>
      <c r="G29" s="9"/>
      <c r="H29" s="9"/>
      <c r="I29" s="9"/>
      <c r="J29" s="9" t="s">
        <v>637</v>
      </c>
      <c r="K29" s="10">
        <v>1000</v>
      </c>
      <c r="L29" s="9" t="s">
        <v>66</v>
      </c>
      <c r="M29" s="9"/>
      <c r="N29" s="9" t="s">
        <v>67</v>
      </c>
      <c r="S29" s="112" t="s">
        <v>329</v>
      </c>
      <c r="T29" s="112" t="s">
        <v>1762</v>
      </c>
      <c r="U29" s="113">
        <v>0</v>
      </c>
      <c r="V29" s="121" t="s">
        <v>96</v>
      </c>
    </row>
    <row r="30" spans="1:22" x14ac:dyDescent="0.35">
      <c r="A30" s="9" t="s">
        <v>235</v>
      </c>
      <c r="B30" s="9" t="s">
        <v>39</v>
      </c>
      <c r="C30" s="10">
        <v>1000</v>
      </c>
      <c r="D30" s="10">
        <v>1000</v>
      </c>
      <c r="E30" s="9" t="s">
        <v>24</v>
      </c>
      <c r="F30" s="9" t="s">
        <v>236</v>
      </c>
      <c r="G30" s="9"/>
      <c r="H30" s="9"/>
      <c r="I30" s="9"/>
      <c r="J30" s="9" t="s">
        <v>648</v>
      </c>
      <c r="K30" s="10">
        <v>1000</v>
      </c>
      <c r="L30" s="9" t="s">
        <v>237</v>
      </c>
      <c r="M30" s="9"/>
      <c r="N30" s="9" t="s">
        <v>238</v>
      </c>
      <c r="S30" s="9" t="s">
        <v>194</v>
      </c>
      <c r="T30" s="9" t="s">
        <v>1762</v>
      </c>
      <c r="U30" s="10">
        <v>0</v>
      </c>
      <c r="V30" s="9" t="s">
        <v>56</v>
      </c>
    </row>
    <row r="31" spans="1:22" x14ac:dyDescent="0.35">
      <c r="A31" s="9" t="s">
        <v>40</v>
      </c>
      <c r="B31" s="9" t="s">
        <v>39</v>
      </c>
      <c r="C31" s="10">
        <v>1000</v>
      </c>
      <c r="D31" s="10">
        <v>1000</v>
      </c>
      <c r="E31" s="9" t="s">
        <v>24</v>
      </c>
      <c r="F31" s="9" t="s">
        <v>42</v>
      </c>
      <c r="G31" s="9" t="s">
        <v>1063</v>
      </c>
      <c r="H31" s="94" t="s">
        <v>27</v>
      </c>
      <c r="I31" s="9"/>
      <c r="J31" s="9" t="s">
        <v>44</v>
      </c>
      <c r="K31" s="10">
        <v>1000</v>
      </c>
      <c r="L31" s="9" t="s">
        <v>45</v>
      </c>
      <c r="M31" s="9"/>
      <c r="N31" s="9" t="s">
        <v>46</v>
      </c>
      <c r="S31" s="112" t="s">
        <v>1779</v>
      </c>
      <c r="T31" s="112" t="s">
        <v>1762</v>
      </c>
      <c r="U31" s="113">
        <v>0</v>
      </c>
      <c r="V31" s="112" t="s">
        <v>96</v>
      </c>
    </row>
    <row r="32" spans="1:22" ht="29" x14ac:dyDescent="0.35">
      <c r="A32" s="9" t="s">
        <v>51</v>
      </c>
      <c r="B32" s="9" t="s">
        <v>39</v>
      </c>
      <c r="C32" s="10">
        <v>1000</v>
      </c>
      <c r="D32" s="10">
        <v>1000</v>
      </c>
      <c r="E32" s="9" t="s">
        <v>24</v>
      </c>
      <c r="F32" s="9" t="s">
        <v>78</v>
      </c>
      <c r="G32" s="9"/>
      <c r="H32" s="94" t="s">
        <v>27</v>
      </c>
      <c r="I32" s="9"/>
      <c r="J32" s="195" t="s">
        <v>1780</v>
      </c>
      <c r="K32" s="10">
        <f>284+716</f>
        <v>1000</v>
      </c>
      <c r="L32" s="9" t="s">
        <v>79</v>
      </c>
      <c r="M32" s="9"/>
      <c r="N32" s="9" t="s">
        <v>80</v>
      </c>
      <c r="S32" s="48" t="s">
        <v>279</v>
      </c>
      <c r="T32" s="48" t="s">
        <v>1767</v>
      </c>
      <c r="U32" s="55">
        <v>2500</v>
      </c>
      <c r="V32" s="48" t="s">
        <v>24</v>
      </c>
    </row>
    <row r="33" spans="1:22" ht="29" x14ac:dyDescent="0.35">
      <c r="A33" s="9" t="s">
        <v>126</v>
      </c>
      <c r="B33" s="9" t="s">
        <v>39</v>
      </c>
      <c r="C33" s="10">
        <v>1000</v>
      </c>
      <c r="D33" s="10">
        <v>500</v>
      </c>
      <c r="E33" s="9" t="s">
        <v>24</v>
      </c>
      <c r="F33" s="9" t="s">
        <v>253</v>
      </c>
      <c r="G33" s="9"/>
      <c r="H33" s="94" t="s">
        <v>27</v>
      </c>
      <c r="I33" s="9"/>
      <c r="J33" s="9" t="s">
        <v>256</v>
      </c>
      <c r="K33" s="10">
        <v>500</v>
      </c>
      <c r="L33" s="9" t="s">
        <v>257</v>
      </c>
      <c r="M33" s="9"/>
      <c r="N33" s="87" t="s">
        <v>258</v>
      </c>
      <c r="S33" s="48" t="s">
        <v>152</v>
      </c>
      <c r="T33" s="48" t="s">
        <v>32</v>
      </c>
      <c r="U33" s="55">
        <v>7500</v>
      </c>
      <c r="V33" s="48" t="s">
        <v>95</v>
      </c>
    </row>
    <row r="34" spans="1:22" x14ac:dyDescent="0.35">
      <c r="A34" s="9" t="s">
        <v>1781</v>
      </c>
      <c r="B34" s="9" t="s">
        <v>39</v>
      </c>
      <c r="C34" s="10">
        <v>1000</v>
      </c>
      <c r="D34" s="10">
        <v>1000</v>
      </c>
      <c r="E34" s="9" t="s">
        <v>96</v>
      </c>
      <c r="F34" s="9" t="s">
        <v>1051</v>
      </c>
      <c r="G34" s="9"/>
      <c r="H34" s="9"/>
      <c r="I34" s="9"/>
      <c r="J34" s="9" t="s">
        <v>458</v>
      </c>
      <c r="K34" s="10">
        <v>1000</v>
      </c>
      <c r="L34" s="9" t="s">
        <v>1782</v>
      </c>
      <c r="M34" s="9"/>
      <c r="N34" s="9" t="s">
        <v>1783</v>
      </c>
      <c r="S34" s="48" t="s">
        <v>363</v>
      </c>
      <c r="T34" s="48" t="s">
        <v>1762</v>
      </c>
      <c r="U34" s="55">
        <v>250</v>
      </c>
      <c r="V34" s="48" t="s">
        <v>95</v>
      </c>
    </row>
    <row r="35" spans="1:22" x14ac:dyDescent="0.35">
      <c r="A35" s="9" t="s">
        <v>1784</v>
      </c>
      <c r="B35" s="9" t="s">
        <v>39</v>
      </c>
      <c r="C35" s="10">
        <v>1000</v>
      </c>
      <c r="D35" s="10">
        <v>1500</v>
      </c>
      <c r="E35" s="9" t="s">
        <v>96</v>
      </c>
      <c r="F35" s="9" t="s">
        <v>121</v>
      </c>
      <c r="G35" s="9" t="s">
        <v>1785</v>
      </c>
      <c r="H35" s="9"/>
      <c r="I35" s="9"/>
      <c r="J35" s="9" t="s">
        <v>641</v>
      </c>
      <c r="K35" s="10">
        <v>1500</v>
      </c>
      <c r="L35" s="9" t="s">
        <v>1786</v>
      </c>
      <c r="M35" s="9"/>
      <c r="N35" s="87" t="s">
        <v>1787</v>
      </c>
      <c r="S35" s="48" t="s">
        <v>146</v>
      </c>
      <c r="T35" s="48" t="s">
        <v>1767</v>
      </c>
      <c r="U35" s="55">
        <v>2500</v>
      </c>
      <c r="V35" s="48" t="s">
        <v>24</v>
      </c>
    </row>
    <row r="36" spans="1:22" x14ac:dyDescent="0.35">
      <c r="A36" s="9"/>
      <c r="B36" s="9" t="s">
        <v>39</v>
      </c>
      <c r="C36" s="10">
        <v>1000</v>
      </c>
      <c r="D36" s="10"/>
      <c r="E36" s="9"/>
      <c r="F36" s="9"/>
      <c r="G36" s="9"/>
      <c r="H36" s="9"/>
      <c r="I36" s="9"/>
      <c r="J36" s="9"/>
      <c r="K36" s="10"/>
      <c r="L36" s="9"/>
      <c r="M36" s="9"/>
      <c r="N36" s="9"/>
      <c r="S36" s="9" t="s">
        <v>1788</v>
      </c>
      <c r="T36" s="9" t="s">
        <v>1762</v>
      </c>
      <c r="U36" s="10">
        <v>300</v>
      </c>
      <c r="V36" s="9"/>
    </row>
    <row r="37" spans="1:22" x14ac:dyDescent="0.35">
      <c r="A37" s="9" t="s">
        <v>198</v>
      </c>
      <c r="B37" s="9" t="s">
        <v>39</v>
      </c>
      <c r="C37" s="10">
        <v>1000</v>
      </c>
      <c r="D37" s="10">
        <v>0</v>
      </c>
      <c r="E37" s="9" t="s">
        <v>96</v>
      </c>
      <c r="F37" s="9" t="s">
        <v>142</v>
      </c>
      <c r="G37" s="9" t="s">
        <v>1063</v>
      </c>
      <c r="H37" s="9"/>
      <c r="I37" s="9">
        <v>0</v>
      </c>
      <c r="J37" s="9"/>
      <c r="K37" s="10"/>
      <c r="L37" s="9" t="s">
        <v>240</v>
      </c>
      <c r="M37" s="9"/>
      <c r="N37" s="87" t="s">
        <v>241</v>
      </c>
      <c r="S37" s="48" t="s">
        <v>1789</v>
      </c>
      <c r="T37" s="48" t="s">
        <v>491</v>
      </c>
      <c r="U37" s="55">
        <v>2500</v>
      </c>
      <c r="V37" s="48" t="s">
        <v>86</v>
      </c>
    </row>
    <row r="38" spans="1:22" ht="43.5" x14ac:dyDescent="0.35">
      <c r="A38" s="9" t="s">
        <v>507</v>
      </c>
      <c r="B38" s="9" t="s">
        <v>732</v>
      </c>
      <c r="C38" s="10">
        <v>0</v>
      </c>
      <c r="D38" s="10">
        <v>0</v>
      </c>
      <c r="E38" s="9" t="s">
        <v>56</v>
      </c>
      <c r="F38" s="9" t="s">
        <v>381</v>
      </c>
      <c r="G38" s="9" t="s">
        <v>1790</v>
      </c>
      <c r="H38" s="94" t="s">
        <v>27</v>
      </c>
      <c r="I38" s="9"/>
      <c r="J38" s="9"/>
      <c r="K38" s="9"/>
      <c r="L38" s="9" t="s">
        <v>508</v>
      </c>
      <c r="M38" s="9"/>
      <c r="N38" s="9" t="s">
        <v>509</v>
      </c>
      <c r="S38" s="48" t="s">
        <v>232</v>
      </c>
      <c r="T38" s="48" t="s">
        <v>1767</v>
      </c>
      <c r="U38" s="55">
        <v>2500</v>
      </c>
      <c r="V38" s="48" t="s">
        <v>24</v>
      </c>
    </row>
    <row r="39" spans="1:22" ht="72.5" x14ac:dyDescent="0.35">
      <c r="A39" s="9" t="s">
        <v>176</v>
      </c>
      <c r="B39" s="9" t="s">
        <v>732</v>
      </c>
      <c r="C39" s="10">
        <v>0</v>
      </c>
      <c r="D39" s="10">
        <v>0</v>
      </c>
      <c r="E39" s="9" t="s">
        <v>56</v>
      </c>
      <c r="F39" s="9" t="s">
        <v>418</v>
      </c>
      <c r="G39" s="9" t="s">
        <v>1563</v>
      </c>
      <c r="H39" s="9"/>
      <c r="I39" s="9">
        <v>0</v>
      </c>
      <c r="J39" s="9"/>
      <c r="K39" s="9"/>
      <c r="L39" s="9" t="s">
        <v>178</v>
      </c>
      <c r="M39" s="9"/>
      <c r="N39" s="87" t="s">
        <v>179</v>
      </c>
      <c r="S39" s="48" t="s">
        <v>235</v>
      </c>
      <c r="T39" s="48" t="s">
        <v>39</v>
      </c>
      <c r="U39" s="55">
        <v>1000</v>
      </c>
      <c r="V39" s="48" t="s">
        <v>24</v>
      </c>
    </row>
    <row r="40" spans="1:22" x14ac:dyDescent="0.35">
      <c r="A40" s="9" t="s">
        <v>1524</v>
      </c>
      <c r="B40" s="9" t="s">
        <v>732</v>
      </c>
      <c r="C40" s="10">
        <v>0</v>
      </c>
      <c r="D40" s="10">
        <v>5000</v>
      </c>
      <c r="E40" s="9"/>
      <c r="F40" s="9" t="s">
        <v>270</v>
      </c>
      <c r="G40" s="9" t="s">
        <v>1791</v>
      </c>
      <c r="H40" s="9"/>
      <c r="I40" s="9"/>
      <c r="J40" s="195">
        <v>45968</v>
      </c>
      <c r="K40" s="9">
        <v>5000</v>
      </c>
      <c r="L40" s="9"/>
      <c r="M40" s="9"/>
      <c r="N40" s="9"/>
      <c r="S40" s="120" t="s">
        <v>69</v>
      </c>
      <c r="T40" s="120" t="s">
        <v>32</v>
      </c>
      <c r="U40" s="105">
        <v>6000</v>
      </c>
      <c r="V40" s="120" t="s">
        <v>24</v>
      </c>
    </row>
    <row r="41" spans="1:22" x14ac:dyDescent="0.35">
      <c r="C41" s="21"/>
      <c r="D41" s="21"/>
      <c r="S41" s="9" t="s">
        <v>1792</v>
      </c>
      <c r="T41" s="9" t="s">
        <v>1762</v>
      </c>
      <c r="U41" s="10">
        <v>75</v>
      </c>
      <c r="V41" s="9" t="s">
        <v>93</v>
      </c>
    </row>
    <row r="42" spans="1:22" x14ac:dyDescent="0.35">
      <c r="S42" s="48" t="s">
        <v>40</v>
      </c>
      <c r="T42" s="48" t="s">
        <v>39</v>
      </c>
      <c r="U42" s="55">
        <v>1000</v>
      </c>
      <c r="V42" s="48" t="s">
        <v>37</v>
      </c>
    </row>
    <row r="43" spans="1:22" x14ac:dyDescent="0.35">
      <c r="S43" s="48" t="s">
        <v>117</v>
      </c>
      <c r="T43" s="48" t="s">
        <v>39</v>
      </c>
      <c r="U43" s="55">
        <v>1000</v>
      </c>
      <c r="V43" s="48" t="s">
        <v>96</v>
      </c>
    </row>
    <row r="44" spans="1:22" x14ac:dyDescent="0.35">
      <c r="K44" s="29">
        <f>SUM(K9:K38)</f>
        <v>67413.75</v>
      </c>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hyperlinks>
    <hyperlink ref="N28" r:id="rId2" display="amyw@uca.edu; " xr:uid="{E07078D1-65F5-4D35-8EDA-814803817980}"/>
    <hyperlink ref="N37" r:id="rId3" xr:uid="{6F747E9F-BA04-4023-BBCF-986D017C34F5}"/>
    <hyperlink ref="N33" r:id="rId4" display="mailto:mcahillwicks@arvest.com" xr:uid="{09BD301B-5D6D-4F2B-8B2E-E4A4DAAD6557}"/>
    <hyperlink ref="N20" r:id="rId5" display="mailto:ADuVall@rockefellerinstitute.org" xr:uid="{0996C46C-25FE-4EBD-86F5-F1F4EDD97216}"/>
    <hyperlink ref="N11" r:id="rId6" tooltip="Click to send email to Randy Milligan" display="mailto:RMilligan@landmarkcpas.com" xr:uid="{7A100F8B-9A53-4B5B-8415-703F5F57531F}"/>
    <hyperlink ref="N39" r:id="rId7" display="mailto:jake.turpin@claytonhomes.com" xr:uid="{5F0BB7FB-65C8-49E8-87D3-02618D19D3E5}"/>
    <hyperlink ref="N15" r:id="rId8" display="mailto:robbin@harvestcannabisarkansas.com" xr:uid="{7E4EAA7C-658F-4AD0-B22C-EBA602E1432C}"/>
    <hyperlink ref="N24" r:id="rId9" display="mailto:bhinkle@entergy.com" xr:uid="{B43CF6AD-E667-4C7C-A44B-3164EE4F70EF}"/>
    <hyperlink ref="N16" r:id="rId10" display="mailto:Andy.Miller@flywheelenergy.com" xr:uid="{472E37D9-94C7-445E-ACF3-E5BA49CFD687}"/>
    <hyperlink ref="N25" r:id="rId11" display="mailto:rjohnson@bandapm.com" xr:uid="{A4240B29-5387-4331-8132-ABE75FF46981}"/>
    <hyperlink ref="N35" r:id="rId12" display="mailto:jhaas@publicpower.org" xr:uid="{2D6E2EBB-A67C-4F3E-A6B8-0C82BFE14ED3}"/>
    <hyperlink ref="N26" r:id="rId13" display="mailto:David@littlerockconwaysign.com" xr:uid="{6A3B4189-32BA-4F20-A106-5A07AF7132AD}"/>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9E655-46F6-46BA-AA58-2347E25F7FF8}">
  <dimension ref="A1:H92"/>
  <sheetViews>
    <sheetView workbookViewId="0">
      <pane ySplit="1" topLeftCell="A2" activePane="bottomLeft" state="frozen"/>
      <selection pane="bottomLeft" sqref="A1:E1"/>
    </sheetView>
  </sheetViews>
  <sheetFormatPr defaultColWidth="9.1796875" defaultRowHeight="14.5" x14ac:dyDescent="0.35"/>
  <cols>
    <col min="1" max="1" width="46.453125" style="5" customWidth="1"/>
    <col min="2" max="2" width="17.54296875" style="114" customWidth="1"/>
    <col min="3" max="3" width="16.81640625" style="114" customWidth="1"/>
    <col min="4" max="4" width="33" style="5" bestFit="1" customWidth="1"/>
    <col min="5" max="5" width="36.81640625" style="5" bestFit="1" customWidth="1"/>
    <col min="6" max="7" width="9.1796875" style="5"/>
    <col min="8" max="8" width="13.26953125" style="5" customWidth="1"/>
    <col min="9" max="16384" width="9.1796875" style="5"/>
  </cols>
  <sheetData>
    <row r="1" spans="1:8" ht="29" x14ac:dyDescent="0.35">
      <c r="A1" s="12" t="s">
        <v>1793</v>
      </c>
      <c r="B1" s="122" t="s">
        <v>1794</v>
      </c>
      <c r="C1" s="122" t="s">
        <v>1795</v>
      </c>
      <c r="D1" s="12" t="s">
        <v>17</v>
      </c>
      <c r="E1" s="12" t="s">
        <v>19</v>
      </c>
    </row>
    <row r="2" spans="1:8" x14ac:dyDescent="0.35">
      <c r="A2" s="193" t="s">
        <v>31</v>
      </c>
      <c r="B2" s="115">
        <v>2</v>
      </c>
      <c r="C2" s="115"/>
      <c r="D2" s="9" t="s">
        <v>35</v>
      </c>
      <c r="E2" s="9"/>
    </row>
    <row r="3" spans="1:8" x14ac:dyDescent="0.35">
      <c r="A3" s="193" t="s">
        <v>108</v>
      </c>
      <c r="B3" s="115">
        <v>2</v>
      </c>
      <c r="C3" s="115"/>
      <c r="D3" s="9" t="s">
        <v>1796</v>
      </c>
      <c r="E3" s="9"/>
      <c r="H3" s="47" t="s">
        <v>1797</v>
      </c>
    </row>
    <row r="4" spans="1:8" x14ac:dyDescent="0.35">
      <c r="A4" s="193" t="s">
        <v>114</v>
      </c>
      <c r="B4" s="115">
        <v>2</v>
      </c>
      <c r="C4" s="115"/>
      <c r="D4" s="9" t="s">
        <v>1798</v>
      </c>
      <c r="E4" s="9"/>
      <c r="H4" s="117" t="s">
        <v>1799</v>
      </c>
    </row>
    <row r="5" spans="1:8" x14ac:dyDescent="0.35">
      <c r="A5" s="193" t="s">
        <v>1800</v>
      </c>
      <c r="B5" s="115">
        <v>2</v>
      </c>
      <c r="C5" s="115"/>
      <c r="D5" s="9" t="s">
        <v>1801</v>
      </c>
      <c r="E5" s="9"/>
    </row>
    <row r="6" spans="1:8" x14ac:dyDescent="0.35">
      <c r="A6" s="193" t="s">
        <v>531</v>
      </c>
      <c r="B6" s="115">
        <v>1</v>
      </c>
      <c r="C6" s="115"/>
      <c r="D6" s="9" t="s">
        <v>535</v>
      </c>
      <c r="E6" s="9"/>
    </row>
    <row r="7" spans="1:8" x14ac:dyDescent="0.35">
      <c r="A7" s="193" t="s">
        <v>124</v>
      </c>
      <c r="B7" s="115">
        <v>1</v>
      </c>
      <c r="C7" s="115"/>
      <c r="D7" s="9" t="s">
        <v>1802</v>
      </c>
      <c r="E7" s="196" t="s">
        <v>1803</v>
      </c>
    </row>
    <row r="8" spans="1:8" x14ac:dyDescent="0.35">
      <c r="A8" s="193" t="s">
        <v>129</v>
      </c>
      <c r="B8" s="115">
        <v>1</v>
      </c>
      <c r="C8" s="115"/>
      <c r="D8" s="9" t="s">
        <v>1804</v>
      </c>
      <c r="E8" s="9"/>
    </row>
    <row r="9" spans="1:8" ht="29" x14ac:dyDescent="0.35">
      <c r="A9" s="89" t="s">
        <v>1805</v>
      </c>
      <c r="B9" s="190">
        <v>4</v>
      </c>
      <c r="C9" s="190">
        <v>4</v>
      </c>
      <c r="D9" s="50" t="s">
        <v>1806</v>
      </c>
      <c r="E9" s="196" t="s">
        <v>1139</v>
      </c>
    </row>
    <row r="10" spans="1:8" x14ac:dyDescent="0.35">
      <c r="A10" s="89" t="s">
        <v>1807</v>
      </c>
      <c r="B10" s="190">
        <v>1</v>
      </c>
      <c r="C10" s="190">
        <v>1</v>
      </c>
      <c r="D10" s="50" t="s">
        <v>144</v>
      </c>
      <c r="E10" s="9"/>
    </row>
    <row r="11" spans="1:8" x14ac:dyDescent="0.35">
      <c r="A11" s="193" t="s">
        <v>490</v>
      </c>
      <c r="B11" s="115">
        <v>1</v>
      </c>
      <c r="C11" s="115"/>
      <c r="D11" s="9" t="s">
        <v>1808</v>
      </c>
      <c r="E11" s="9"/>
    </row>
    <row r="12" spans="1:8" ht="29" x14ac:dyDescent="0.35">
      <c r="A12" s="193" t="s">
        <v>1348</v>
      </c>
      <c r="B12" s="115">
        <v>2</v>
      </c>
      <c r="C12" s="115"/>
      <c r="D12" s="9"/>
      <c r="E12" s="9" t="s">
        <v>1809</v>
      </c>
    </row>
    <row r="13" spans="1:8" x14ac:dyDescent="0.35">
      <c r="A13" s="193" t="s">
        <v>596</v>
      </c>
      <c r="B13" s="115">
        <v>1</v>
      </c>
      <c r="C13" s="115"/>
      <c r="D13" s="9" t="s">
        <v>599</v>
      </c>
      <c r="E13" s="9"/>
    </row>
    <row r="14" spans="1:8" x14ac:dyDescent="0.35">
      <c r="A14" s="193" t="s">
        <v>1064</v>
      </c>
      <c r="B14" s="115">
        <v>1</v>
      </c>
      <c r="C14" s="115"/>
      <c r="D14" s="9" t="s">
        <v>1810</v>
      </c>
      <c r="E14" s="9"/>
    </row>
    <row r="15" spans="1:8" x14ac:dyDescent="0.35">
      <c r="A15" s="193" t="s">
        <v>368</v>
      </c>
      <c r="B15" s="115">
        <v>1</v>
      </c>
      <c r="C15" s="115"/>
      <c r="D15" s="9" t="s">
        <v>369</v>
      </c>
      <c r="E15" s="196" t="s">
        <v>370</v>
      </c>
    </row>
    <row r="16" spans="1:8" x14ac:dyDescent="0.35">
      <c r="A16" s="193" t="s">
        <v>265</v>
      </c>
      <c r="B16" s="115">
        <v>1</v>
      </c>
      <c r="C16" s="115"/>
      <c r="D16" s="9" t="s">
        <v>1144</v>
      </c>
      <c r="E16" s="9"/>
    </row>
    <row r="17" spans="1:5" x14ac:dyDescent="0.35">
      <c r="A17" s="193" t="s">
        <v>140</v>
      </c>
      <c r="B17" s="115">
        <v>2</v>
      </c>
      <c r="C17" s="115"/>
      <c r="D17" s="9" t="s">
        <v>1811</v>
      </c>
      <c r="E17" s="9"/>
    </row>
    <row r="18" spans="1:5" x14ac:dyDescent="0.35">
      <c r="A18" s="193" t="s">
        <v>338</v>
      </c>
      <c r="B18" s="115">
        <v>1</v>
      </c>
      <c r="C18" s="115"/>
      <c r="D18" s="9" t="s">
        <v>1320</v>
      </c>
      <c r="E18" s="9"/>
    </row>
    <row r="19" spans="1:5" x14ac:dyDescent="0.35">
      <c r="A19" s="193" t="s">
        <v>157</v>
      </c>
      <c r="B19" s="115">
        <v>1</v>
      </c>
      <c r="C19" s="115"/>
      <c r="D19" s="9" t="s">
        <v>455</v>
      </c>
      <c r="E19" s="9"/>
    </row>
    <row r="20" spans="1:5" ht="29" x14ac:dyDescent="0.35">
      <c r="A20" s="89" t="s">
        <v>1353</v>
      </c>
      <c r="B20" s="190">
        <v>3</v>
      </c>
      <c r="C20" s="190">
        <v>4</v>
      </c>
      <c r="D20" s="50" t="s">
        <v>1812</v>
      </c>
      <c r="E20" s="9"/>
    </row>
    <row r="21" spans="1:5" x14ac:dyDescent="0.35">
      <c r="A21" s="193" t="s">
        <v>165</v>
      </c>
      <c r="B21" s="115">
        <v>1</v>
      </c>
      <c r="C21" s="115"/>
      <c r="D21" s="9" t="s">
        <v>1813</v>
      </c>
      <c r="E21" s="9"/>
    </row>
    <row r="22" spans="1:5" x14ac:dyDescent="0.35">
      <c r="A22" s="193" t="s">
        <v>170</v>
      </c>
      <c r="B22" s="115">
        <v>2</v>
      </c>
      <c r="C22" s="115"/>
      <c r="D22" s="9" t="s">
        <v>1814</v>
      </c>
      <c r="E22" s="9"/>
    </row>
    <row r="23" spans="1:5" x14ac:dyDescent="0.35">
      <c r="A23" s="193" t="s">
        <v>175</v>
      </c>
      <c r="B23" s="115">
        <v>1</v>
      </c>
      <c r="C23" s="115"/>
      <c r="D23" s="9" t="s">
        <v>1072</v>
      </c>
      <c r="E23" s="9"/>
    </row>
    <row r="24" spans="1:5" x14ac:dyDescent="0.35">
      <c r="A24" s="193" t="s">
        <v>181</v>
      </c>
      <c r="B24" s="115">
        <v>2</v>
      </c>
      <c r="C24" s="115">
        <v>2</v>
      </c>
      <c r="D24" s="9" t="s">
        <v>1815</v>
      </c>
      <c r="E24" s="9"/>
    </row>
    <row r="25" spans="1:5" x14ac:dyDescent="0.35">
      <c r="A25" s="39" t="s">
        <v>1356</v>
      </c>
      <c r="B25" s="115">
        <v>1</v>
      </c>
      <c r="C25" s="115"/>
      <c r="D25" s="9"/>
      <c r="E25" s="9"/>
    </row>
    <row r="26" spans="1:5" x14ac:dyDescent="0.35">
      <c r="A26" s="194" t="s">
        <v>1273</v>
      </c>
      <c r="B26" s="116">
        <v>1</v>
      </c>
      <c r="C26" s="116">
        <v>0</v>
      </c>
      <c r="D26" s="112" t="s">
        <v>1276</v>
      </c>
      <c r="E26" s="9"/>
    </row>
    <row r="27" spans="1:5" x14ac:dyDescent="0.35">
      <c r="A27" s="193" t="s">
        <v>199</v>
      </c>
      <c r="B27" s="115">
        <v>1</v>
      </c>
      <c r="C27" s="115"/>
      <c r="D27" s="9" t="s">
        <v>447</v>
      </c>
      <c r="E27" s="9"/>
    </row>
    <row r="28" spans="1:5" x14ac:dyDescent="0.35">
      <c r="A28" s="193" t="s">
        <v>218</v>
      </c>
      <c r="B28" s="115">
        <v>1</v>
      </c>
      <c r="C28" s="115"/>
      <c r="D28" s="9" t="s">
        <v>1816</v>
      </c>
      <c r="E28" s="9"/>
    </row>
    <row r="29" spans="1:5" x14ac:dyDescent="0.35">
      <c r="A29" s="193" t="s">
        <v>1157</v>
      </c>
      <c r="B29" s="115">
        <v>2</v>
      </c>
      <c r="C29" s="115"/>
      <c r="D29" s="9" t="s">
        <v>1158</v>
      </c>
      <c r="E29" s="9"/>
    </row>
    <row r="30" spans="1:5" x14ac:dyDescent="0.35">
      <c r="A30" s="193" t="s">
        <v>171</v>
      </c>
      <c r="B30" s="115">
        <v>2</v>
      </c>
      <c r="C30" s="115"/>
      <c r="D30" s="9" t="s">
        <v>173</v>
      </c>
      <c r="E30" s="9"/>
    </row>
    <row r="31" spans="1:5" x14ac:dyDescent="0.35">
      <c r="A31" s="193" t="s">
        <v>226</v>
      </c>
      <c r="B31" s="115">
        <v>1</v>
      </c>
      <c r="C31" s="115"/>
      <c r="D31" s="9" t="s">
        <v>1817</v>
      </c>
      <c r="E31" s="9"/>
    </row>
    <row r="32" spans="1:5" x14ac:dyDescent="0.35">
      <c r="A32" s="193" t="s">
        <v>1818</v>
      </c>
      <c r="B32" s="115">
        <v>1</v>
      </c>
      <c r="C32" s="115"/>
      <c r="D32" s="9" t="s">
        <v>1682</v>
      </c>
      <c r="E32" s="9"/>
    </row>
    <row r="33" spans="1:5" ht="29" x14ac:dyDescent="0.35">
      <c r="A33" s="193" t="s">
        <v>1819</v>
      </c>
      <c r="B33" s="115">
        <v>2</v>
      </c>
      <c r="C33" s="115"/>
      <c r="D33" s="9" t="s">
        <v>1820</v>
      </c>
      <c r="E33" s="9" t="s">
        <v>1821</v>
      </c>
    </row>
    <row r="34" spans="1:5" x14ac:dyDescent="0.35">
      <c r="A34" s="193" t="s">
        <v>242</v>
      </c>
      <c r="B34" s="115">
        <v>1</v>
      </c>
      <c r="C34" s="115"/>
      <c r="D34" s="9" t="s">
        <v>463</v>
      </c>
      <c r="E34" s="9"/>
    </row>
    <row r="35" spans="1:5" x14ac:dyDescent="0.35">
      <c r="A35" s="193" t="s">
        <v>260</v>
      </c>
      <c r="B35" s="115">
        <v>2</v>
      </c>
      <c r="C35" s="115"/>
      <c r="D35" s="9" t="s">
        <v>1822</v>
      </c>
      <c r="E35" s="9"/>
    </row>
    <row r="36" spans="1:5" ht="29" x14ac:dyDescent="0.35">
      <c r="A36" s="50" t="s">
        <v>1823</v>
      </c>
      <c r="B36" s="190">
        <v>1</v>
      </c>
      <c r="C36" s="190">
        <v>1</v>
      </c>
      <c r="D36" s="50" t="s">
        <v>1824</v>
      </c>
      <c r="E36" s="9"/>
    </row>
    <row r="37" spans="1:5" x14ac:dyDescent="0.35">
      <c r="A37" s="193" t="s">
        <v>255</v>
      </c>
      <c r="B37" s="115">
        <v>1</v>
      </c>
      <c r="C37" s="115"/>
      <c r="D37" s="9" t="s">
        <v>1825</v>
      </c>
      <c r="E37" s="9"/>
    </row>
    <row r="38" spans="1:5" x14ac:dyDescent="0.35">
      <c r="A38" s="193" t="s">
        <v>1826</v>
      </c>
      <c r="B38" s="115">
        <v>1</v>
      </c>
      <c r="C38" s="115"/>
      <c r="D38" s="9" t="s">
        <v>1827</v>
      </c>
      <c r="E38" s="9"/>
    </row>
    <row r="39" spans="1:5" x14ac:dyDescent="0.35">
      <c r="A39" s="194" t="s">
        <v>259</v>
      </c>
      <c r="B39" s="116">
        <v>1</v>
      </c>
      <c r="C39" s="116">
        <v>0</v>
      </c>
      <c r="D39" s="112" t="s">
        <v>105</v>
      </c>
      <c r="E39" s="9"/>
    </row>
    <row r="40" spans="1:5" x14ac:dyDescent="0.35">
      <c r="A40" s="89" t="s">
        <v>264</v>
      </c>
      <c r="B40" s="190">
        <v>1</v>
      </c>
      <c r="C40" s="190">
        <v>1</v>
      </c>
      <c r="D40" s="50" t="s">
        <v>419</v>
      </c>
      <c r="E40" s="9"/>
    </row>
    <row r="41" spans="1:5" x14ac:dyDescent="0.35">
      <c r="A41" s="193" t="s">
        <v>1828</v>
      </c>
      <c r="B41" s="115">
        <v>1</v>
      </c>
      <c r="C41" s="115"/>
      <c r="D41" s="9" t="s">
        <v>1829</v>
      </c>
      <c r="E41" s="9"/>
    </row>
    <row r="42" spans="1:5" x14ac:dyDescent="0.35">
      <c r="A42" s="193" t="s">
        <v>276</v>
      </c>
      <c r="B42" s="115">
        <v>2</v>
      </c>
      <c r="C42" s="115"/>
      <c r="D42" s="9" t="s">
        <v>1830</v>
      </c>
      <c r="E42" s="9"/>
    </row>
    <row r="43" spans="1:5" ht="29" x14ac:dyDescent="0.35">
      <c r="A43" s="89" t="s">
        <v>288</v>
      </c>
      <c r="B43" s="190">
        <v>2</v>
      </c>
      <c r="C43" s="190">
        <v>4</v>
      </c>
      <c r="D43" s="50" t="s">
        <v>1831</v>
      </c>
      <c r="E43" s="9"/>
    </row>
    <row r="44" spans="1:5" x14ac:dyDescent="0.35">
      <c r="A44" s="89" t="s">
        <v>248</v>
      </c>
      <c r="B44" s="190">
        <v>1</v>
      </c>
      <c r="C44" s="190">
        <v>1</v>
      </c>
      <c r="D44" s="50" t="s">
        <v>1832</v>
      </c>
      <c r="E44" s="9"/>
    </row>
    <row r="45" spans="1:5" x14ac:dyDescent="0.35">
      <c r="A45" s="194" t="s">
        <v>160</v>
      </c>
      <c r="B45" s="116">
        <v>1</v>
      </c>
      <c r="C45" s="116">
        <v>0</v>
      </c>
      <c r="D45" s="112" t="s">
        <v>163</v>
      </c>
      <c r="E45" s="9"/>
    </row>
    <row r="46" spans="1:5" x14ac:dyDescent="0.35">
      <c r="A46" s="89" t="s">
        <v>1833</v>
      </c>
      <c r="B46" s="190">
        <v>2</v>
      </c>
      <c r="C46" s="190">
        <v>2</v>
      </c>
      <c r="D46" s="50" t="s">
        <v>1834</v>
      </c>
      <c r="E46" s="9"/>
    </row>
    <row r="47" spans="1:5" x14ac:dyDescent="0.35">
      <c r="A47" s="194" t="s">
        <v>1835</v>
      </c>
      <c r="B47" s="116">
        <v>1</v>
      </c>
      <c r="C47" s="198">
        <v>0</v>
      </c>
      <c r="D47" s="112" t="s">
        <v>483</v>
      </c>
      <c r="E47" s="196" t="s">
        <v>484</v>
      </c>
    </row>
    <row r="48" spans="1:5" x14ac:dyDescent="0.35">
      <c r="A48" s="193" t="s">
        <v>1836</v>
      </c>
      <c r="B48" s="115">
        <v>0</v>
      </c>
      <c r="C48" s="115"/>
      <c r="D48" s="9"/>
      <c r="E48" s="9"/>
    </row>
    <row r="49" spans="1:5" x14ac:dyDescent="0.35">
      <c r="A49" s="193" t="s">
        <v>1182</v>
      </c>
      <c r="B49" s="115">
        <v>1</v>
      </c>
      <c r="C49" s="115"/>
      <c r="D49" s="9" t="s">
        <v>1837</v>
      </c>
      <c r="E49" s="9"/>
    </row>
    <row r="50" spans="1:5" x14ac:dyDescent="0.35">
      <c r="A50" s="193" t="s">
        <v>1838</v>
      </c>
      <c r="B50" s="115">
        <v>0</v>
      </c>
      <c r="C50" s="115"/>
      <c r="D50" s="9"/>
      <c r="E50" s="9"/>
    </row>
    <row r="51" spans="1:5" x14ac:dyDescent="0.35">
      <c r="A51" s="193" t="s">
        <v>329</v>
      </c>
      <c r="B51" s="115">
        <v>2</v>
      </c>
      <c r="C51" s="115"/>
      <c r="D51" s="9" t="s">
        <v>371</v>
      </c>
      <c r="E51" s="9"/>
    </row>
    <row r="52" spans="1:5" x14ac:dyDescent="0.35">
      <c r="A52" s="193" t="s">
        <v>1839</v>
      </c>
      <c r="B52" s="115">
        <v>0</v>
      </c>
      <c r="C52" s="115"/>
      <c r="D52" s="9"/>
      <c r="E52" s="9"/>
    </row>
    <row r="53" spans="1:5" x14ac:dyDescent="0.35">
      <c r="A53" s="193" t="s">
        <v>1840</v>
      </c>
      <c r="B53" s="115">
        <v>2</v>
      </c>
      <c r="C53" s="115"/>
      <c r="D53" s="9" t="s">
        <v>196</v>
      </c>
      <c r="E53" s="9"/>
    </row>
    <row r="54" spans="1:5" x14ac:dyDescent="0.35">
      <c r="A54" s="193" t="s">
        <v>673</v>
      </c>
      <c r="B54" s="115">
        <v>1</v>
      </c>
      <c r="C54" s="115"/>
      <c r="D54" s="9"/>
      <c r="E54" s="196" t="s">
        <v>1841</v>
      </c>
    </row>
    <row r="55" spans="1:5" x14ac:dyDescent="0.35">
      <c r="A55" s="193" t="s">
        <v>1186</v>
      </c>
      <c r="B55" s="115">
        <v>1</v>
      </c>
      <c r="C55" s="115"/>
      <c r="D55" s="9" t="s">
        <v>1842</v>
      </c>
      <c r="E55" s="9"/>
    </row>
    <row r="56" spans="1:5" x14ac:dyDescent="0.35">
      <c r="A56" s="193" t="s">
        <v>87</v>
      </c>
      <c r="B56" s="115">
        <v>1</v>
      </c>
      <c r="C56" s="115"/>
      <c r="D56" s="9" t="s">
        <v>769</v>
      </c>
      <c r="E56" s="9" t="s">
        <v>770</v>
      </c>
    </row>
    <row r="57" spans="1:5" x14ac:dyDescent="0.35">
      <c r="A57" s="193" t="s">
        <v>222</v>
      </c>
      <c r="B57" s="115">
        <v>1</v>
      </c>
      <c r="C57" s="115"/>
      <c r="D57" s="9" t="s">
        <v>1843</v>
      </c>
      <c r="E57" s="9"/>
    </row>
    <row r="58" spans="1:5" x14ac:dyDescent="0.35">
      <c r="A58" s="193" t="s">
        <v>1249</v>
      </c>
      <c r="B58" s="115">
        <v>1</v>
      </c>
      <c r="C58" s="115"/>
      <c r="D58" s="9" t="s">
        <v>1252</v>
      </c>
      <c r="E58" s="9" t="s">
        <v>1253</v>
      </c>
    </row>
    <row r="59" spans="1:5" ht="29" x14ac:dyDescent="0.35">
      <c r="A59" s="193" t="s">
        <v>363</v>
      </c>
      <c r="B59" s="115">
        <v>3</v>
      </c>
      <c r="C59" s="115"/>
      <c r="D59" s="9" t="s">
        <v>1844</v>
      </c>
      <c r="E59" s="9"/>
    </row>
    <row r="60" spans="1:5" x14ac:dyDescent="0.35">
      <c r="A60" s="193" t="s">
        <v>1845</v>
      </c>
      <c r="B60" s="115">
        <v>1</v>
      </c>
      <c r="C60" s="115"/>
      <c r="D60" s="9" t="s">
        <v>1364</v>
      </c>
      <c r="E60" s="9"/>
    </row>
    <row r="61" spans="1:5" x14ac:dyDescent="0.35">
      <c r="A61" s="193" t="s">
        <v>601</v>
      </c>
      <c r="B61" s="115">
        <v>1</v>
      </c>
      <c r="C61" s="115"/>
      <c r="D61" s="9" t="s">
        <v>1846</v>
      </c>
      <c r="E61" s="9"/>
    </row>
    <row r="62" spans="1:5" x14ac:dyDescent="0.35">
      <c r="A62" s="193" t="s">
        <v>1207</v>
      </c>
      <c r="B62" s="115">
        <v>2</v>
      </c>
      <c r="C62" s="115"/>
      <c r="D62" s="9" t="s">
        <v>1208</v>
      </c>
      <c r="E62" s="9"/>
    </row>
    <row r="63" spans="1:5" x14ac:dyDescent="0.35">
      <c r="A63" s="193" t="s">
        <v>373</v>
      </c>
      <c r="B63" s="115">
        <v>1</v>
      </c>
      <c r="C63" s="115"/>
      <c r="D63" s="9" t="s">
        <v>311</v>
      </c>
      <c r="E63" s="9"/>
    </row>
    <row r="64" spans="1:5" x14ac:dyDescent="0.35">
      <c r="A64" s="193" t="s">
        <v>1210</v>
      </c>
      <c r="B64" s="115">
        <v>1</v>
      </c>
      <c r="C64" s="115"/>
      <c r="D64" s="9" t="s">
        <v>1211</v>
      </c>
      <c r="E64" s="9"/>
    </row>
    <row r="65" spans="1:5" x14ac:dyDescent="0.35">
      <c r="A65" s="193" t="s">
        <v>356</v>
      </c>
      <c r="B65" s="115">
        <v>1</v>
      </c>
      <c r="C65" s="115"/>
      <c r="D65" s="9" t="s">
        <v>357</v>
      </c>
      <c r="E65" s="196" t="s">
        <v>358</v>
      </c>
    </row>
    <row r="66" spans="1:5" x14ac:dyDescent="0.35">
      <c r="A66" s="193" t="s">
        <v>1847</v>
      </c>
      <c r="B66" s="115">
        <v>1</v>
      </c>
      <c r="C66" s="115"/>
      <c r="D66" s="9" t="s">
        <v>1649</v>
      </c>
      <c r="E66" s="9"/>
    </row>
    <row r="67" spans="1:5" x14ac:dyDescent="0.35">
      <c r="A67" s="193" t="s">
        <v>1848</v>
      </c>
      <c r="B67" s="115">
        <v>2</v>
      </c>
      <c r="C67" s="115"/>
      <c r="D67" s="9" t="s">
        <v>1849</v>
      </c>
      <c r="E67" s="9"/>
    </row>
    <row r="68" spans="1:5" x14ac:dyDescent="0.35">
      <c r="A68" s="193" t="s">
        <v>377</v>
      </c>
      <c r="B68" s="115">
        <v>1</v>
      </c>
      <c r="C68" s="115"/>
      <c r="D68" s="9" t="s">
        <v>1850</v>
      </c>
      <c r="E68" s="9"/>
    </row>
    <row r="69" spans="1:5" x14ac:dyDescent="0.35">
      <c r="A69" s="193" t="s">
        <v>1617</v>
      </c>
      <c r="B69" s="115">
        <v>1</v>
      </c>
      <c r="C69" s="115"/>
      <c r="D69" s="9" t="s">
        <v>354</v>
      </c>
      <c r="E69" s="9"/>
    </row>
    <row r="70" spans="1:5" x14ac:dyDescent="0.35">
      <c r="A70" s="193" t="s">
        <v>1851</v>
      </c>
      <c r="B70" s="115">
        <v>1</v>
      </c>
      <c r="C70" s="115"/>
      <c r="D70" s="9" t="s">
        <v>1852</v>
      </c>
      <c r="E70" s="9"/>
    </row>
    <row r="71" spans="1:5" x14ac:dyDescent="0.35">
      <c r="A71" s="89" t="s">
        <v>831</v>
      </c>
      <c r="B71" s="190">
        <v>2</v>
      </c>
      <c r="C71" s="190">
        <v>2</v>
      </c>
      <c r="D71" s="50" t="s">
        <v>832</v>
      </c>
      <c r="E71" s="50"/>
    </row>
    <row r="72" spans="1:5" x14ac:dyDescent="0.35">
      <c r="A72" s="39" t="s">
        <v>1853</v>
      </c>
      <c r="B72" s="115">
        <v>1</v>
      </c>
      <c r="C72" s="115"/>
      <c r="D72" s="9"/>
      <c r="E72" s="9"/>
    </row>
    <row r="73" spans="1:5" x14ac:dyDescent="0.35">
      <c r="A73" s="193" t="s">
        <v>350</v>
      </c>
      <c r="B73" s="115">
        <v>1</v>
      </c>
      <c r="C73" s="115"/>
      <c r="D73" s="9" t="s">
        <v>351</v>
      </c>
      <c r="E73" s="9"/>
    </row>
    <row r="74" spans="1:5" x14ac:dyDescent="0.35">
      <c r="A74" s="193" t="s">
        <v>1854</v>
      </c>
      <c r="B74" s="115">
        <v>1</v>
      </c>
      <c r="C74" s="115"/>
      <c r="D74" s="9" t="s">
        <v>1242</v>
      </c>
      <c r="E74" s="9"/>
    </row>
    <row r="75" spans="1:5" x14ac:dyDescent="0.35">
      <c r="A75" s="193" t="s">
        <v>742</v>
      </c>
      <c r="B75" s="115">
        <v>1</v>
      </c>
      <c r="C75" s="115"/>
      <c r="D75" s="9" t="s">
        <v>1584</v>
      </c>
      <c r="E75" s="9"/>
    </row>
    <row r="76" spans="1:5" x14ac:dyDescent="0.35">
      <c r="A76" s="193" t="s">
        <v>401</v>
      </c>
      <c r="B76" s="115">
        <v>1</v>
      </c>
      <c r="C76" s="115"/>
      <c r="D76" s="9" t="s">
        <v>29</v>
      </c>
      <c r="E76" s="9"/>
    </row>
    <row r="77" spans="1:5" x14ac:dyDescent="0.35">
      <c r="A77" s="193" t="s">
        <v>1040</v>
      </c>
      <c r="B77" s="115">
        <v>1</v>
      </c>
      <c r="C77" s="115"/>
      <c r="D77" s="9" t="s">
        <v>1366</v>
      </c>
      <c r="E77" s="9"/>
    </row>
    <row r="78" spans="1:5" x14ac:dyDescent="0.35">
      <c r="A78" s="89" t="s">
        <v>702</v>
      </c>
      <c r="B78" s="190">
        <v>1</v>
      </c>
      <c r="C78" s="190">
        <v>1</v>
      </c>
      <c r="D78" s="50" t="s">
        <v>1855</v>
      </c>
      <c r="E78" s="9"/>
    </row>
    <row r="79" spans="1:5" x14ac:dyDescent="0.35">
      <c r="A79" s="193" t="s">
        <v>182</v>
      </c>
      <c r="B79" s="115">
        <v>1</v>
      </c>
      <c r="C79" s="115"/>
      <c r="D79" s="9" t="s">
        <v>1856</v>
      </c>
      <c r="E79" s="9"/>
    </row>
    <row r="80" spans="1:5" x14ac:dyDescent="0.35">
      <c r="A80" s="193" t="s">
        <v>1857</v>
      </c>
      <c r="B80" s="115">
        <v>1</v>
      </c>
      <c r="C80" s="115"/>
      <c r="D80" s="9" t="s">
        <v>216</v>
      </c>
      <c r="E80" s="9"/>
    </row>
    <row r="81" spans="1:5" x14ac:dyDescent="0.35">
      <c r="A81" s="193" t="s">
        <v>166</v>
      </c>
      <c r="B81" s="115">
        <v>2</v>
      </c>
      <c r="C81" s="115"/>
      <c r="D81" s="9" t="s">
        <v>1858</v>
      </c>
      <c r="E81" s="9"/>
    </row>
    <row r="82" spans="1:5" x14ac:dyDescent="0.35">
      <c r="A82" s="193" t="s">
        <v>70</v>
      </c>
      <c r="B82" s="115">
        <v>2</v>
      </c>
      <c r="C82" s="115"/>
      <c r="D82" s="9" t="s">
        <v>74</v>
      </c>
      <c r="E82" s="9"/>
    </row>
    <row r="83" spans="1:5" x14ac:dyDescent="0.35">
      <c r="A83" s="193" t="s">
        <v>1859</v>
      </c>
      <c r="B83" s="115">
        <v>1</v>
      </c>
      <c r="C83" s="115"/>
      <c r="D83" s="9" t="s">
        <v>1703</v>
      </c>
      <c r="E83" s="196" t="s">
        <v>1860</v>
      </c>
    </row>
    <row r="84" spans="1:5" x14ac:dyDescent="0.35">
      <c r="A84" s="193" t="s">
        <v>52</v>
      </c>
      <c r="B84" s="115">
        <v>2</v>
      </c>
      <c r="C84" s="115"/>
      <c r="D84" s="9" t="s">
        <v>54</v>
      </c>
      <c r="E84" s="9"/>
    </row>
    <row r="85" spans="1:5" x14ac:dyDescent="0.35">
      <c r="A85" s="89" t="s">
        <v>1373</v>
      </c>
      <c r="B85" s="190">
        <v>1</v>
      </c>
      <c r="C85" s="190">
        <v>1</v>
      </c>
      <c r="D85" s="50" t="s">
        <v>1861</v>
      </c>
      <c r="E85" s="92" t="s">
        <v>1862</v>
      </c>
    </row>
    <row r="86" spans="1:5" x14ac:dyDescent="0.35">
      <c r="A86" s="193" t="s">
        <v>1863</v>
      </c>
      <c r="B86" s="115">
        <v>2</v>
      </c>
      <c r="C86" s="115"/>
      <c r="D86" s="9"/>
      <c r="E86" s="9"/>
    </row>
    <row r="87" spans="1:5" x14ac:dyDescent="0.35">
      <c r="A87" s="193" t="s">
        <v>1233</v>
      </c>
      <c r="B87" s="115">
        <v>1</v>
      </c>
      <c r="C87" s="115"/>
      <c r="D87" s="9"/>
      <c r="E87" s="9"/>
    </row>
    <row r="88" spans="1:5" x14ac:dyDescent="0.35">
      <c r="B88" s="191">
        <f>SUM(B2:B87)</f>
        <v>114</v>
      </c>
      <c r="C88" s="192">
        <f>SUM(C2:C87)</f>
        <v>24</v>
      </c>
    </row>
    <row r="91" spans="1:5" x14ac:dyDescent="0.35">
      <c r="A91" s="12" t="s">
        <v>1864</v>
      </c>
      <c r="B91" s="197"/>
      <c r="C91" s="197"/>
      <c r="D91" s="44"/>
      <c r="E91" s="43"/>
    </row>
    <row r="92" spans="1:5" x14ac:dyDescent="0.35">
      <c r="A92" s="48" t="s">
        <v>1865</v>
      </c>
      <c r="B92" s="115">
        <v>4</v>
      </c>
      <c r="C92" s="115"/>
      <c r="D92" s="9" t="s">
        <v>1866</v>
      </c>
      <c r="E92" s="9" t="s">
        <v>1867</v>
      </c>
    </row>
  </sheetData>
  <sortState xmlns:xlrd2="http://schemas.microsoft.com/office/spreadsheetml/2017/richdata2" ref="A2:E92">
    <sortCondition ref="A92"/>
  </sortState>
  <hyperlinks>
    <hyperlink ref="E9" r:id="rId1" display="mailto:rjohnson@bandapm.com" xr:uid="{B164F7E3-25E6-4165-A884-E8ADFCD9F337}"/>
    <hyperlink ref="E15" r:id="rId2" display="mailto:CarrollJo.Malloy@CARTI.com" xr:uid="{A4521C91-3B86-4F6A-B52A-F9AE0CB50DAF}"/>
    <hyperlink ref="E47" r:id="rId3" display="mailto:office@hdroofing-construction.com" xr:uid="{3334DC54-7774-47D2-A148-86A5376D8DBD}"/>
    <hyperlink ref="E54" r:id="rId4" display="mailto:joey@integrityinsurancear.com" xr:uid="{528C93F1-BE22-4467-B6F1-6C203D554127}"/>
    <hyperlink ref="E65" r:id="rId5" display="mailto:michellemallett@ottinsurance.com" xr:uid="{F30DA258-7409-4A41-A2CD-2DD2F479E7D3}"/>
    <hyperlink ref="E83" r:id="rId6" display="mailto:Clark@uaccm.edu" xr:uid="{E4C63E44-AB29-4E5F-8E84-6DD9158D9E8A}"/>
    <hyperlink ref="E7" r:id="rId7" xr:uid="{04A01B03-C2D6-4EAD-A824-35DC31CF6F29}"/>
    <hyperlink ref="E85" r:id="rId8" display="mailto:wesley.paul.pruitt@gmail.com" xr:uid="{85FEF363-3439-41E6-9435-82FC550031C2}"/>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7CB4-7C1B-4D4F-ABF0-749E99F5DB11}">
  <dimension ref="A1:R317"/>
  <sheetViews>
    <sheetView workbookViewId="0">
      <pane xSplit="10" ySplit="18" topLeftCell="K22" activePane="bottomRight" state="frozen"/>
      <selection pane="topRight" activeCell="K1" sqref="K1"/>
      <selection pane="bottomLeft" activeCell="A19" sqref="A19"/>
      <selection pane="bottomRight" activeCell="K22" sqref="K22"/>
    </sheetView>
  </sheetViews>
  <sheetFormatPr defaultColWidth="36.54296875" defaultRowHeight="14.5" x14ac:dyDescent="0.35"/>
  <cols>
    <col min="1" max="1" width="42.453125" style="5" customWidth="1"/>
    <col min="2" max="2" width="11.7265625" style="5" bestFit="1" customWidth="1"/>
    <col min="3" max="3" width="14.81640625" style="5" bestFit="1" customWidth="1"/>
    <col min="4" max="4" width="9.1796875" style="5" bestFit="1" customWidth="1"/>
    <col min="5" max="5" width="15.81640625" style="5" bestFit="1" customWidth="1"/>
    <col min="6" max="6" width="8.7265625" style="5" bestFit="1" customWidth="1"/>
    <col min="7" max="7" width="11.1796875" style="5" bestFit="1" customWidth="1"/>
    <col min="8" max="8" width="7.1796875" style="5" bestFit="1" customWidth="1"/>
    <col min="9" max="9" width="16.26953125" style="5" bestFit="1" customWidth="1"/>
    <col min="11" max="11" width="10.26953125" style="5" bestFit="1" customWidth="1"/>
    <col min="12" max="12" width="14.453125" style="5" bestFit="1" customWidth="1"/>
    <col min="13" max="13" width="9.81640625" style="5" bestFit="1" customWidth="1"/>
    <col min="14" max="14" width="7.54296875" style="5" bestFit="1" customWidth="1"/>
    <col min="15" max="15" width="6.453125" style="5" bestFit="1" customWidth="1"/>
    <col min="16" max="16" width="17.453125" style="5" customWidth="1"/>
    <col min="17" max="17" width="11.26953125" style="5" bestFit="1" customWidth="1"/>
    <col min="18" max="18" width="9.7265625" style="5" bestFit="1" customWidth="1"/>
    <col min="19" max="16384" width="36.54296875" style="5"/>
  </cols>
  <sheetData>
    <row r="1" spans="1:18" ht="29" x14ac:dyDescent="0.35">
      <c r="A1" s="4" t="s">
        <v>1868</v>
      </c>
      <c r="B1" s="4">
        <v>2025</v>
      </c>
    </row>
    <row r="2" spans="1:18" x14ac:dyDescent="0.35">
      <c r="A2" s="6" t="s">
        <v>1</v>
      </c>
      <c r="B2" s="7">
        <f>SUM(E9:E106)</f>
        <v>0</v>
      </c>
      <c r="L2" s="11" t="s">
        <v>2</v>
      </c>
    </row>
    <row r="3" spans="1:18" x14ac:dyDescent="0.35">
      <c r="A3" s="6" t="s">
        <v>3</v>
      </c>
      <c r="B3" s="7"/>
      <c r="L3" s="7">
        <f>SUM(L39-C2)</f>
        <v>0</v>
      </c>
    </row>
    <row r="4" spans="1:18" x14ac:dyDescent="0.35">
      <c r="A4" s="6" t="s">
        <v>4</v>
      </c>
      <c r="B4" s="7">
        <f>MIN(B3-B2)</f>
        <v>0</v>
      </c>
      <c r="L4" s="6" t="e">
        <f>L39/C2</f>
        <v>#DIV/0!</v>
      </c>
    </row>
    <row r="5" spans="1:18" x14ac:dyDescent="0.35">
      <c r="A5" s="6" t="s">
        <v>5</v>
      </c>
      <c r="B5" s="7"/>
    </row>
    <row r="6" spans="1:18" x14ac:dyDescent="0.35">
      <c r="A6" s="6" t="s">
        <v>4</v>
      </c>
      <c r="B6" s="7">
        <f>MIN(B5-B2)</f>
        <v>0</v>
      </c>
    </row>
    <row r="8" spans="1:18" x14ac:dyDescent="0.35">
      <c r="A8" s="12" t="s">
        <v>6</v>
      </c>
      <c r="B8" s="12" t="s">
        <v>1869</v>
      </c>
      <c r="C8" s="12" t="s">
        <v>7</v>
      </c>
      <c r="D8" s="12" t="s">
        <v>8</v>
      </c>
      <c r="E8" s="12" t="s">
        <v>9</v>
      </c>
      <c r="F8" s="12" t="s">
        <v>10</v>
      </c>
      <c r="G8" s="12" t="s">
        <v>11</v>
      </c>
      <c r="H8" s="12" t="s">
        <v>12</v>
      </c>
      <c r="I8" s="11" t="s">
        <v>13</v>
      </c>
      <c r="J8" s="12" t="s">
        <v>14</v>
      </c>
      <c r="K8" s="12" t="s">
        <v>15</v>
      </c>
      <c r="L8" s="12" t="s">
        <v>16</v>
      </c>
      <c r="M8" s="12" t="s">
        <v>17</v>
      </c>
      <c r="N8" s="12" t="s">
        <v>18</v>
      </c>
      <c r="O8" s="12" t="s">
        <v>19</v>
      </c>
      <c r="Q8" s="38" t="s">
        <v>10</v>
      </c>
      <c r="R8" s="38" t="s">
        <v>20</v>
      </c>
    </row>
    <row r="9" spans="1:18" x14ac:dyDescent="0.35">
      <c r="A9" s="9"/>
      <c r="B9" s="9" t="s">
        <v>1870</v>
      </c>
      <c r="C9" s="9" t="s">
        <v>1871</v>
      </c>
      <c r="D9" s="10">
        <v>1000</v>
      </c>
      <c r="E9" s="10"/>
      <c r="F9" s="9"/>
      <c r="G9" s="9"/>
      <c r="H9" s="9"/>
      <c r="I9" s="9"/>
      <c r="J9" s="34"/>
      <c r="K9" s="9"/>
      <c r="L9" s="9"/>
      <c r="M9" s="9"/>
      <c r="N9" s="9"/>
      <c r="O9" s="9"/>
      <c r="Q9" s="175" t="s">
        <v>24</v>
      </c>
      <c r="R9" s="10"/>
    </row>
    <row r="10" spans="1:18" x14ac:dyDescent="0.35">
      <c r="A10" s="9"/>
      <c r="B10" s="9" t="s">
        <v>1870</v>
      </c>
      <c r="C10" s="9" t="s">
        <v>1871</v>
      </c>
      <c r="D10" s="10">
        <v>1000</v>
      </c>
      <c r="E10" s="10"/>
      <c r="F10" s="9"/>
      <c r="G10" s="9"/>
      <c r="H10" s="9"/>
      <c r="I10" s="9"/>
      <c r="J10" s="34"/>
      <c r="K10" s="9"/>
      <c r="L10" s="9"/>
      <c r="M10" s="9"/>
      <c r="N10" s="9"/>
      <c r="O10" s="9"/>
      <c r="Q10" s="175" t="s">
        <v>37</v>
      </c>
      <c r="R10" s="10"/>
    </row>
    <row r="11" spans="1:18" x14ac:dyDescent="0.35">
      <c r="A11" s="9"/>
      <c r="B11" s="9" t="s">
        <v>1872</v>
      </c>
      <c r="C11" s="9" t="s">
        <v>1871</v>
      </c>
      <c r="D11" s="10">
        <v>1000</v>
      </c>
      <c r="E11" s="10"/>
      <c r="F11" s="9"/>
      <c r="G11" s="9"/>
      <c r="H11" s="9"/>
      <c r="I11" s="9"/>
      <c r="J11" s="34"/>
      <c r="K11" s="9"/>
      <c r="L11" s="9"/>
      <c r="M11" s="9"/>
      <c r="N11" s="9"/>
      <c r="O11" s="9"/>
      <c r="Q11" s="175" t="s">
        <v>47</v>
      </c>
      <c r="R11" s="10"/>
    </row>
    <row r="12" spans="1:18" x14ac:dyDescent="0.35">
      <c r="A12" s="9"/>
      <c r="B12" s="9" t="s">
        <v>1872</v>
      </c>
      <c r="C12" s="9" t="s">
        <v>1871</v>
      </c>
      <c r="D12" s="10">
        <v>1000</v>
      </c>
      <c r="E12" s="10"/>
      <c r="F12" s="9"/>
      <c r="G12" s="9"/>
      <c r="H12" s="9"/>
      <c r="I12" s="9"/>
      <c r="J12" s="34"/>
      <c r="K12" s="9"/>
      <c r="L12" s="9"/>
      <c r="M12" s="9"/>
      <c r="N12" s="9"/>
      <c r="O12" s="9"/>
      <c r="Q12" s="175" t="s">
        <v>50</v>
      </c>
      <c r="R12" s="10"/>
    </row>
    <row r="13" spans="1:18" x14ac:dyDescent="0.35">
      <c r="A13" s="9"/>
      <c r="B13" s="9" t="s">
        <v>1143</v>
      </c>
      <c r="C13" s="9" t="s">
        <v>1871</v>
      </c>
      <c r="D13" s="10">
        <v>1000</v>
      </c>
      <c r="E13" s="10"/>
      <c r="F13" s="9"/>
      <c r="G13" s="9"/>
      <c r="H13" s="9"/>
      <c r="I13" s="9"/>
      <c r="J13" s="34"/>
      <c r="K13" s="9"/>
      <c r="L13" s="9"/>
      <c r="M13" s="9"/>
      <c r="N13" s="9"/>
      <c r="O13" s="9"/>
      <c r="Q13" s="175" t="s">
        <v>56</v>
      </c>
      <c r="R13" s="10"/>
    </row>
    <row r="14" spans="1:18" x14ac:dyDescent="0.35">
      <c r="A14" s="9"/>
      <c r="B14" s="9" t="s">
        <v>1143</v>
      </c>
      <c r="C14" s="9" t="s">
        <v>1871</v>
      </c>
      <c r="D14" s="10">
        <v>1000</v>
      </c>
      <c r="E14" s="10"/>
      <c r="F14" s="9"/>
      <c r="G14" s="9"/>
      <c r="H14" s="9"/>
      <c r="I14" s="9"/>
      <c r="J14" s="34"/>
      <c r="K14" s="9"/>
      <c r="L14" s="9"/>
      <c r="M14" s="9"/>
      <c r="N14" s="9"/>
      <c r="O14" s="9"/>
      <c r="Q14" s="175" t="s">
        <v>62</v>
      </c>
      <c r="R14" s="10"/>
    </row>
    <row r="15" spans="1:18" x14ac:dyDescent="0.35">
      <c r="A15" s="9"/>
      <c r="B15" s="9" t="s">
        <v>1306</v>
      </c>
      <c r="C15" s="9" t="s">
        <v>1871</v>
      </c>
      <c r="D15" s="10">
        <v>1000</v>
      </c>
      <c r="E15" s="10"/>
      <c r="F15" s="9"/>
      <c r="G15" s="9"/>
      <c r="H15" s="9"/>
      <c r="I15" s="9"/>
      <c r="J15" s="34"/>
      <c r="K15" s="9"/>
      <c r="L15" s="9"/>
      <c r="M15" s="9"/>
      <c r="N15" s="9"/>
      <c r="O15" s="9"/>
      <c r="Q15" s="175" t="s">
        <v>68</v>
      </c>
      <c r="R15" s="10"/>
    </row>
    <row r="16" spans="1:18" x14ac:dyDescent="0.35">
      <c r="A16" s="9"/>
      <c r="B16" s="9" t="s">
        <v>1306</v>
      </c>
      <c r="C16" s="9" t="s">
        <v>1871</v>
      </c>
      <c r="D16" s="10">
        <v>1000</v>
      </c>
      <c r="E16" s="10"/>
      <c r="F16" s="9"/>
      <c r="G16" s="9"/>
      <c r="H16" s="9"/>
      <c r="I16" s="9"/>
      <c r="J16" s="34"/>
      <c r="K16" s="9"/>
      <c r="L16" s="9"/>
      <c r="M16" s="9"/>
      <c r="N16" s="9"/>
      <c r="O16" s="9"/>
      <c r="Q16" s="175" t="s">
        <v>76</v>
      </c>
      <c r="R16" s="10"/>
    </row>
    <row r="17" spans="1:18" x14ac:dyDescent="0.35">
      <c r="A17" s="9"/>
      <c r="B17" s="9" t="s">
        <v>1873</v>
      </c>
      <c r="C17" s="9" t="s">
        <v>1871</v>
      </c>
      <c r="D17" s="10">
        <v>1000</v>
      </c>
      <c r="E17" s="10"/>
      <c r="F17" s="9"/>
      <c r="G17" s="9"/>
      <c r="H17" s="9"/>
      <c r="I17" s="9"/>
      <c r="J17" s="34"/>
      <c r="K17" s="9"/>
      <c r="L17" s="9"/>
      <c r="M17" s="9"/>
      <c r="N17" s="9"/>
      <c r="O17" s="9"/>
      <c r="Q17" s="175" t="s">
        <v>81</v>
      </c>
      <c r="R17" s="10"/>
    </row>
    <row r="18" spans="1:18" x14ac:dyDescent="0.35">
      <c r="A18" s="9"/>
      <c r="B18" s="9" t="s">
        <v>1873</v>
      </c>
      <c r="C18" s="9" t="s">
        <v>1871</v>
      </c>
      <c r="D18" s="10">
        <v>1000</v>
      </c>
      <c r="E18" s="10"/>
      <c r="F18" s="9"/>
      <c r="G18" s="9"/>
      <c r="H18" s="9"/>
      <c r="I18" s="9"/>
      <c r="J18" s="34"/>
      <c r="K18" s="9"/>
      <c r="L18" s="9"/>
      <c r="M18" s="9"/>
      <c r="N18" s="9"/>
      <c r="O18" s="9"/>
      <c r="Q18" s="175" t="s">
        <v>86</v>
      </c>
      <c r="R18" s="10"/>
    </row>
    <row r="19" spans="1:18" x14ac:dyDescent="0.35">
      <c r="A19" s="9"/>
      <c r="B19" s="9" t="s">
        <v>1874</v>
      </c>
      <c r="C19" s="9" t="s">
        <v>1871</v>
      </c>
      <c r="D19" s="10">
        <v>1000</v>
      </c>
      <c r="E19" s="10"/>
      <c r="F19" s="9"/>
      <c r="G19" s="9"/>
      <c r="H19" s="9"/>
      <c r="I19" s="9"/>
      <c r="J19" s="34"/>
      <c r="K19" s="9"/>
      <c r="L19" s="9"/>
      <c r="M19" s="9"/>
      <c r="N19" s="9"/>
      <c r="O19" s="9"/>
      <c r="Q19" s="175" t="s">
        <v>90</v>
      </c>
      <c r="R19" s="10"/>
    </row>
    <row r="20" spans="1:18" x14ac:dyDescent="0.35">
      <c r="A20" s="9"/>
      <c r="B20" s="9" t="s">
        <v>1874</v>
      </c>
      <c r="C20" s="9" t="s">
        <v>1871</v>
      </c>
      <c r="D20" s="10">
        <v>1000</v>
      </c>
      <c r="E20" s="10"/>
      <c r="F20" s="9"/>
      <c r="G20" s="9"/>
      <c r="H20" s="9"/>
      <c r="I20" s="9"/>
      <c r="J20" s="34"/>
      <c r="K20" s="9"/>
      <c r="L20" s="9"/>
      <c r="M20" s="9"/>
      <c r="N20" s="9"/>
      <c r="O20" s="9"/>
      <c r="Q20" s="175" t="s">
        <v>91</v>
      </c>
      <c r="R20" s="10"/>
    </row>
    <row r="21" spans="1:18" x14ac:dyDescent="0.35">
      <c r="A21" s="9"/>
      <c r="B21" s="9" t="s">
        <v>1875</v>
      </c>
      <c r="C21" s="9" t="s">
        <v>1871</v>
      </c>
      <c r="D21" s="10">
        <v>1000</v>
      </c>
      <c r="E21" s="10"/>
      <c r="F21" s="9"/>
      <c r="G21" s="9"/>
      <c r="H21" s="9"/>
      <c r="I21" s="9"/>
      <c r="J21" s="34"/>
      <c r="K21" s="9"/>
      <c r="L21" s="9"/>
      <c r="M21" s="9"/>
      <c r="N21" s="9"/>
      <c r="O21" s="9"/>
      <c r="Q21" s="175" t="s">
        <v>92</v>
      </c>
      <c r="R21" s="10"/>
    </row>
    <row r="22" spans="1:18" x14ac:dyDescent="0.35">
      <c r="A22" s="9"/>
      <c r="B22" s="9" t="s">
        <v>1875</v>
      </c>
      <c r="C22" s="9" t="s">
        <v>1871</v>
      </c>
      <c r="D22" s="10">
        <v>1000</v>
      </c>
      <c r="E22" s="10"/>
      <c r="F22" s="9"/>
      <c r="G22" s="9"/>
      <c r="H22" s="9"/>
      <c r="I22" s="9"/>
      <c r="J22" s="34"/>
      <c r="K22" s="9"/>
      <c r="L22" s="9"/>
      <c r="M22" s="9"/>
      <c r="N22" s="9"/>
      <c r="O22" s="9"/>
      <c r="Q22" s="175" t="s">
        <v>93</v>
      </c>
      <c r="R22" s="10"/>
    </row>
    <row r="23" spans="1:18" x14ac:dyDescent="0.35">
      <c r="A23" s="9"/>
      <c r="B23" s="9" t="s">
        <v>1876</v>
      </c>
      <c r="C23" s="9" t="s">
        <v>1871</v>
      </c>
      <c r="D23" s="10">
        <v>1000</v>
      </c>
      <c r="E23" s="10"/>
      <c r="F23" s="9"/>
      <c r="G23" s="9"/>
      <c r="H23" s="9"/>
      <c r="I23" s="9"/>
      <c r="J23" s="34"/>
      <c r="K23" s="9"/>
      <c r="L23" s="9"/>
      <c r="M23" s="9"/>
      <c r="N23" s="9"/>
      <c r="O23" s="9"/>
      <c r="Q23" s="175" t="s">
        <v>94</v>
      </c>
      <c r="R23" s="10"/>
    </row>
    <row r="24" spans="1:18" x14ac:dyDescent="0.35">
      <c r="A24" s="9"/>
      <c r="B24" s="9" t="s">
        <v>1876</v>
      </c>
      <c r="C24" s="9" t="s">
        <v>1871</v>
      </c>
      <c r="D24" s="10">
        <v>1000</v>
      </c>
      <c r="E24" s="10"/>
      <c r="F24" s="9"/>
      <c r="G24" s="9"/>
      <c r="H24" s="9"/>
      <c r="I24" s="9"/>
      <c r="J24" s="34"/>
      <c r="K24" s="9"/>
      <c r="L24" s="9"/>
      <c r="M24" s="9"/>
      <c r="N24" s="9"/>
      <c r="O24" s="9"/>
      <c r="Q24" s="175" t="s">
        <v>95</v>
      </c>
      <c r="R24" s="10"/>
    </row>
    <row r="25" spans="1:18" x14ac:dyDescent="0.35">
      <c r="A25" s="9"/>
      <c r="B25" s="9" t="s">
        <v>1877</v>
      </c>
      <c r="C25" s="9" t="s">
        <v>1871</v>
      </c>
      <c r="D25" s="10">
        <v>1000</v>
      </c>
      <c r="E25" s="10"/>
      <c r="F25" s="9"/>
      <c r="G25" s="9"/>
      <c r="H25" s="9"/>
      <c r="I25" s="9"/>
      <c r="J25" s="34"/>
      <c r="K25" s="9"/>
      <c r="L25" s="9"/>
      <c r="M25" s="9"/>
      <c r="N25" s="9"/>
      <c r="O25" s="9"/>
      <c r="Q25" s="175" t="s">
        <v>96</v>
      </c>
      <c r="R25" s="10"/>
    </row>
    <row r="26" spans="1:18" x14ac:dyDescent="0.35">
      <c r="A26" s="9"/>
      <c r="B26" s="9" t="s">
        <v>1877</v>
      </c>
      <c r="C26" s="9" t="s">
        <v>1871</v>
      </c>
      <c r="D26" s="10">
        <v>1000</v>
      </c>
      <c r="E26" s="10"/>
      <c r="F26" s="9"/>
      <c r="G26" s="9"/>
      <c r="H26" s="9"/>
      <c r="I26" s="9"/>
      <c r="J26" s="34"/>
      <c r="K26" s="9"/>
      <c r="L26" s="9"/>
      <c r="M26" s="9"/>
      <c r="N26" s="9"/>
      <c r="O26" s="9"/>
      <c r="Q26" s="175" t="s">
        <v>97</v>
      </c>
      <c r="R26" s="10"/>
    </row>
    <row r="27" spans="1:18" x14ac:dyDescent="0.35">
      <c r="A27" s="9"/>
      <c r="B27" s="9" t="s">
        <v>1878</v>
      </c>
      <c r="C27" s="9" t="s">
        <v>1871</v>
      </c>
      <c r="D27" s="10">
        <v>1000</v>
      </c>
      <c r="E27" s="10"/>
      <c r="F27" s="9"/>
      <c r="G27" s="9"/>
      <c r="H27" s="9"/>
      <c r="I27" s="9"/>
      <c r="J27" s="34"/>
      <c r="K27" s="9"/>
      <c r="L27" s="9"/>
      <c r="M27" s="9"/>
      <c r="N27" s="9"/>
      <c r="O27" s="9"/>
      <c r="Q27" s="175" t="s">
        <v>98</v>
      </c>
      <c r="R27" s="10"/>
    </row>
    <row r="28" spans="1:18" x14ac:dyDescent="0.35">
      <c r="A28" s="9"/>
      <c r="B28" s="9" t="s">
        <v>1878</v>
      </c>
      <c r="C28" s="9" t="s">
        <v>1871</v>
      </c>
      <c r="D28" s="10">
        <v>1000</v>
      </c>
      <c r="E28" s="10"/>
      <c r="F28" s="9"/>
      <c r="G28" s="9"/>
      <c r="H28" s="9"/>
      <c r="I28" s="9"/>
      <c r="J28" s="34"/>
      <c r="K28" s="9"/>
      <c r="L28" s="9"/>
      <c r="M28" s="9"/>
      <c r="N28" s="9"/>
      <c r="O28" s="9"/>
      <c r="Q28" s="40" t="s">
        <v>99</v>
      </c>
      <c r="R28" s="41"/>
    </row>
    <row r="29" spans="1:18" x14ac:dyDescent="0.35">
      <c r="A29" s="9"/>
      <c r="B29" s="9" t="s">
        <v>1879</v>
      </c>
      <c r="C29" s="9" t="s">
        <v>1871</v>
      </c>
      <c r="D29" s="10">
        <v>1000</v>
      </c>
      <c r="E29" s="10"/>
      <c r="F29" s="9"/>
      <c r="G29" s="9"/>
      <c r="H29" s="9"/>
      <c r="I29" s="9"/>
      <c r="J29" s="34"/>
      <c r="K29" s="9"/>
      <c r="L29" s="9"/>
      <c r="M29" s="9"/>
      <c r="N29" s="9"/>
      <c r="O29" s="9"/>
    </row>
    <row r="30" spans="1:18" x14ac:dyDescent="0.35">
      <c r="A30" s="9"/>
      <c r="B30" s="9" t="s">
        <v>1879</v>
      </c>
      <c r="C30" s="9" t="s">
        <v>1871</v>
      </c>
      <c r="D30" s="10">
        <v>1000</v>
      </c>
      <c r="E30" s="10"/>
      <c r="F30" s="9"/>
      <c r="G30" s="9"/>
      <c r="H30" s="9"/>
      <c r="I30" s="9"/>
      <c r="J30" s="34"/>
      <c r="K30" s="9"/>
      <c r="L30" s="9"/>
      <c r="M30" s="9"/>
      <c r="N30" s="9"/>
      <c r="O30" s="9"/>
    </row>
    <row r="31" spans="1:18" x14ac:dyDescent="0.35">
      <c r="A31" s="9"/>
      <c r="B31" s="9" t="s">
        <v>1880</v>
      </c>
      <c r="C31" s="9" t="s">
        <v>1871</v>
      </c>
      <c r="D31" s="10">
        <v>1000</v>
      </c>
      <c r="E31" s="10"/>
      <c r="F31" s="9"/>
      <c r="G31" s="9"/>
      <c r="H31" s="9"/>
      <c r="I31" s="9"/>
      <c r="J31" s="34"/>
      <c r="K31" s="9"/>
      <c r="L31" s="9"/>
      <c r="M31" s="9"/>
      <c r="N31" s="9"/>
      <c r="O31" s="9"/>
    </row>
    <row r="32" spans="1:18" x14ac:dyDescent="0.35">
      <c r="A32" s="9"/>
      <c r="B32" s="9" t="s">
        <v>1880</v>
      </c>
      <c r="C32" s="9" t="s">
        <v>1871</v>
      </c>
      <c r="D32" s="10">
        <v>1000</v>
      </c>
      <c r="E32" s="10"/>
      <c r="F32" s="9"/>
      <c r="G32" s="9"/>
      <c r="H32" s="9"/>
      <c r="I32" s="9"/>
      <c r="J32" s="34"/>
      <c r="K32" s="9"/>
      <c r="L32" s="9"/>
      <c r="M32" s="9"/>
      <c r="N32" s="9"/>
      <c r="O32" s="9"/>
    </row>
    <row r="33" spans="1:15" ht="29" x14ac:dyDescent="0.35">
      <c r="A33" s="9"/>
      <c r="B33" s="9"/>
      <c r="C33" s="9" t="s">
        <v>1881</v>
      </c>
      <c r="D33" s="10">
        <v>1500</v>
      </c>
      <c r="E33" s="9"/>
      <c r="F33" s="9"/>
      <c r="G33" s="9"/>
      <c r="H33" s="9"/>
      <c r="I33" s="9"/>
      <c r="J33" s="34"/>
      <c r="K33" s="9"/>
      <c r="L33" s="9"/>
      <c r="M33" s="9"/>
      <c r="N33" s="9"/>
      <c r="O33" s="9"/>
    </row>
    <row r="34" spans="1:15" ht="29" x14ac:dyDescent="0.35">
      <c r="A34" s="9"/>
      <c r="B34" s="9"/>
      <c r="C34" s="9" t="s">
        <v>1881</v>
      </c>
      <c r="D34" s="10">
        <v>1500</v>
      </c>
      <c r="E34" s="9"/>
      <c r="F34" s="9"/>
      <c r="G34" s="9"/>
      <c r="H34" s="9"/>
      <c r="I34" s="9"/>
      <c r="J34" s="34"/>
      <c r="K34" s="9"/>
      <c r="L34" s="9"/>
      <c r="M34" s="9"/>
      <c r="N34" s="9"/>
      <c r="O34" s="9"/>
    </row>
    <row r="35" spans="1:15" ht="29" x14ac:dyDescent="0.35">
      <c r="A35" s="9"/>
      <c r="B35" s="9"/>
      <c r="C35" s="9" t="s">
        <v>1881</v>
      </c>
      <c r="D35" s="10">
        <v>1500</v>
      </c>
      <c r="E35" s="9"/>
      <c r="F35" s="9"/>
      <c r="G35" s="9"/>
      <c r="H35" s="9"/>
      <c r="I35" s="9"/>
      <c r="J35" s="34"/>
      <c r="K35" s="9"/>
      <c r="L35" s="9"/>
      <c r="M35" s="9"/>
      <c r="N35" s="9"/>
      <c r="O35" s="9"/>
    </row>
    <row r="36" spans="1:15" ht="29" x14ac:dyDescent="0.35">
      <c r="A36" s="9"/>
      <c r="B36" s="9"/>
      <c r="C36" s="9" t="s">
        <v>1881</v>
      </c>
      <c r="D36" s="10">
        <v>1500</v>
      </c>
      <c r="E36" s="9"/>
      <c r="F36" s="9"/>
      <c r="G36" s="9"/>
      <c r="H36" s="9"/>
      <c r="I36" s="9"/>
      <c r="J36" s="34"/>
      <c r="K36" s="9"/>
      <c r="L36" s="9"/>
      <c r="M36" s="9"/>
      <c r="N36" s="9"/>
      <c r="O36" s="9"/>
    </row>
    <row r="39" spans="1:15" x14ac:dyDescent="0.35">
      <c r="L39" s="29">
        <f>SUM(L9:L38)</f>
        <v>0</v>
      </c>
    </row>
    <row r="300" spans="6:6" x14ac:dyDescent="0.35">
      <c r="F300" s="5" t="s">
        <v>47</v>
      </c>
    </row>
    <row r="301" spans="6:6" x14ac:dyDescent="0.35">
      <c r="F301" s="5" t="s">
        <v>37</v>
      </c>
    </row>
    <row r="302" spans="6:6" x14ac:dyDescent="0.35">
      <c r="F302" s="5" t="s">
        <v>24</v>
      </c>
    </row>
    <row r="303" spans="6:6" x14ac:dyDescent="0.35">
      <c r="F303" s="5" t="s">
        <v>62</v>
      </c>
    </row>
    <row r="304" spans="6:6" x14ac:dyDescent="0.35">
      <c r="F304" s="5" t="s">
        <v>56</v>
      </c>
    </row>
    <row r="305" spans="6:6" x14ac:dyDescent="0.35">
      <c r="F305" s="5" t="s">
        <v>50</v>
      </c>
    </row>
    <row r="306" spans="6:6" x14ac:dyDescent="0.35">
      <c r="F306" s="5" t="s">
        <v>91</v>
      </c>
    </row>
    <row r="307" spans="6:6" x14ac:dyDescent="0.35">
      <c r="F307" s="5" t="s">
        <v>90</v>
      </c>
    </row>
    <row r="308" spans="6:6" x14ac:dyDescent="0.35">
      <c r="F308" s="5" t="s">
        <v>86</v>
      </c>
    </row>
    <row r="309" spans="6:6" x14ac:dyDescent="0.35">
      <c r="F309" s="5" t="s">
        <v>81</v>
      </c>
    </row>
    <row r="310" spans="6:6" x14ac:dyDescent="0.35">
      <c r="F310" s="5" t="s">
        <v>76</v>
      </c>
    </row>
    <row r="311" spans="6:6" x14ac:dyDescent="0.35">
      <c r="F311" s="5" t="s">
        <v>68</v>
      </c>
    </row>
    <row r="312" spans="6:6" x14ac:dyDescent="0.35">
      <c r="F312" s="5" t="s">
        <v>94</v>
      </c>
    </row>
    <row r="313" spans="6:6" x14ac:dyDescent="0.35">
      <c r="F313" s="5" t="s">
        <v>93</v>
      </c>
    </row>
    <row r="314" spans="6:6" x14ac:dyDescent="0.35">
      <c r="F314" s="5" t="s">
        <v>92</v>
      </c>
    </row>
    <row r="315" spans="6:6" x14ac:dyDescent="0.35">
      <c r="F315" s="5" t="s">
        <v>97</v>
      </c>
    </row>
    <row r="316" spans="6:6" x14ac:dyDescent="0.35">
      <c r="F316" s="5" t="s">
        <v>96</v>
      </c>
    </row>
    <row r="317" spans="6:6" x14ac:dyDescent="0.35">
      <c r="F317" s="5" t="s">
        <v>95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355C6-34BA-4D20-BF6B-29E897A4D6C6}">
  <dimension ref="A1:W319"/>
  <sheetViews>
    <sheetView zoomScale="80" zoomScaleNormal="80" workbookViewId="0">
      <pane ySplit="8" topLeftCell="A115" activePane="bottomLeft" state="frozen"/>
      <selection pane="bottomLeft" activeCell="L127" sqref="L127"/>
    </sheetView>
  </sheetViews>
  <sheetFormatPr defaultColWidth="33.453125" defaultRowHeight="14.5" x14ac:dyDescent="0.35"/>
  <cols>
    <col min="1" max="1" width="33" style="5" bestFit="1" customWidth="1"/>
    <col min="2" max="2" width="32.453125" style="5" bestFit="1" customWidth="1"/>
    <col min="3" max="3" width="33.453125" style="5"/>
    <col min="4" max="4" width="15.1796875" style="5" bestFit="1" customWidth="1"/>
    <col min="5" max="5" width="16" style="5" bestFit="1" customWidth="1"/>
    <col min="6" max="6" width="8.81640625" style="5" bestFit="1" customWidth="1"/>
    <col min="7" max="7" width="11.26953125" style="5" bestFit="1" customWidth="1"/>
    <col min="8" max="8" width="36.7265625" style="5" customWidth="1"/>
    <col min="9" max="9" width="16.7265625" style="98" bestFit="1" customWidth="1"/>
    <col min="10" max="10" width="15.1796875" style="5" customWidth="1"/>
    <col min="11" max="11" width="11.26953125" style="5" bestFit="1" customWidth="1"/>
    <col min="12" max="12" width="14.453125" style="5" bestFit="1" customWidth="1"/>
    <col min="13" max="13" width="32.81640625" style="5" bestFit="1" customWidth="1"/>
    <col min="14" max="14" width="22.7265625" style="5" bestFit="1" customWidth="1"/>
    <col min="15" max="15" width="37.7265625" style="5" bestFit="1" customWidth="1"/>
    <col min="16" max="16" width="33.453125" style="5"/>
    <col min="17" max="17" width="11.7265625" style="5" bestFit="1" customWidth="1"/>
    <col min="18" max="18" width="12" style="5" bestFit="1" customWidth="1"/>
    <col min="19" max="19" width="33.453125" style="5"/>
    <col min="20" max="20" width="32.54296875" style="5" bestFit="1" customWidth="1"/>
    <col min="21" max="21" width="33.453125" style="5"/>
    <col min="22" max="22" width="16" style="5" bestFit="1" customWidth="1"/>
    <col min="23" max="23" width="10" style="5" bestFit="1" customWidth="1"/>
    <col min="24" max="16384" width="33.453125" style="5"/>
  </cols>
  <sheetData>
    <row r="1" spans="1:23" x14ac:dyDescent="0.35">
      <c r="A1" s="4" t="s">
        <v>1882</v>
      </c>
      <c r="B1" s="4">
        <v>2025</v>
      </c>
      <c r="T1" s="4" t="s">
        <v>1882</v>
      </c>
      <c r="U1" s="4">
        <v>2024</v>
      </c>
    </row>
    <row r="2" spans="1:23" x14ac:dyDescent="0.35">
      <c r="A2" s="6" t="s">
        <v>1</v>
      </c>
      <c r="B2" s="7">
        <f>SUM(E9:E203)</f>
        <v>181786</v>
      </c>
      <c r="H2" s="6"/>
      <c r="L2" s="11" t="s">
        <v>2</v>
      </c>
      <c r="T2" s="6" t="s">
        <v>1</v>
      </c>
      <c r="U2" s="7">
        <f>SUM(V9:V77)</f>
        <v>204700</v>
      </c>
    </row>
    <row r="3" spans="1:23" x14ac:dyDescent="0.35">
      <c r="A3" s="6" t="s">
        <v>3</v>
      </c>
      <c r="B3" s="7">
        <v>205000</v>
      </c>
      <c r="L3" s="7">
        <f>MIN(L142-B2)</f>
        <v>-13686</v>
      </c>
      <c r="T3" s="6" t="s">
        <v>3</v>
      </c>
      <c r="U3" s="7">
        <v>192500</v>
      </c>
    </row>
    <row r="4" spans="1:23" x14ac:dyDescent="0.35">
      <c r="A4" s="6" t="s">
        <v>4</v>
      </c>
      <c r="B4" s="7">
        <f>MIN(B2-B3)</f>
        <v>-23214</v>
      </c>
      <c r="L4" s="42">
        <f>L142/B2</f>
        <v>0.92471367432035467</v>
      </c>
      <c r="T4" s="6" t="s">
        <v>4</v>
      </c>
      <c r="U4" s="7">
        <f>MIN(U2-U3)</f>
        <v>12200</v>
      </c>
    </row>
    <row r="5" spans="1:23" x14ac:dyDescent="0.35">
      <c r="A5" s="6" t="s">
        <v>5</v>
      </c>
      <c r="B5" s="7">
        <v>205000</v>
      </c>
      <c r="T5" s="6" t="s">
        <v>5</v>
      </c>
      <c r="U5" s="7">
        <v>192500</v>
      </c>
    </row>
    <row r="6" spans="1:23" x14ac:dyDescent="0.35">
      <c r="A6" s="6" t="s">
        <v>4</v>
      </c>
      <c r="B6" s="7">
        <f>MIN(B2-B5)</f>
        <v>-23214</v>
      </c>
      <c r="T6" s="6" t="s">
        <v>4</v>
      </c>
      <c r="U6" s="7">
        <f>MIN(U2-U5)</f>
        <v>12200</v>
      </c>
    </row>
    <row r="8" spans="1:23" x14ac:dyDescent="0.35">
      <c r="A8" s="12" t="s">
        <v>6</v>
      </c>
      <c r="B8" s="12" t="s">
        <v>1869</v>
      </c>
      <c r="C8" s="12" t="s">
        <v>7</v>
      </c>
      <c r="D8" s="12" t="s">
        <v>8</v>
      </c>
      <c r="E8" s="12" t="s">
        <v>9</v>
      </c>
      <c r="F8" s="12" t="s">
        <v>10</v>
      </c>
      <c r="G8" s="12" t="s">
        <v>11</v>
      </c>
      <c r="H8" s="12" t="s">
        <v>12</v>
      </c>
      <c r="I8" s="96" t="s">
        <v>13</v>
      </c>
      <c r="J8" s="12" t="s">
        <v>14</v>
      </c>
      <c r="K8" s="12" t="s">
        <v>15</v>
      </c>
      <c r="L8" s="12" t="s">
        <v>16</v>
      </c>
      <c r="M8" s="12" t="s">
        <v>17</v>
      </c>
      <c r="N8" s="12" t="s">
        <v>18</v>
      </c>
      <c r="O8" s="12" t="s">
        <v>19</v>
      </c>
      <c r="Q8" s="38" t="s">
        <v>10</v>
      </c>
      <c r="R8" s="38" t="s">
        <v>20</v>
      </c>
      <c r="T8" s="51" t="s">
        <v>6</v>
      </c>
      <c r="U8" s="53" t="s">
        <v>21</v>
      </c>
      <c r="V8" s="52" t="s">
        <v>9</v>
      </c>
      <c r="W8" s="49" t="s">
        <v>1883</v>
      </c>
    </row>
    <row r="9" spans="1:23" ht="43.5" x14ac:dyDescent="0.35">
      <c r="A9" s="9" t="s">
        <v>108</v>
      </c>
      <c r="B9" s="88"/>
      <c r="C9" s="9" t="s">
        <v>1884</v>
      </c>
      <c r="D9" s="10">
        <v>10000</v>
      </c>
      <c r="E9" s="10">
        <v>10000</v>
      </c>
      <c r="F9" s="10" t="s">
        <v>95</v>
      </c>
      <c r="G9" s="9" t="s">
        <v>318</v>
      </c>
      <c r="H9" s="9" t="s">
        <v>1885</v>
      </c>
      <c r="I9" s="94" t="s">
        <v>27</v>
      </c>
      <c r="J9" s="9"/>
      <c r="K9" s="9" t="s">
        <v>1886</v>
      </c>
      <c r="L9" s="10">
        <f>4513.75+5486.25</f>
        <v>10000</v>
      </c>
      <c r="M9" s="9" t="s">
        <v>320</v>
      </c>
      <c r="N9" s="9"/>
      <c r="O9" s="9" t="s">
        <v>321</v>
      </c>
      <c r="Q9" s="39" t="s">
        <v>24</v>
      </c>
      <c r="R9" s="10">
        <v>37250</v>
      </c>
    </row>
    <row r="10" spans="1:23" ht="43.5" x14ac:dyDescent="0.35">
      <c r="A10" s="9" t="s">
        <v>285</v>
      </c>
      <c r="B10" s="88"/>
      <c r="C10" s="9" t="s">
        <v>1887</v>
      </c>
      <c r="D10" s="10">
        <v>5000</v>
      </c>
      <c r="E10" s="10">
        <v>7500</v>
      </c>
      <c r="F10" s="10" t="s">
        <v>95</v>
      </c>
      <c r="G10" s="9" t="s">
        <v>303</v>
      </c>
      <c r="H10" s="9"/>
      <c r="I10" s="94" t="s">
        <v>27</v>
      </c>
      <c r="J10" s="195">
        <v>45685</v>
      </c>
      <c r="K10" s="9" t="s">
        <v>304</v>
      </c>
      <c r="L10" s="10">
        <v>7500</v>
      </c>
      <c r="M10" s="9" t="s">
        <v>305</v>
      </c>
      <c r="N10" s="9"/>
      <c r="O10" s="9" t="s">
        <v>306</v>
      </c>
      <c r="Q10" s="39" t="s">
        <v>37</v>
      </c>
      <c r="R10" s="10">
        <v>45616</v>
      </c>
      <c r="T10" s="112" t="s">
        <v>1888</v>
      </c>
      <c r="U10" s="112" t="s">
        <v>1870</v>
      </c>
      <c r="V10" s="113">
        <v>3000</v>
      </c>
      <c r="W10" s="112" t="s">
        <v>96</v>
      </c>
    </row>
    <row r="11" spans="1:23" ht="29" x14ac:dyDescent="0.35">
      <c r="A11" s="9" t="s">
        <v>727</v>
      </c>
      <c r="B11" s="88"/>
      <c r="C11" s="9" t="s">
        <v>1889</v>
      </c>
      <c r="D11" s="10">
        <v>2500</v>
      </c>
      <c r="E11" s="10">
        <v>2500</v>
      </c>
      <c r="F11" s="10" t="s">
        <v>86</v>
      </c>
      <c r="G11" s="9" t="s">
        <v>206</v>
      </c>
      <c r="H11" s="9"/>
      <c r="I11" s="99"/>
      <c r="J11" s="195">
        <v>45761</v>
      </c>
      <c r="K11" s="9"/>
      <c r="L11" s="10"/>
      <c r="M11" s="9" t="s">
        <v>728</v>
      </c>
      <c r="N11" s="9"/>
      <c r="O11" s="87" t="s">
        <v>729</v>
      </c>
      <c r="Q11" s="39" t="s">
        <v>47</v>
      </c>
      <c r="R11" s="10"/>
      <c r="T11" s="48" t="s">
        <v>108</v>
      </c>
      <c r="U11" s="48" t="s">
        <v>1877</v>
      </c>
      <c r="V11" s="55">
        <v>10000</v>
      </c>
      <c r="W11" s="48" t="s">
        <v>96</v>
      </c>
    </row>
    <row r="12" spans="1:23" x14ac:dyDescent="0.35">
      <c r="B12" s="43"/>
      <c r="D12" s="21"/>
      <c r="E12" s="21"/>
      <c r="F12" s="21"/>
      <c r="L12" s="21"/>
      <c r="Q12" s="39" t="s">
        <v>50</v>
      </c>
      <c r="R12" s="10"/>
      <c r="T12" s="48" t="s">
        <v>748</v>
      </c>
      <c r="U12" s="48" t="s">
        <v>1890</v>
      </c>
      <c r="V12" s="55">
        <v>2000</v>
      </c>
      <c r="W12" s="48" t="s">
        <v>95</v>
      </c>
    </row>
    <row r="13" spans="1:23" x14ac:dyDescent="0.35">
      <c r="B13" s="43"/>
      <c r="D13" s="21"/>
      <c r="E13" s="21"/>
      <c r="F13" s="21"/>
      <c r="L13" s="21"/>
      <c r="Q13" s="39" t="s">
        <v>56</v>
      </c>
      <c r="R13" s="10"/>
      <c r="T13" s="9" t="s">
        <v>1800</v>
      </c>
      <c r="U13" s="9" t="s">
        <v>1306</v>
      </c>
      <c r="V13" s="10">
        <v>4000</v>
      </c>
      <c r="W13" s="9" t="s">
        <v>24</v>
      </c>
    </row>
    <row r="14" spans="1:23" x14ac:dyDescent="0.35">
      <c r="A14" s="12"/>
      <c r="B14" s="12"/>
      <c r="C14" s="12" t="s">
        <v>1891</v>
      </c>
      <c r="D14" s="12" t="s">
        <v>8</v>
      </c>
      <c r="E14" s="12" t="s">
        <v>9</v>
      </c>
      <c r="F14" s="12" t="s">
        <v>10</v>
      </c>
      <c r="G14" s="12" t="s">
        <v>11</v>
      </c>
      <c r="H14" s="12" t="s">
        <v>12</v>
      </c>
      <c r="I14" s="96" t="s">
        <v>13</v>
      </c>
      <c r="J14" s="43"/>
      <c r="K14" s="12" t="s">
        <v>15</v>
      </c>
      <c r="L14" s="132" t="s">
        <v>16</v>
      </c>
      <c r="M14" s="12" t="s">
        <v>17</v>
      </c>
      <c r="N14" s="12" t="s">
        <v>18</v>
      </c>
      <c r="O14" s="12" t="s">
        <v>19</v>
      </c>
      <c r="P14" s="56"/>
      <c r="Q14" s="39" t="s">
        <v>62</v>
      </c>
      <c r="R14" s="10"/>
      <c r="T14" s="48" t="s">
        <v>759</v>
      </c>
      <c r="U14" s="48" t="s">
        <v>1892</v>
      </c>
      <c r="V14" s="55">
        <v>2500</v>
      </c>
      <c r="W14" s="48" t="s">
        <v>86</v>
      </c>
    </row>
    <row r="15" spans="1:23" x14ac:dyDescent="0.35">
      <c r="A15" s="9" t="s">
        <v>307</v>
      </c>
      <c r="B15" s="9" t="s">
        <v>1893</v>
      </c>
      <c r="C15" s="9" t="s">
        <v>1870</v>
      </c>
      <c r="D15" s="10">
        <v>4000</v>
      </c>
      <c r="E15" s="10">
        <v>3200</v>
      </c>
      <c r="F15" s="10" t="s">
        <v>86</v>
      </c>
      <c r="G15" s="95" t="s">
        <v>58</v>
      </c>
      <c r="H15" s="9" t="s">
        <v>1222</v>
      </c>
      <c r="I15" s="94" t="s">
        <v>27</v>
      </c>
      <c r="J15" s="195">
        <v>45691</v>
      </c>
      <c r="K15" s="9" t="s">
        <v>310</v>
      </c>
      <c r="L15" s="10">
        <v>3200</v>
      </c>
      <c r="M15" s="9" t="s">
        <v>311</v>
      </c>
      <c r="N15" s="9"/>
      <c r="O15" s="87" t="s">
        <v>312</v>
      </c>
      <c r="Q15" s="39" t="s">
        <v>68</v>
      </c>
      <c r="R15" s="10"/>
      <c r="T15" s="9" t="s">
        <v>124</v>
      </c>
      <c r="U15" s="9" t="s">
        <v>1877</v>
      </c>
      <c r="V15" s="10">
        <v>4000</v>
      </c>
      <c r="W15" s="9" t="s">
        <v>93</v>
      </c>
    </row>
    <row r="16" spans="1:23" x14ac:dyDescent="0.35">
      <c r="A16" s="9" t="s">
        <v>48</v>
      </c>
      <c r="B16" s="9" t="s">
        <v>1894</v>
      </c>
      <c r="C16" s="9" t="s">
        <v>1895</v>
      </c>
      <c r="D16" s="10">
        <v>5000</v>
      </c>
      <c r="E16" s="10">
        <v>5000</v>
      </c>
      <c r="F16" s="10" t="s">
        <v>24</v>
      </c>
      <c r="G16" s="95" t="s">
        <v>64</v>
      </c>
      <c r="H16" s="9"/>
      <c r="I16" s="99"/>
      <c r="J16" s="9"/>
      <c r="K16" s="9" t="s">
        <v>353</v>
      </c>
      <c r="L16" s="10">
        <v>5000</v>
      </c>
      <c r="M16" s="9" t="s">
        <v>66</v>
      </c>
      <c r="N16" s="9"/>
      <c r="O16" s="9" t="s">
        <v>67</v>
      </c>
      <c r="Q16" s="39" t="s">
        <v>76</v>
      </c>
      <c r="R16" s="10">
        <v>15250</v>
      </c>
      <c r="T16" s="9" t="s">
        <v>761</v>
      </c>
      <c r="U16" s="9" t="s">
        <v>1896</v>
      </c>
      <c r="V16" s="10">
        <v>1500</v>
      </c>
      <c r="W16" s="9" t="s">
        <v>76</v>
      </c>
    </row>
    <row r="17" spans="1:23" ht="29" x14ac:dyDescent="0.35">
      <c r="A17" s="9" t="s">
        <v>298</v>
      </c>
      <c r="B17" s="9" t="s">
        <v>1897</v>
      </c>
      <c r="C17" s="9" t="s">
        <v>1143</v>
      </c>
      <c r="D17" s="10">
        <v>4000</v>
      </c>
      <c r="E17" s="10">
        <v>4000</v>
      </c>
      <c r="F17" s="10" t="s">
        <v>37</v>
      </c>
      <c r="G17" s="95" t="s">
        <v>167</v>
      </c>
      <c r="H17" s="9"/>
      <c r="I17" s="94" t="s">
        <v>27</v>
      </c>
      <c r="J17" s="195">
        <v>45723</v>
      </c>
      <c r="K17" s="195">
        <v>45908</v>
      </c>
      <c r="L17" s="10">
        <v>4000</v>
      </c>
      <c r="M17" s="9" t="s">
        <v>461</v>
      </c>
      <c r="N17" s="9"/>
      <c r="O17" s="9" t="s">
        <v>1898</v>
      </c>
      <c r="Q17" s="39" t="s">
        <v>81</v>
      </c>
      <c r="R17" s="10"/>
      <c r="T17" s="48" t="s">
        <v>126</v>
      </c>
      <c r="U17" s="48" t="s">
        <v>1899</v>
      </c>
      <c r="V17" s="55">
        <v>2000</v>
      </c>
      <c r="W17" s="48" t="s">
        <v>24</v>
      </c>
    </row>
    <row r="18" spans="1:23" x14ac:dyDescent="0.35">
      <c r="A18" s="9" t="s">
        <v>1800</v>
      </c>
      <c r="B18" s="9" t="s">
        <v>1373</v>
      </c>
      <c r="C18" s="9" t="s">
        <v>1306</v>
      </c>
      <c r="D18" s="10">
        <v>4000</v>
      </c>
      <c r="E18" s="10">
        <v>4000</v>
      </c>
      <c r="F18" s="10" t="s">
        <v>24</v>
      </c>
      <c r="G18" s="95">
        <v>2024</v>
      </c>
      <c r="H18" s="9"/>
      <c r="I18" s="99"/>
      <c r="J18" s="195">
        <v>45670</v>
      </c>
      <c r="K18" s="195">
        <v>45898</v>
      </c>
      <c r="L18" s="10">
        <v>4000</v>
      </c>
      <c r="M18" s="9"/>
      <c r="N18" s="9"/>
      <c r="O18" s="9"/>
      <c r="Q18" s="39" t="s">
        <v>86</v>
      </c>
      <c r="R18" s="10">
        <v>9000</v>
      </c>
      <c r="T18" s="112" t="s">
        <v>634</v>
      </c>
      <c r="U18" s="112" t="s">
        <v>1900</v>
      </c>
      <c r="V18" s="113">
        <v>1500</v>
      </c>
      <c r="W18" s="112" t="s">
        <v>93</v>
      </c>
    </row>
    <row r="19" spans="1:23" x14ac:dyDescent="0.35">
      <c r="A19" s="9" t="s">
        <v>40</v>
      </c>
      <c r="B19" s="9" t="s">
        <v>1901</v>
      </c>
      <c r="C19" s="9" t="s">
        <v>1873</v>
      </c>
      <c r="D19" s="10">
        <v>4000</v>
      </c>
      <c r="E19" s="10">
        <v>4000</v>
      </c>
      <c r="F19" s="10" t="s">
        <v>24</v>
      </c>
      <c r="G19" s="95" t="s">
        <v>42</v>
      </c>
      <c r="H19" s="9"/>
      <c r="I19" s="94" t="s">
        <v>27</v>
      </c>
      <c r="J19" s="195">
        <v>45670</v>
      </c>
      <c r="K19" s="9" t="s">
        <v>128</v>
      </c>
      <c r="L19" s="10">
        <v>4000</v>
      </c>
      <c r="M19" s="9" t="s">
        <v>45</v>
      </c>
      <c r="N19" s="9"/>
      <c r="O19" s="9" t="s">
        <v>46</v>
      </c>
      <c r="Q19" s="39" t="s">
        <v>90</v>
      </c>
      <c r="R19" s="10">
        <v>10999</v>
      </c>
      <c r="T19" s="48" t="s">
        <v>1805</v>
      </c>
      <c r="U19" s="48" t="s">
        <v>1902</v>
      </c>
      <c r="V19" s="55">
        <v>4500</v>
      </c>
      <c r="W19" s="48" t="s">
        <v>90</v>
      </c>
    </row>
    <row r="20" spans="1:23" x14ac:dyDescent="0.35">
      <c r="A20" s="9" t="s">
        <v>778</v>
      </c>
      <c r="B20" s="9" t="s">
        <v>1903</v>
      </c>
      <c r="C20" s="9" t="s">
        <v>1904</v>
      </c>
      <c r="D20" s="10">
        <v>4000</v>
      </c>
      <c r="E20" s="10">
        <v>4000</v>
      </c>
      <c r="F20" s="10" t="s">
        <v>93</v>
      </c>
      <c r="G20" s="95" t="s">
        <v>53</v>
      </c>
      <c r="H20" s="9"/>
      <c r="I20" s="99"/>
      <c r="J20" s="195">
        <v>45670</v>
      </c>
      <c r="K20" s="195">
        <v>46006</v>
      </c>
      <c r="L20" s="10">
        <v>4000</v>
      </c>
      <c r="M20" s="9" t="s">
        <v>779</v>
      </c>
      <c r="N20" s="9"/>
      <c r="O20" s="81" t="s">
        <v>780</v>
      </c>
      <c r="Q20" s="39" t="s">
        <v>91</v>
      </c>
      <c r="R20" s="10"/>
      <c r="T20" s="9" t="s">
        <v>1905</v>
      </c>
      <c r="U20" s="9" t="s">
        <v>1906</v>
      </c>
      <c r="V20" s="10">
        <v>750</v>
      </c>
      <c r="W20" s="9" t="s">
        <v>76</v>
      </c>
    </row>
    <row r="21" spans="1:23" x14ac:dyDescent="0.35">
      <c r="A21" s="9" t="s">
        <v>1625</v>
      </c>
      <c r="B21" s="9" t="s">
        <v>1907</v>
      </c>
      <c r="C21" s="9" t="s">
        <v>1908</v>
      </c>
      <c r="D21" s="10">
        <v>4000</v>
      </c>
      <c r="E21" s="10">
        <v>4000</v>
      </c>
      <c r="F21" s="9" t="s">
        <v>92</v>
      </c>
      <c r="G21" s="9" t="s">
        <v>148</v>
      </c>
      <c r="H21" s="9"/>
      <c r="I21" s="99"/>
      <c r="J21" s="9" t="s">
        <v>1909</v>
      </c>
      <c r="K21" s="195">
        <v>45887</v>
      </c>
      <c r="L21" s="239">
        <v>4000</v>
      </c>
      <c r="M21" s="9" t="s">
        <v>1910</v>
      </c>
      <c r="N21" s="9"/>
      <c r="O21" s="87" t="s">
        <v>1911</v>
      </c>
      <c r="Q21" s="39" t="s">
        <v>92</v>
      </c>
      <c r="R21" s="10">
        <v>4000</v>
      </c>
      <c r="T21" s="48" t="s">
        <v>1625</v>
      </c>
      <c r="U21" s="48" t="s">
        <v>1912</v>
      </c>
      <c r="V21" s="55">
        <v>4000</v>
      </c>
      <c r="W21" s="48" t="s">
        <v>93</v>
      </c>
    </row>
    <row r="22" spans="1:23" ht="58" x14ac:dyDescent="0.35">
      <c r="A22" s="9" t="s">
        <v>204</v>
      </c>
      <c r="B22" s="9" t="s">
        <v>1913</v>
      </c>
      <c r="C22" s="9" t="s">
        <v>1914</v>
      </c>
      <c r="D22" s="10">
        <v>4000</v>
      </c>
      <c r="E22" s="10">
        <v>4000</v>
      </c>
      <c r="F22" s="10" t="s">
        <v>24</v>
      </c>
      <c r="G22" s="95" t="s">
        <v>206</v>
      </c>
      <c r="H22" s="9"/>
      <c r="I22" s="99"/>
      <c r="J22" s="9" t="s">
        <v>1419</v>
      </c>
      <c r="K22" s="195">
        <v>45981</v>
      </c>
      <c r="L22" s="10">
        <v>4000</v>
      </c>
      <c r="M22" s="9" t="s">
        <v>209</v>
      </c>
      <c r="N22" s="126" t="s">
        <v>210</v>
      </c>
      <c r="O22" s="87" t="s">
        <v>211</v>
      </c>
      <c r="Q22" s="39" t="s">
        <v>93</v>
      </c>
      <c r="R22" s="10">
        <v>9500</v>
      </c>
      <c r="T22" s="54" t="s">
        <v>368</v>
      </c>
      <c r="U22" s="9" t="s">
        <v>1875</v>
      </c>
      <c r="V22" s="10">
        <v>4000</v>
      </c>
      <c r="W22" s="9" t="s">
        <v>92</v>
      </c>
    </row>
    <row r="23" spans="1:23" x14ac:dyDescent="0.35">
      <c r="A23" s="9" t="s">
        <v>1193</v>
      </c>
      <c r="B23" s="9" t="s">
        <v>1915</v>
      </c>
      <c r="C23" s="9" t="s">
        <v>1916</v>
      </c>
      <c r="D23" s="10">
        <v>4000</v>
      </c>
      <c r="E23" s="10">
        <v>4000</v>
      </c>
      <c r="F23" s="10" t="s">
        <v>37</v>
      </c>
      <c r="G23" s="95" t="s">
        <v>287</v>
      </c>
      <c r="H23" s="9"/>
      <c r="I23" s="99"/>
      <c r="J23" s="195">
        <v>45757</v>
      </c>
      <c r="K23" s="9" t="s">
        <v>685</v>
      </c>
      <c r="L23" s="10">
        <v>4000</v>
      </c>
      <c r="M23" s="9"/>
      <c r="N23" s="9"/>
      <c r="O23" s="9"/>
      <c r="Q23" s="39" t="s">
        <v>94</v>
      </c>
      <c r="R23" s="10"/>
      <c r="T23" s="48" t="s">
        <v>140</v>
      </c>
      <c r="U23" s="48" t="s">
        <v>1917</v>
      </c>
      <c r="V23" s="55">
        <v>9600</v>
      </c>
      <c r="W23" s="48" t="s">
        <v>76</v>
      </c>
    </row>
    <row r="24" spans="1:23" x14ac:dyDescent="0.35">
      <c r="A24" s="9" t="s">
        <v>1918</v>
      </c>
      <c r="B24" s="9" t="s">
        <v>1919</v>
      </c>
      <c r="C24" s="9" t="s">
        <v>1878</v>
      </c>
      <c r="D24" s="10">
        <v>4000</v>
      </c>
      <c r="E24" s="10">
        <v>4000</v>
      </c>
      <c r="F24" s="10" t="s">
        <v>90</v>
      </c>
      <c r="G24" s="95" t="s">
        <v>638</v>
      </c>
      <c r="H24" s="9"/>
      <c r="I24" s="99"/>
      <c r="J24" s="9" t="s">
        <v>1419</v>
      </c>
      <c r="K24" s="195">
        <v>45999</v>
      </c>
      <c r="L24" s="10">
        <v>4000</v>
      </c>
      <c r="M24" s="9" t="s">
        <v>1920</v>
      </c>
      <c r="N24" s="9"/>
      <c r="O24" s="9"/>
      <c r="Q24" s="39" t="s">
        <v>95</v>
      </c>
      <c r="R24" s="10">
        <v>26200</v>
      </c>
      <c r="T24" s="48" t="s">
        <v>170</v>
      </c>
      <c r="U24" s="48" t="s">
        <v>1902</v>
      </c>
      <c r="V24" s="55">
        <v>7200</v>
      </c>
      <c r="W24" s="48" t="s">
        <v>24</v>
      </c>
    </row>
    <row r="25" spans="1:23" ht="58" x14ac:dyDescent="0.35">
      <c r="A25" s="9" t="s">
        <v>204</v>
      </c>
      <c r="B25" s="9" t="s">
        <v>1921</v>
      </c>
      <c r="C25" s="9" t="s">
        <v>1879</v>
      </c>
      <c r="D25" s="10">
        <v>4000</v>
      </c>
      <c r="E25" s="10">
        <v>4000</v>
      </c>
      <c r="F25" s="10" t="s">
        <v>24</v>
      </c>
      <c r="G25" s="95" t="s">
        <v>206</v>
      </c>
      <c r="H25" s="9"/>
      <c r="I25" s="99"/>
      <c r="J25" s="9" t="s">
        <v>1419</v>
      </c>
      <c r="K25" s="195">
        <v>45981</v>
      </c>
      <c r="L25" s="10">
        <v>4000</v>
      </c>
      <c r="M25" s="9" t="s">
        <v>209</v>
      </c>
      <c r="N25" s="126" t="s">
        <v>210</v>
      </c>
      <c r="O25" s="9" t="s">
        <v>211</v>
      </c>
      <c r="Q25" s="39" t="s">
        <v>96</v>
      </c>
      <c r="R25" s="10">
        <v>13450</v>
      </c>
      <c r="T25" s="112" t="s">
        <v>175</v>
      </c>
      <c r="U25" s="112" t="s">
        <v>1922</v>
      </c>
      <c r="V25" s="113">
        <v>1500</v>
      </c>
      <c r="W25" s="112" t="s">
        <v>96</v>
      </c>
    </row>
    <row r="26" spans="1:23" x14ac:dyDescent="0.35">
      <c r="A26" s="9" t="s">
        <v>1170</v>
      </c>
      <c r="B26" s="9" t="s">
        <v>1923</v>
      </c>
      <c r="C26" s="9" t="s">
        <v>1880</v>
      </c>
      <c r="D26" s="10">
        <v>4000</v>
      </c>
      <c r="E26" s="10">
        <v>4000</v>
      </c>
      <c r="F26" s="10" t="s">
        <v>93</v>
      </c>
      <c r="G26" s="95" t="s">
        <v>771</v>
      </c>
      <c r="H26" s="9"/>
      <c r="I26" s="157" t="s">
        <v>27</v>
      </c>
      <c r="J26" s="9"/>
      <c r="K26" s="9"/>
      <c r="L26" s="10"/>
      <c r="M26" s="9" t="s">
        <v>1171</v>
      </c>
      <c r="N26" s="9"/>
      <c r="O26" s="86" t="s">
        <v>1172</v>
      </c>
      <c r="Q26" s="39" t="s">
        <v>97</v>
      </c>
      <c r="R26" s="10">
        <v>9650</v>
      </c>
      <c r="T26" s="48" t="s">
        <v>193</v>
      </c>
      <c r="U26" s="48" t="s">
        <v>1924</v>
      </c>
      <c r="V26" s="55">
        <v>1500</v>
      </c>
      <c r="W26" s="48" t="s">
        <v>24</v>
      </c>
    </row>
    <row r="27" spans="1:23" x14ac:dyDescent="0.35">
      <c r="L27" s="21"/>
      <c r="Q27" s="39" t="s">
        <v>10</v>
      </c>
      <c r="R27" s="10">
        <v>0</v>
      </c>
      <c r="T27" s="112" t="s">
        <v>193</v>
      </c>
      <c r="U27" s="112" t="s">
        <v>1925</v>
      </c>
      <c r="V27" s="113">
        <v>750</v>
      </c>
      <c r="W27" s="112" t="s">
        <v>24</v>
      </c>
    </row>
    <row r="28" spans="1:23" x14ac:dyDescent="0.35">
      <c r="L28" s="21"/>
      <c r="Q28" s="39" t="s">
        <v>98</v>
      </c>
      <c r="R28" s="10">
        <v>871</v>
      </c>
      <c r="T28" s="48" t="s">
        <v>187</v>
      </c>
      <c r="U28" s="48" t="s">
        <v>1902</v>
      </c>
      <c r="V28" s="55">
        <v>7200</v>
      </c>
      <c r="W28" s="48" t="s">
        <v>97</v>
      </c>
    </row>
    <row r="29" spans="1:23" ht="29" x14ac:dyDescent="0.35">
      <c r="A29" s="43"/>
      <c r="B29" s="12" t="s">
        <v>1926</v>
      </c>
      <c r="C29" s="12" t="s">
        <v>1927</v>
      </c>
      <c r="D29" s="12" t="s">
        <v>1928</v>
      </c>
      <c r="E29" s="12" t="s">
        <v>9</v>
      </c>
      <c r="F29" s="12" t="s">
        <v>10</v>
      </c>
      <c r="G29" s="12" t="s">
        <v>11</v>
      </c>
      <c r="H29" s="12" t="s">
        <v>12</v>
      </c>
      <c r="I29" s="97" t="s">
        <v>13</v>
      </c>
      <c r="J29" s="43"/>
      <c r="K29" s="12" t="s">
        <v>15</v>
      </c>
      <c r="L29" s="132" t="s">
        <v>16</v>
      </c>
      <c r="M29" s="12" t="s">
        <v>17</v>
      </c>
      <c r="N29" s="12" t="s">
        <v>18</v>
      </c>
      <c r="O29" s="12" t="s">
        <v>19</v>
      </c>
      <c r="Q29" s="40" t="s">
        <v>99</v>
      </c>
      <c r="R29" s="41">
        <v>181786</v>
      </c>
      <c r="T29" s="48" t="s">
        <v>1929</v>
      </c>
      <c r="U29" s="48" t="s">
        <v>1930</v>
      </c>
      <c r="V29" s="55">
        <v>1850</v>
      </c>
      <c r="W29" s="48"/>
    </row>
    <row r="30" spans="1:23" x14ac:dyDescent="0.35">
      <c r="A30" s="9" t="s">
        <v>1271</v>
      </c>
      <c r="B30" s="9" t="s">
        <v>1931</v>
      </c>
      <c r="C30" s="10">
        <v>24000</v>
      </c>
      <c r="D30" s="10">
        <v>2500</v>
      </c>
      <c r="E30" s="10"/>
      <c r="F30" s="9"/>
      <c r="G30" s="9"/>
      <c r="H30" s="9"/>
      <c r="I30" s="99"/>
      <c r="K30" s="9"/>
      <c r="L30" s="10"/>
      <c r="M30" s="9"/>
      <c r="N30" s="9"/>
      <c r="O30" s="9"/>
      <c r="T30" s="48" t="s">
        <v>48</v>
      </c>
      <c r="U30" s="48" t="s">
        <v>1902</v>
      </c>
      <c r="V30" s="55">
        <v>7200</v>
      </c>
      <c r="W30" s="48" t="s">
        <v>37</v>
      </c>
    </row>
    <row r="31" spans="1:23" ht="159.5" x14ac:dyDescent="0.35">
      <c r="A31" s="9" t="s">
        <v>126</v>
      </c>
      <c r="B31" s="9" t="s">
        <v>1932</v>
      </c>
      <c r="C31" s="10">
        <v>24000</v>
      </c>
      <c r="D31" s="10">
        <v>2500</v>
      </c>
      <c r="E31" s="10">
        <v>20166</v>
      </c>
      <c r="F31" s="9" t="s">
        <v>37</v>
      </c>
      <c r="G31" s="9" t="s">
        <v>310</v>
      </c>
      <c r="H31" s="9" t="s">
        <v>1933</v>
      </c>
      <c r="I31" s="94" t="s">
        <v>27</v>
      </c>
      <c r="J31" s="9" t="s">
        <v>1934</v>
      </c>
      <c r="K31" s="127" t="s">
        <v>375</v>
      </c>
      <c r="L31" s="10">
        <v>20166</v>
      </c>
      <c r="M31" s="9" t="s">
        <v>1935</v>
      </c>
      <c r="N31" s="9"/>
      <c r="O31" s="9"/>
      <c r="T31" s="48" t="s">
        <v>1936</v>
      </c>
      <c r="U31" s="48" t="s">
        <v>1937</v>
      </c>
      <c r="V31" s="55">
        <v>4000</v>
      </c>
      <c r="W31" s="48" t="s">
        <v>24</v>
      </c>
    </row>
    <row r="32" spans="1:23" x14ac:dyDescent="0.35">
      <c r="A32" s="9" t="s">
        <v>126</v>
      </c>
      <c r="B32" s="9" t="s">
        <v>1938</v>
      </c>
      <c r="C32" s="10">
        <v>24000</v>
      </c>
      <c r="D32" s="10">
        <v>2500</v>
      </c>
      <c r="E32" s="10"/>
      <c r="F32" s="9" t="s">
        <v>37</v>
      </c>
      <c r="G32" s="9" t="s">
        <v>310</v>
      </c>
      <c r="H32" s="9"/>
      <c r="I32" s="176"/>
      <c r="J32" s="9" t="s">
        <v>1934</v>
      </c>
      <c r="K32" s="127"/>
      <c r="L32" s="10"/>
      <c r="M32" s="9" t="s">
        <v>1935</v>
      </c>
      <c r="N32" s="9"/>
      <c r="O32" s="9"/>
      <c r="T32" s="9" t="s">
        <v>1939</v>
      </c>
      <c r="U32" s="9" t="s">
        <v>1940</v>
      </c>
      <c r="V32" s="10">
        <v>500</v>
      </c>
      <c r="W32" s="9" t="s">
        <v>96</v>
      </c>
    </row>
    <row r="33" spans="1:23" x14ac:dyDescent="0.35">
      <c r="A33" s="9" t="s">
        <v>126</v>
      </c>
      <c r="B33" s="9" t="s">
        <v>1941</v>
      </c>
      <c r="C33" s="10">
        <v>24000</v>
      </c>
      <c r="D33" s="10">
        <v>2500</v>
      </c>
      <c r="E33" s="10"/>
      <c r="F33" s="9" t="s">
        <v>37</v>
      </c>
      <c r="G33" s="9" t="s">
        <v>310</v>
      </c>
      <c r="H33" s="9"/>
      <c r="I33" s="176"/>
      <c r="J33" s="9" t="s">
        <v>1934</v>
      </c>
      <c r="K33" s="127"/>
      <c r="L33" s="10"/>
      <c r="M33" s="9" t="s">
        <v>1935</v>
      </c>
      <c r="N33" s="9"/>
      <c r="O33" s="9"/>
      <c r="T33" s="48" t="s">
        <v>218</v>
      </c>
      <c r="U33" s="48" t="s">
        <v>1906</v>
      </c>
      <c r="V33" s="55">
        <v>525</v>
      </c>
      <c r="W33" s="48" t="s">
        <v>37</v>
      </c>
    </row>
    <row r="34" spans="1:23" x14ac:dyDescent="0.35">
      <c r="A34" s="9" t="s">
        <v>126</v>
      </c>
      <c r="B34" s="9" t="s">
        <v>1942</v>
      </c>
      <c r="C34" s="10">
        <v>24000</v>
      </c>
      <c r="D34" s="10">
        <v>2500</v>
      </c>
      <c r="E34" s="10"/>
      <c r="F34" s="9" t="s">
        <v>37</v>
      </c>
      <c r="G34" s="9" t="s">
        <v>310</v>
      </c>
      <c r="H34" s="9"/>
      <c r="I34" s="176"/>
      <c r="J34" s="9" t="s">
        <v>1934</v>
      </c>
      <c r="K34" s="127"/>
      <c r="L34" s="10"/>
      <c r="M34" s="9" t="s">
        <v>1935</v>
      </c>
      <c r="N34" s="9"/>
      <c r="O34" s="9"/>
      <c r="T34" s="48" t="s">
        <v>218</v>
      </c>
      <c r="U34" s="48" t="s">
        <v>1943</v>
      </c>
      <c r="V34" s="55">
        <v>525</v>
      </c>
      <c r="W34" s="48" t="s">
        <v>37</v>
      </c>
    </row>
    <row r="35" spans="1:23" x14ac:dyDescent="0.35">
      <c r="A35" s="9" t="s">
        <v>126</v>
      </c>
      <c r="B35" s="9" t="s">
        <v>1944</v>
      </c>
      <c r="C35" s="10">
        <v>24000</v>
      </c>
      <c r="D35" s="10">
        <v>2500</v>
      </c>
      <c r="E35" s="10"/>
      <c r="F35" s="9" t="s">
        <v>37</v>
      </c>
      <c r="G35" s="9" t="s">
        <v>310</v>
      </c>
      <c r="H35" s="9"/>
      <c r="I35" s="176"/>
      <c r="J35" s="9" t="s">
        <v>1934</v>
      </c>
      <c r="K35" s="127"/>
      <c r="L35" s="10"/>
      <c r="M35" s="9" t="s">
        <v>1935</v>
      </c>
      <c r="N35" s="9"/>
      <c r="O35" s="9"/>
      <c r="T35" s="48" t="s">
        <v>218</v>
      </c>
      <c r="U35" s="48" t="s">
        <v>1925</v>
      </c>
      <c r="V35" s="55">
        <v>525</v>
      </c>
      <c r="W35" s="48" t="s">
        <v>37</v>
      </c>
    </row>
    <row r="36" spans="1:23" x14ac:dyDescent="0.35">
      <c r="A36" s="9" t="s">
        <v>126</v>
      </c>
      <c r="B36" s="9" t="s">
        <v>1945</v>
      </c>
      <c r="C36" s="10">
        <v>24000</v>
      </c>
      <c r="D36" s="10">
        <v>2500</v>
      </c>
      <c r="E36" s="10"/>
      <c r="F36" s="9" t="s">
        <v>37</v>
      </c>
      <c r="G36" s="9" t="s">
        <v>310</v>
      </c>
      <c r="H36" s="9"/>
      <c r="I36" s="176"/>
      <c r="J36" s="9" t="s">
        <v>1934</v>
      </c>
      <c r="K36" s="127"/>
      <c r="L36" s="10"/>
      <c r="M36" s="9" t="s">
        <v>1935</v>
      </c>
      <c r="N36" s="9"/>
      <c r="O36" s="9"/>
      <c r="T36" s="48" t="s">
        <v>218</v>
      </c>
      <c r="U36" s="48" t="s">
        <v>1940</v>
      </c>
      <c r="V36" s="55">
        <v>525</v>
      </c>
      <c r="W36" s="48" t="s">
        <v>37</v>
      </c>
    </row>
    <row r="37" spans="1:23" x14ac:dyDescent="0.35">
      <c r="A37" s="9" t="s">
        <v>126</v>
      </c>
      <c r="B37" s="9" t="s">
        <v>1946</v>
      </c>
      <c r="C37" s="10">
        <v>24000</v>
      </c>
      <c r="D37" s="10">
        <v>2500</v>
      </c>
      <c r="E37" s="10"/>
      <c r="F37" s="9" t="s">
        <v>37</v>
      </c>
      <c r="G37" s="9" t="s">
        <v>310</v>
      </c>
      <c r="H37" s="9"/>
      <c r="I37" s="176"/>
      <c r="J37" s="9" t="s">
        <v>1934</v>
      </c>
      <c r="K37" s="127"/>
      <c r="L37" s="10"/>
      <c r="M37" s="9" t="s">
        <v>1935</v>
      </c>
      <c r="N37" s="9"/>
      <c r="O37" s="9"/>
      <c r="T37" s="48" t="s">
        <v>220</v>
      </c>
      <c r="U37" s="48" t="s">
        <v>1925</v>
      </c>
      <c r="V37" s="55">
        <v>750</v>
      </c>
      <c r="W37" s="48" t="s">
        <v>24</v>
      </c>
    </row>
    <row r="38" spans="1:23" ht="29" x14ac:dyDescent="0.35">
      <c r="A38" s="9" t="s">
        <v>126</v>
      </c>
      <c r="B38" s="9" t="s">
        <v>1947</v>
      </c>
      <c r="C38" s="10">
        <v>24000</v>
      </c>
      <c r="D38" s="10">
        <v>2500</v>
      </c>
      <c r="E38" s="10"/>
      <c r="F38" s="9" t="s">
        <v>37</v>
      </c>
      <c r="G38" s="9" t="s">
        <v>310</v>
      </c>
      <c r="H38" s="9"/>
      <c r="I38" s="176"/>
      <c r="J38" s="9" t="s">
        <v>1934</v>
      </c>
      <c r="K38" s="127"/>
      <c r="L38" s="10"/>
      <c r="M38" s="9" t="s">
        <v>1935</v>
      </c>
      <c r="N38" s="9"/>
      <c r="O38" s="9"/>
      <c r="T38" s="48" t="s">
        <v>51</v>
      </c>
      <c r="U38" s="48" t="s">
        <v>1948</v>
      </c>
      <c r="V38" s="55">
        <v>1700</v>
      </c>
      <c r="W38" s="48" t="s">
        <v>37</v>
      </c>
    </row>
    <row r="39" spans="1:23" x14ac:dyDescent="0.35">
      <c r="A39" s="9" t="s">
        <v>126</v>
      </c>
      <c r="B39" s="9" t="s">
        <v>1949</v>
      </c>
      <c r="C39" s="10">
        <v>24000</v>
      </c>
      <c r="D39" s="10">
        <v>2500</v>
      </c>
      <c r="E39" s="10"/>
      <c r="F39" s="9" t="s">
        <v>37</v>
      </c>
      <c r="G39" s="9" t="s">
        <v>310</v>
      </c>
      <c r="H39" s="9"/>
      <c r="I39" s="176"/>
      <c r="J39" s="9" t="s">
        <v>1934</v>
      </c>
      <c r="K39" s="127"/>
      <c r="L39" s="10"/>
      <c r="M39" s="9" t="s">
        <v>1935</v>
      </c>
      <c r="N39" s="9"/>
      <c r="O39" s="9"/>
      <c r="T39" s="48" t="s">
        <v>204</v>
      </c>
      <c r="U39" s="48" t="s">
        <v>1876</v>
      </c>
      <c r="V39" s="55">
        <v>4000</v>
      </c>
      <c r="W39" s="48" t="s">
        <v>37</v>
      </c>
    </row>
    <row r="40" spans="1:23" x14ac:dyDescent="0.35">
      <c r="A40" s="9" t="s">
        <v>126</v>
      </c>
      <c r="B40" s="9" t="s">
        <v>1950</v>
      </c>
      <c r="C40" s="10">
        <v>24000</v>
      </c>
      <c r="D40" s="10">
        <v>2500</v>
      </c>
      <c r="E40" s="10"/>
      <c r="F40" s="9" t="s">
        <v>37</v>
      </c>
      <c r="G40" s="9" t="s">
        <v>310</v>
      </c>
      <c r="H40" s="9"/>
      <c r="I40" s="176"/>
      <c r="J40" s="9" t="s">
        <v>1934</v>
      </c>
      <c r="K40" s="127"/>
      <c r="L40" s="10"/>
      <c r="M40" s="9" t="s">
        <v>1935</v>
      </c>
      <c r="N40" s="9"/>
      <c r="O40" s="9"/>
      <c r="T40" s="48" t="s">
        <v>204</v>
      </c>
      <c r="U40" s="48" t="s">
        <v>1879</v>
      </c>
      <c r="V40" s="55">
        <v>4000</v>
      </c>
      <c r="W40" s="48" t="s">
        <v>37</v>
      </c>
    </row>
    <row r="41" spans="1:23" x14ac:dyDescent="0.35">
      <c r="A41" s="9" t="s">
        <v>126</v>
      </c>
      <c r="B41" s="9" t="s">
        <v>1951</v>
      </c>
      <c r="C41" s="10">
        <v>24000</v>
      </c>
      <c r="D41" s="10">
        <v>2500</v>
      </c>
      <c r="E41" s="10"/>
      <c r="F41" s="9" t="s">
        <v>37</v>
      </c>
      <c r="G41" s="9" t="s">
        <v>310</v>
      </c>
      <c r="H41" s="9"/>
      <c r="I41" s="176"/>
      <c r="J41" s="9" t="s">
        <v>1934</v>
      </c>
      <c r="K41" s="127"/>
      <c r="L41" s="10"/>
      <c r="M41" s="9" t="s">
        <v>1935</v>
      </c>
      <c r="N41" s="9"/>
      <c r="O41" s="9"/>
      <c r="T41" s="48" t="s">
        <v>242</v>
      </c>
      <c r="U41" s="48" t="s">
        <v>1877</v>
      </c>
      <c r="V41" s="55">
        <v>2500</v>
      </c>
      <c r="W41" s="48" t="s">
        <v>90</v>
      </c>
    </row>
    <row r="42" spans="1:23" x14ac:dyDescent="0.35">
      <c r="A42" s="43"/>
      <c r="B42" s="43"/>
      <c r="C42" s="43"/>
      <c r="D42" s="43"/>
      <c r="E42" s="43"/>
      <c r="F42" s="43"/>
      <c r="G42" s="43"/>
      <c r="H42" s="43"/>
      <c r="I42" s="100"/>
      <c r="J42" s="88"/>
      <c r="K42" s="43"/>
      <c r="L42" s="108"/>
      <c r="M42" s="43"/>
      <c r="N42" s="43"/>
      <c r="O42" s="43"/>
      <c r="T42" s="48" t="s">
        <v>1161</v>
      </c>
      <c r="U42" s="48" t="s">
        <v>1952</v>
      </c>
      <c r="V42" s="55">
        <v>750</v>
      </c>
      <c r="W42" s="48" t="s">
        <v>37</v>
      </c>
    </row>
    <row r="43" spans="1:23" x14ac:dyDescent="0.35">
      <c r="A43" s="9"/>
      <c r="B43" s="9" t="s">
        <v>1953</v>
      </c>
      <c r="C43" s="10">
        <v>19200</v>
      </c>
      <c r="D43" s="10">
        <v>2000</v>
      </c>
      <c r="E43" s="10"/>
      <c r="F43" s="9"/>
      <c r="G43" s="9"/>
      <c r="H43" s="9"/>
      <c r="I43" s="176"/>
      <c r="J43" s="9"/>
      <c r="K43" s="127"/>
      <c r="L43" s="10"/>
      <c r="M43" s="9"/>
      <c r="N43" s="9"/>
      <c r="O43" s="9"/>
      <c r="T43" s="112" t="s">
        <v>285</v>
      </c>
      <c r="U43" s="112" t="s">
        <v>1902</v>
      </c>
      <c r="V43" s="113">
        <v>10000</v>
      </c>
      <c r="W43" s="112" t="s">
        <v>96</v>
      </c>
    </row>
    <row r="44" spans="1:23" x14ac:dyDescent="0.35">
      <c r="A44" s="9"/>
      <c r="B44" s="9" t="s">
        <v>1954</v>
      </c>
      <c r="C44" s="10">
        <v>19200</v>
      </c>
      <c r="D44" s="10">
        <v>2000</v>
      </c>
      <c r="E44" s="10"/>
      <c r="F44" s="9"/>
      <c r="G44" s="9"/>
      <c r="H44" s="9"/>
      <c r="I44" s="176"/>
      <c r="J44" s="9"/>
      <c r="K44" s="127"/>
      <c r="L44" s="10"/>
      <c r="M44" s="9"/>
      <c r="N44" s="9"/>
      <c r="O44" s="9"/>
      <c r="T44" s="48" t="s">
        <v>285</v>
      </c>
      <c r="U44" s="48" t="s">
        <v>1877</v>
      </c>
      <c r="V44" s="55">
        <v>5000</v>
      </c>
      <c r="W44" s="48" t="s">
        <v>96</v>
      </c>
    </row>
    <row r="45" spans="1:23" x14ac:dyDescent="0.35">
      <c r="A45" s="9"/>
      <c r="B45" s="9" t="s">
        <v>1955</v>
      </c>
      <c r="C45" s="10">
        <v>19200</v>
      </c>
      <c r="D45" s="10">
        <v>2000</v>
      </c>
      <c r="E45" s="10"/>
      <c r="F45" s="9"/>
      <c r="G45" s="9"/>
      <c r="H45" s="9"/>
      <c r="I45" s="176"/>
      <c r="J45" s="9"/>
      <c r="K45" s="127"/>
      <c r="L45" s="10"/>
      <c r="M45" s="9"/>
      <c r="N45" s="9"/>
      <c r="O45" s="9"/>
      <c r="T45" s="112" t="s">
        <v>288</v>
      </c>
      <c r="U45" s="112" t="s">
        <v>1143</v>
      </c>
      <c r="V45" s="113">
        <v>4000</v>
      </c>
      <c r="W45" s="112" t="s">
        <v>96</v>
      </c>
    </row>
    <row r="46" spans="1:23" x14ac:dyDescent="0.35">
      <c r="A46" s="9"/>
      <c r="B46" s="9" t="s">
        <v>1956</v>
      </c>
      <c r="C46" s="10">
        <v>19200</v>
      </c>
      <c r="D46" s="10">
        <v>2000</v>
      </c>
      <c r="E46" s="10"/>
      <c r="F46" s="9"/>
      <c r="G46" s="9"/>
      <c r="H46" s="9"/>
      <c r="I46" s="176"/>
      <c r="J46" s="9"/>
      <c r="K46" s="127"/>
      <c r="L46" s="10"/>
      <c r="M46" s="9"/>
      <c r="N46" s="9"/>
      <c r="O46" s="9"/>
      <c r="T46" s="112" t="s">
        <v>288</v>
      </c>
      <c r="U46" s="112" t="s">
        <v>1931</v>
      </c>
      <c r="V46" s="113">
        <v>15000</v>
      </c>
      <c r="W46" s="112" t="s">
        <v>97</v>
      </c>
    </row>
    <row r="47" spans="1:23" x14ac:dyDescent="0.35">
      <c r="A47" s="9"/>
      <c r="B47" s="9" t="s">
        <v>1957</v>
      </c>
      <c r="C47" s="10">
        <v>19200</v>
      </c>
      <c r="D47" s="10">
        <v>2000</v>
      </c>
      <c r="E47" s="10"/>
      <c r="F47" s="9"/>
      <c r="G47" s="9"/>
      <c r="H47" s="9"/>
      <c r="I47" s="176"/>
      <c r="J47" s="9"/>
      <c r="K47" s="127"/>
      <c r="L47" s="10"/>
      <c r="M47" s="9"/>
      <c r="N47" s="9"/>
      <c r="O47" s="9"/>
      <c r="T47" s="48" t="s">
        <v>515</v>
      </c>
      <c r="U47" s="48" t="s">
        <v>1902</v>
      </c>
      <c r="V47" s="55">
        <v>7200</v>
      </c>
      <c r="W47" s="48" t="s">
        <v>97</v>
      </c>
    </row>
    <row r="48" spans="1:23" x14ac:dyDescent="0.35">
      <c r="A48" s="9"/>
      <c r="B48" s="9" t="s">
        <v>1958</v>
      </c>
      <c r="C48" s="10">
        <v>19200</v>
      </c>
      <c r="D48" s="10">
        <v>2000</v>
      </c>
      <c r="E48" s="10"/>
      <c r="F48" s="9"/>
      <c r="G48" s="9"/>
      <c r="H48" s="9"/>
      <c r="I48" s="176"/>
      <c r="J48" s="9"/>
      <c r="K48" s="127"/>
      <c r="L48" s="10"/>
      <c r="M48" s="9"/>
      <c r="N48" s="9"/>
      <c r="O48" s="9"/>
      <c r="T48" s="9" t="s">
        <v>1332</v>
      </c>
      <c r="U48" s="9" t="s">
        <v>1332</v>
      </c>
      <c r="V48" s="10">
        <v>15500</v>
      </c>
      <c r="W48" s="9" t="s">
        <v>95</v>
      </c>
    </row>
    <row r="49" spans="1:23" x14ac:dyDescent="0.35">
      <c r="A49" s="9"/>
      <c r="B49" s="9" t="s">
        <v>1959</v>
      </c>
      <c r="C49" s="10">
        <v>19200</v>
      </c>
      <c r="D49" s="10">
        <v>2000</v>
      </c>
      <c r="E49" s="10"/>
      <c r="F49" s="9"/>
      <c r="G49" s="9"/>
      <c r="H49" s="9"/>
      <c r="I49" s="176"/>
      <c r="J49" s="9"/>
      <c r="K49" s="127"/>
      <c r="L49" s="10"/>
      <c r="M49" s="9"/>
      <c r="N49" s="9"/>
      <c r="O49" s="9"/>
      <c r="T49" s="112" t="s">
        <v>1960</v>
      </c>
      <c r="U49" s="112" t="s">
        <v>1961</v>
      </c>
      <c r="V49" s="113">
        <v>750</v>
      </c>
      <c r="W49" s="112" t="s">
        <v>92</v>
      </c>
    </row>
    <row r="50" spans="1:23" x14ac:dyDescent="0.35">
      <c r="A50" s="9"/>
      <c r="B50" s="9" t="s">
        <v>1962</v>
      </c>
      <c r="C50" s="10">
        <v>19200</v>
      </c>
      <c r="D50" s="10">
        <v>2000</v>
      </c>
      <c r="E50" s="10"/>
      <c r="F50" s="9"/>
      <c r="G50" s="9"/>
      <c r="H50" s="9"/>
      <c r="I50" s="176"/>
      <c r="J50" s="9"/>
      <c r="K50" s="127"/>
      <c r="L50" s="10"/>
      <c r="M50" s="9"/>
      <c r="N50" s="9"/>
      <c r="O50" s="9"/>
      <c r="T50" s="112" t="s">
        <v>1380</v>
      </c>
      <c r="U50" s="112" t="s">
        <v>1961</v>
      </c>
      <c r="V50" s="113">
        <v>750</v>
      </c>
      <c r="W50" s="112" t="s">
        <v>93</v>
      </c>
    </row>
    <row r="51" spans="1:23" x14ac:dyDescent="0.35">
      <c r="A51" s="9"/>
      <c r="B51" s="9" t="s">
        <v>1963</v>
      </c>
      <c r="C51" s="10">
        <v>19200</v>
      </c>
      <c r="D51" s="10">
        <v>2000</v>
      </c>
      <c r="E51" s="10"/>
      <c r="F51" s="9"/>
      <c r="G51" s="9"/>
      <c r="H51" s="9"/>
      <c r="I51" s="176"/>
      <c r="J51" s="9"/>
      <c r="K51" s="127"/>
      <c r="L51" s="10"/>
      <c r="M51" s="9"/>
      <c r="N51" s="9"/>
      <c r="O51" s="9"/>
      <c r="T51" s="9" t="s">
        <v>1196</v>
      </c>
      <c r="U51" s="9" t="s">
        <v>1922</v>
      </c>
      <c r="V51" s="10">
        <v>1500</v>
      </c>
      <c r="W51" s="9" t="s">
        <v>37</v>
      </c>
    </row>
    <row r="52" spans="1:23" x14ac:dyDescent="0.35">
      <c r="A52" s="9"/>
      <c r="B52" s="9" t="s">
        <v>1964</v>
      </c>
      <c r="C52" s="10">
        <v>19200</v>
      </c>
      <c r="D52" s="10">
        <v>2000</v>
      </c>
      <c r="E52" s="10"/>
      <c r="F52" s="9"/>
      <c r="G52" s="9"/>
      <c r="H52" s="9"/>
      <c r="I52" s="176"/>
      <c r="J52" s="9"/>
      <c r="K52" s="127"/>
      <c r="L52" s="10"/>
      <c r="M52" s="9"/>
      <c r="N52" s="9"/>
      <c r="O52" s="9"/>
      <c r="T52" s="48" t="s">
        <v>1965</v>
      </c>
      <c r="U52" s="48" t="s">
        <v>1943</v>
      </c>
      <c r="V52" s="55">
        <v>500</v>
      </c>
      <c r="W52" s="48" t="s">
        <v>90</v>
      </c>
    </row>
    <row r="53" spans="1:23" x14ac:dyDescent="0.35">
      <c r="A53" s="9"/>
      <c r="B53" s="9" t="s">
        <v>1966</v>
      </c>
      <c r="C53" s="10">
        <v>19200</v>
      </c>
      <c r="D53" s="10">
        <v>2000</v>
      </c>
      <c r="E53" s="10"/>
      <c r="F53" s="9"/>
      <c r="G53" s="9"/>
      <c r="H53" s="9"/>
      <c r="I53" s="176"/>
      <c r="J53" s="9"/>
      <c r="K53" s="127"/>
      <c r="L53" s="10"/>
      <c r="M53" s="9"/>
      <c r="N53" s="9"/>
      <c r="O53" s="9"/>
      <c r="T53" s="48" t="s">
        <v>1965</v>
      </c>
      <c r="U53" s="48" t="s">
        <v>1967</v>
      </c>
      <c r="V53" s="55">
        <v>500</v>
      </c>
      <c r="W53" s="48" t="s">
        <v>90</v>
      </c>
    </row>
    <row r="54" spans="1:23" x14ac:dyDescent="0.35">
      <c r="A54" s="9"/>
      <c r="B54" s="9" t="s">
        <v>1968</v>
      </c>
      <c r="C54" s="10">
        <v>19200</v>
      </c>
      <c r="D54" s="10">
        <v>2000</v>
      </c>
      <c r="E54" s="10"/>
      <c r="F54" s="9"/>
      <c r="G54" s="9"/>
      <c r="H54" s="9"/>
      <c r="I54" s="176"/>
      <c r="J54" s="9"/>
      <c r="K54" s="127"/>
      <c r="L54" s="10"/>
      <c r="M54" s="9"/>
      <c r="N54" s="9"/>
      <c r="O54" s="87"/>
      <c r="T54" s="48" t="s">
        <v>841</v>
      </c>
      <c r="U54" s="48" t="s">
        <v>1925</v>
      </c>
      <c r="V54" s="55">
        <v>500</v>
      </c>
      <c r="W54" s="48" t="s">
        <v>90</v>
      </c>
    </row>
    <row r="55" spans="1:23" x14ac:dyDescent="0.35">
      <c r="A55" s="43"/>
      <c r="B55" s="43"/>
      <c r="C55" s="43"/>
      <c r="D55" s="43"/>
      <c r="E55" s="43"/>
      <c r="F55" s="43"/>
      <c r="G55" s="43"/>
      <c r="H55" s="43"/>
      <c r="I55" s="100"/>
      <c r="J55" s="88"/>
      <c r="K55" s="43"/>
      <c r="L55" s="108"/>
      <c r="M55" s="43"/>
      <c r="N55" s="43"/>
      <c r="O55" s="43"/>
      <c r="T55" s="48" t="s">
        <v>841</v>
      </c>
      <c r="U55" s="48" t="s">
        <v>1940</v>
      </c>
      <c r="V55" s="55">
        <v>500</v>
      </c>
      <c r="W55" s="48" t="s">
        <v>90</v>
      </c>
    </row>
    <row r="56" spans="1:23" x14ac:dyDescent="0.35">
      <c r="A56" s="9"/>
      <c r="B56" s="9" t="s">
        <v>1969</v>
      </c>
      <c r="C56" s="10">
        <v>19200</v>
      </c>
      <c r="D56" s="10">
        <v>2000</v>
      </c>
      <c r="E56" s="10"/>
      <c r="F56" s="9"/>
      <c r="G56" s="9"/>
      <c r="H56" s="9"/>
      <c r="I56" s="176"/>
      <c r="J56" s="9"/>
      <c r="K56" s="127"/>
      <c r="L56" s="10"/>
      <c r="M56" s="9"/>
      <c r="N56" s="9"/>
      <c r="O56" s="9"/>
      <c r="T56" s="112" t="s">
        <v>677</v>
      </c>
      <c r="U56" s="112" t="s">
        <v>1940</v>
      </c>
      <c r="V56" s="113">
        <v>750</v>
      </c>
      <c r="W56" s="112" t="s">
        <v>96</v>
      </c>
    </row>
    <row r="57" spans="1:23" x14ac:dyDescent="0.35">
      <c r="A57" s="9"/>
      <c r="B57" s="9" t="s">
        <v>1970</v>
      </c>
      <c r="C57" s="10">
        <v>19200</v>
      </c>
      <c r="D57" s="10">
        <v>2000</v>
      </c>
      <c r="E57" s="10"/>
      <c r="F57" s="9"/>
      <c r="G57" s="9"/>
      <c r="H57" s="9"/>
      <c r="I57" s="176"/>
      <c r="J57" s="9"/>
      <c r="K57" s="127"/>
      <c r="L57" s="10"/>
      <c r="M57" s="9"/>
      <c r="N57" s="9"/>
      <c r="O57" s="9"/>
      <c r="T57" s="48" t="s">
        <v>146</v>
      </c>
      <c r="U57" s="48" t="s">
        <v>1971</v>
      </c>
      <c r="V57" s="55">
        <v>750</v>
      </c>
      <c r="W57" s="48" t="s">
        <v>24</v>
      </c>
    </row>
    <row r="58" spans="1:23" x14ac:dyDescent="0.35">
      <c r="A58" s="9"/>
      <c r="B58" s="9" t="s">
        <v>1972</v>
      </c>
      <c r="C58" s="10">
        <v>19200</v>
      </c>
      <c r="D58" s="10">
        <v>2000</v>
      </c>
      <c r="E58" s="10"/>
      <c r="F58" s="9"/>
      <c r="G58" s="9"/>
      <c r="H58" s="9"/>
      <c r="I58" s="176"/>
      <c r="J58" s="9"/>
      <c r="K58" s="127"/>
      <c r="L58" s="10"/>
      <c r="M58" s="9"/>
      <c r="N58" s="9"/>
      <c r="O58" s="9"/>
      <c r="T58" s="48" t="s">
        <v>146</v>
      </c>
      <c r="U58" s="48" t="s">
        <v>1973</v>
      </c>
      <c r="V58" s="55">
        <v>750</v>
      </c>
      <c r="W58" s="48" t="s">
        <v>24</v>
      </c>
    </row>
    <row r="59" spans="1:23" x14ac:dyDescent="0.35">
      <c r="A59" s="9"/>
      <c r="B59" s="9" t="s">
        <v>1974</v>
      </c>
      <c r="C59" s="10">
        <v>19200</v>
      </c>
      <c r="D59" s="10">
        <v>2000</v>
      </c>
      <c r="E59" s="10"/>
      <c r="F59" s="9"/>
      <c r="G59" s="9"/>
      <c r="H59" s="9"/>
      <c r="I59" s="176"/>
      <c r="J59" s="9"/>
      <c r="K59" s="127"/>
      <c r="L59" s="10"/>
      <c r="M59" s="9"/>
      <c r="N59" s="9"/>
      <c r="O59" s="9"/>
      <c r="T59" s="48" t="s">
        <v>146</v>
      </c>
      <c r="U59" s="48" t="s">
        <v>1975</v>
      </c>
      <c r="V59" s="55">
        <v>750</v>
      </c>
      <c r="W59" s="48" t="s">
        <v>24</v>
      </c>
    </row>
    <row r="60" spans="1:23" x14ac:dyDescent="0.35">
      <c r="A60" s="9"/>
      <c r="B60" s="9" t="s">
        <v>1976</v>
      </c>
      <c r="C60" s="10">
        <v>19200</v>
      </c>
      <c r="D60" s="10">
        <v>2000</v>
      </c>
      <c r="E60" s="10"/>
      <c r="F60" s="9"/>
      <c r="G60" s="9"/>
      <c r="H60" s="9"/>
      <c r="I60" s="176"/>
      <c r="J60" s="9"/>
      <c r="K60" s="127"/>
      <c r="L60" s="10"/>
      <c r="M60" s="9"/>
      <c r="N60" s="9"/>
      <c r="O60" s="9"/>
      <c r="T60" s="48" t="s">
        <v>146</v>
      </c>
      <c r="U60" s="48" t="s">
        <v>1925</v>
      </c>
      <c r="V60" s="55">
        <v>750</v>
      </c>
      <c r="W60" s="48" t="s">
        <v>24</v>
      </c>
    </row>
    <row r="61" spans="1:23" x14ac:dyDescent="0.35">
      <c r="A61" s="9"/>
      <c r="B61" s="9" t="s">
        <v>1977</v>
      </c>
      <c r="C61" s="10">
        <v>19200</v>
      </c>
      <c r="D61" s="10">
        <v>2000</v>
      </c>
      <c r="E61" s="10"/>
      <c r="F61" s="9"/>
      <c r="G61" s="9"/>
      <c r="H61" s="9"/>
      <c r="I61" s="176"/>
      <c r="J61" s="9"/>
      <c r="K61" s="127"/>
      <c r="L61" s="10"/>
      <c r="M61" s="9"/>
      <c r="N61" s="9"/>
      <c r="O61" s="9"/>
      <c r="T61" s="9" t="s">
        <v>356</v>
      </c>
      <c r="U61" s="9" t="s">
        <v>1978</v>
      </c>
      <c r="V61" s="10">
        <v>4000</v>
      </c>
      <c r="W61" s="9" t="s">
        <v>93</v>
      </c>
    </row>
    <row r="62" spans="1:23" x14ac:dyDescent="0.35">
      <c r="A62" s="9"/>
      <c r="B62" s="9" t="s">
        <v>1979</v>
      </c>
      <c r="C62" s="10">
        <v>19200</v>
      </c>
      <c r="D62" s="10">
        <v>2000</v>
      </c>
      <c r="E62" s="10"/>
      <c r="F62" s="9"/>
      <c r="G62" s="9"/>
      <c r="H62" s="9"/>
      <c r="I62" s="176"/>
      <c r="J62" s="9"/>
      <c r="K62" s="127"/>
      <c r="L62" s="10"/>
      <c r="M62" s="9"/>
      <c r="N62" s="9"/>
      <c r="O62" s="9"/>
      <c r="T62" s="112" t="s">
        <v>1980</v>
      </c>
      <c r="U62" s="112" t="s">
        <v>1981</v>
      </c>
      <c r="V62" s="113">
        <v>1500</v>
      </c>
      <c r="W62" s="112" t="s">
        <v>96</v>
      </c>
    </row>
    <row r="63" spans="1:23" x14ac:dyDescent="0.35">
      <c r="A63" s="9"/>
      <c r="B63" s="9" t="s">
        <v>1982</v>
      </c>
      <c r="C63" s="10">
        <v>19200</v>
      </c>
      <c r="D63" s="10">
        <v>2000</v>
      </c>
      <c r="E63" s="10"/>
      <c r="F63" s="9"/>
      <c r="G63" s="9"/>
      <c r="H63" s="9"/>
      <c r="I63" s="176"/>
      <c r="J63" s="9"/>
      <c r="K63" s="127"/>
      <c r="L63" s="10"/>
      <c r="M63" s="9"/>
      <c r="N63" s="9"/>
      <c r="O63" s="9"/>
      <c r="T63" s="48" t="s">
        <v>1393</v>
      </c>
      <c r="U63" s="48" t="s">
        <v>1975</v>
      </c>
      <c r="V63" s="55">
        <v>1500</v>
      </c>
      <c r="W63" s="48" t="s">
        <v>90</v>
      </c>
    </row>
    <row r="64" spans="1:23" ht="29" x14ac:dyDescent="0.35">
      <c r="A64" s="9"/>
      <c r="B64" s="9" t="s">
        <v>1983</v>
      </c>
      <c r="C64" s="10">
        <v>19200</v>
      </c>
      <c r="D64" s="10">
        <v>2000</v>
      </c>
      <c r="E64" s="10"/>
      <c r="F64" s="9"/>
      <c r="G64" s="9"/>
      <c r="H64" s="9"/>
      <c r="I64" s="176"/>
      <c r="J64" s="9"/>
      <c r="K64" s="127"/>
      <c r="L64" s="10"/>
      <c r="M64" s="9"/>
      <c r="N64" s="9"/>
      <c r="O64" s="9"/>
      <c r="T64" s="48" t="s">
        <v>1789</v>
      </c>
      <c r="U64" s="48" t="s">
        <v>1948</v>
      </c>
      <c r="V64" s="55">
        <v>0</v>
      </c>
      <c r="W64" s="48" t="s">
        <v>90</v>
      </c>
    </row>
    <row r="65" spans="1:23" x14ac:dyDescent="0.35">
      <c r="A65" s="9"/>
      <c r="B65" s="9" t="s">
        <v>1984</v>
      </c>
      <c r="C65" s="10">
        <v>19200</v>
      </c>
      <c r="D65" s="10">
        <v>2000</v>
      </c>
      <c r="E65" s="10"/>
      <c r="F65" s="9"/>
      <c r="G65" s="9"/>
      <c r="H65" s="9"/>
      <c r="I65" s="176"/>
      <c r="J65" s="9"/>
      <c r="K65" s="127"/>
      <c r="L65" s="10"/>
      <c r="M65" s="9"/>
      <c r="N65" s="9"/>
      <c r="O65" s="9"/>
      <c r="T65" s="48" t="s">
        <v>1789</v>
      </c>
      <c r="U65" s="48" t="s">
        <v>1985</v>
      </c>
      <c r="V65" s="55">
        <v>1500</v>
      </c>
      <c r="W65" s="48" t="s">
        <v>90</v>
      </c>
    </row>
    <row r="66" spans="1:23" ht="29" x14ac:dyDescent="0.35">
      <c r="A66" s="9"/>
      <c r="B66" s="9" t="s">
        <v>1986</v>
      </c>
      <c r="C66" s="10">
        <v>19200</v>
      </c>
      <c r="D66" s="10">
        <v>2000</v>
      </c>
      <c r="E66" s="10"/>
      <c r="F66" s="9"/>
      <c r="G66" s="9"/>
      <c r="H66" s="9"/>
      <c r="I66" s="176"/>
      <c r="J66" s="9"/>
      <c r="K66" s="127"/>
      <c r="L66" s="10"/>
      <c r="M66" s="9"/>
      <c r="N66" s="9"/>
      <c r="O66" s="9"/>
      <c r="T66" s="48" t="s">
        <v>1789</v>
      </c>
      <c r="U66" s="48" t="s">
        <v>1987</v>
      </c>
      <c r="V66" s="55">
        <v>1500</v>
      </c>
      <c r="W66" s="48" t="s">
        <v>90</v>
      </c>
    </row>
    <row r="67" spans="1:23" ht="29" x14ac:dyDescent="0.35">
      <c r="A67" s="9"/>
      <c r="B67" s="9" t="s">
        <v>1988</v>
      </c>
      <c r="C67" s="10">
        <v>19200</v>
      </c>
      <c r="D67" s="10">
        <v>2000</v>
      </c>
      <c r="E67" s="10"/>
      <c r="F67" s="9"/>
      <c r="G67" s="9"/>
      <c r="H67" s="9"/>
      <c r="I67" s="176"/>
      <c r="J67" s="9"/>
      <c r="K67" s="127"/>
      <c r="L67" s="10"/>
      <c r="M67" s="9"/>
      <c r="N67" s="9"/>
      <c r="O67" s="9"/>
      <c r="T67" s="48" t="s">
        <v>1789</v>
      </c>
      <c r="U67" s="48" t="s">
        <v>1989</v>
      </c>
      <c r="V67" s="55">
        <v>1500</v>
      </c>
      <c r="W67" s="48" t="s">
        <v>90</v>
      </c>
    </row>
    <row r="68" spans="1:23" x14ac:dyDescent="0.35">
      <c r="A68" s="43"/>
      <c r="B68" s="43"/>
      <c r="C68" s="43"/>
      <c r="D68" s="43"/>
      <c r="E68" s="43"/>
      <c r="F68" s="43"/>
      <c r="G68" s="43"/>
      <c r="H68" s="43"/>
      <c r="I68" s="100"/>
      <c r="J68" s="88"/>
      <c r="K68" s="43"/>
      <c r="L68" s="108"/>
      <c r="M68" s="43"/>
      <c r="N68" s="43"/>
      <c r="O68" s="43"/>
      <c r="T68" s="48" t="s">
        <v>232</v>
      </c>
      <c r="U68" s="48" t="s">
        <v>1943</v>
      </c>
      <c r="V68" s="55">
        <v>750</v>
      </c>
      <c r="W68" s="48" t="s">
        <v>24</v>
      </c>
    </row>
    <row r="69" spans="1:23" ht="29" x14ac:dyDescent="0.35">
      <c r="A69" s="9"/>
      <c r="B69" s="9" t="s">
        <v>1990</v>
      </c>
      <c r="C69" s="10">
        <v>17760</v>
      </c>
      <c r="D69" s="10">
        <v>1850</v>
      </c>
      <c r="E69" s="10"/>
      <c r="F69" s="9"/>
      <c r="G69" s="9"/>
      <c r="H69" s="9"/>
      <c r="I69" s="176"/>
      <c r="J69" s="9"/>
      <c r="K69" s="127"/>
      <c r="L69" s="10"/>
      <c r="M69" s="9"/>
      <c r="N69" s="9"/>
      <c r="O69" s="9"/>
      <c r="T69" s="9" t="s">
        <v>1991</v>
      </c>
      <c r="U69" s="9" t="s">
        <v>1877</v>
      </c>
      <c r="V69" s="10">
        <v>0</v>
      </c>
      <c r="W69" s="9" t="s">
        <v>96</v>
      </c>
    </row>
    <row r="70" spans="1:23" ht="29" x14ac:dyDescent="0.35">
      <c r="A70" s="9" t="s">
        <v>51</v>
      </c>
      <c r="B70" s="9" t="s">
        <v>1992</v>
      </c>
      <c r="C70" s="10">
        <v>17760</v>
      </c>
      <c r="D70" s="10">
        <v>1850</v>
      </c>
      <c r="E70" s="10">
        <v>1700</v>
      </c>
      <c r="F70" s="9" t="s">
        <v>97</v>
      </c>
      <c r="G70" s="9" t="s">
        <v>1993</v>
      </c>
      <c r="H70" s="9"/>
      <c r="I70" s="176"/>
      <c r="J70" s="9"/>
      <c r="K70" s="242">
        <v>45936</v>
      </c>
      <c r="L70" s="10">
        <v>1700</v>
      </c>
      <c r="M70" s="9" t="s">
        <v>79</v>
      </c>
      <c r="N70" s="9"/>
      <c r="O70" s="86" t="s">
        <v>1994</v>
      </c>
      <c r="T70" s="9" t="s">
        <v>1995</v>
      </c>
      <c r="U70" s="9" t="s">
        <v>1940</v>
      </c>
      <c r="V70" s="10">
        <v>750</v>
      </c>
      <c r="W70" s="9" t="s">
        <v>37</v>
      </c>
    </row>
    <row r="71" spans="1:23" ht="29" x14ac:dyDescent="0.35">
      <c r="A71" s="9"/>
      <c r="B71" s="9" t="s">
        <v>1996</v>
      </c>
      <c r="C71" s="10">
        <v>17760</v>
      </c>
      <c r="D71" s="10">
        <v>1850</v>
      </c>
      <c r="E71" s="10"/>
      <c r="F71" s="9"/>
      <c r="G71" s="9"/>
      <c r="H71" s="9"/>
      <c r="I71" s="176"/>
      <c r="J71" s="9"/>
      <c r="K71" s="127"/>
      <c r="L71" s="10"/>
      <c r="M71" s="9"/>
      <c r="N71" s="9"/>
      <c r="O71" s="9"/>
      <c r="T71" s="9" t="s">
        <v>1997</v>
      </c>
      <c r="U71" s="9" t="s">
        <v>1998</v>
      </c>
      <c r="V71" s="10">
        <v>1500</v>
      </c>
      <c r="W71" s="9" t="s">
        <v>90</v>
      </c>
    </row>
    <row r="72" spans="1:23" ht="29" x14ac:dyDescent="0.35">
      <c r="A72" s="9"/>
      <c r="B72" s="9" t="s">
        <v>1999</v>
      </c>
      <c r="C72" s="10">
        <v>17760</v>
      </c>
      <c r="D72" s="10">
        <v>1850</v>
      </c>
      <c r="E72" s="10"/>
      <c r="F72" s="9"/>
      <c r="G72" s="9"/>
      <c r="H72" s="9"/>
      <c r="I72" s="176"/>
      <c r="J72" s="9"/>
      <c r="K72" s="127"/>
      <c r="L72" s="10"/>
      <c r="M72" s="9"/>
      <c r="N72" s="9"/>
      <c r="O72" s="9"/>
      <c r="T72" s="9" t="s">
        <v>1106</v>
      </c>
      <c r="U72" s="9" t="s">
        <v>1940</v>
      </c>
      <c r="V72" s="10">
        <v>750</v>
      </c>
      <c r="W72" s="9" t="s">
        <v>93</v>
      </c>
    </row>
    <row r="73" spans="1:23" ht="29" x14ac:dyDescent="0.35">
      <c r="A73" s="9"/>
      <c r="B73" s="9" t="s">
        <v>2000</v>
      </c>
      <c r="C73" s="10">
        <v>17760</v>
      </c>
      <c r="D73" s="10">
        <v>1850</v>
      </c>
      <c r="E73" s="10"/>
      <c r="F73" s="9"/>
      <c r="G73" s="9"/>
      <c r="H73" s="9"/>
      <c r="I73" s="176"/>
      <c r="J73" s="9"/>
      <c r="K73" s="127"/>
      <c r="L73" s="10"/>
      <c r="M73" s="9"/>
      <c r="N73" s="9"/>
      <c r="O73" s="9"/>
      <c r="T73" s="9" t="s">
        <v>166</v>
      </c>
      <c r="U73" s="9" t="s">
        <v>1874</v>
      </c>
      <c r="V73" s="10">
        <v>4000</v>
      </c>
      <c r="W73" s="9" t="s">
        <v>95</v>
      </c>
    </row>
    <row r="74" spans="1:23" ht="29" x14ac:dyDescent="0.35">
      <c r="A74" s="9"/>
      <c r="B74" s="9" t="s">
        <v>2001</v>
      </c>
      <c r="C74" s="10">
        <v>17760</v>
      </c>
      <c r="D74" s="10">
        <v>1850</v>
      </c>
      <c r="E74" s="10"/>
      <c r="F74" s="9"/>
      <c r="G74" s="9"/>
      <c r="H74" s="9"/>
      <c r="I74" s="176"/>
      <c r="J74" s="9"/>
      <c r="K74" s="127"/>
      <c r="L74" s="10"/>
      <c r="M74" s="9"/>
      <c r="N74" s="9"/>
      <c r="O74" s="9"/>
      <c r="T74" s="112" t="s">
        <v>40</v>
      </c>
      <c r="U74" s="112" t="s">
        <v>1940</v>
      </c>
      <c r="V74" s="113">
        <v>750</v>
      </c>
      <c r="W74" s="112" t="s">
        <v>37</v>
      </c>
    </row>
    <row r="75" spans="1:23" ht="29" x14ac:dyDescent="0.35">
      <c r="A75" s="9" t="s">
        <v>2002</v>
      </c>
      <c r="B75" s="9" t="s">
        <v>2003</v>
      </c>
      <c r="C75" s="10">
        <v>17760</v>
      </c>
      <c r="D75" s="10">
        <v>1850</v>
      </c>
      <c r="E75" s="10">
        <v>1250</v>
      </c>
      <c r="F75" s="9" t="s">
        <v>96</v>
      </c>
      <c r="G75" s="9" t="s">
        <v>1477</v>
      </c>
      <c r="H75" s="9" t="s">
        <v>2004</v>
      </c>
      <c r="I75" s="176"/>
      <c r="J75" s="9" t="s">
        <v>1419</v>
      </c>
      <c r="K75" s="242">
        <v>45953</v>
      </c>
      <c r="L75" s="10">
        <v>1250</v>
      </c>
      <c r="M75" s="9" t="s">
        <v>2005</v>
      </c>
      <c r="N75" s="9"/>
      <c r="O75" s="86" t="s">
        <v>2006</v>
      </c>
      <c r="T75" s="48" t="s">
        <v>40</v>
      </c>
      <c r="U75" s="48" t="s">
        <v>1873</v>
      </c>
      <c r="V75" s="55">
        <v>4000</v>
      </c>
      <c r="W75" s="48" t="s">
        <v>1489</v>
      </c>
    </row>
    <row r="76" spans="1:23" ht="145" x14ac:dyDescent="0.35">
      <c r="A76" s="9" t="s">
        <v>313</v>
      </c>
      <c r="B76" s="9" t="s">
        <v>2007</v>
      </c>
      <c r="C76" s="10">
        <v>17760</v>
      </c>
      <c r="D76" s="10">
        <v>1850</v>
      </c>
      <c r="E76" s="10">
        <v>2500</v>
      </c>
      <c r="F76" s="9" t="s">
        <v>96</v>
      </c>
      <c r="G76" s="9" t="s">
        <v>564</v>
      </c>
      <c r="H76" s="9" t="s">
        <v>2008</v>
      </c>
      <c r="I76" s="176"/>
      <c r="J76" s="9" t="s">
        <v>1419</v>
      </c>
      <c r="K76" s="242">
        <v>45954</v>
      </c>
      <c r="L76" s="10">
        <v>2500</v>
      </c>
      <c r="M76" s="9"/>
      <c r="N76" s="9"/>
      <c r="O76" s="9"/>
      <c r="T76" s="9" t="s">
        <v>424</v>
      </c>
      <c r="U76" s="9" t="s">
        <v>1902</v>
      </c>
      <c r="V76" s="10">
        <v>7200</v>
      </c>
      <c r="W76" s="9" t="s">
        <v>97</v>
      </c>
    </row>
    <row r="77" spans="1:23" ht="29" x14ac:dyDescent="0.35">
      <c r="A77" s="9"/>
      <c r="B77" s="9" t="s">
        <v>2009</v>
      </c>
      <c r="C77" s="10">
        <v>17760</v>
      </c>
      <c r="D77" s="10">
        <v>1850</v>
      </c>
      <c r="E77" s="10"/>
      <c r="F77" s="9"/>
      <c r="G77" s="9"/>
      <c r="H77" s="9"/>
      <c r="I77" s="176"/>
      <c r="J77" s="9"/>
      <c r="K77" s="127"/>
      <c r="L77" s="10"/>
      <c r="M77" s="9"/>
      <c r="N77" s="9"/>
      <c r="O77" s="9"/>
      <c r="T77" s="48" t="s">
        <v>117</v>
      </c>
      <c r="U77" s="48" t="s">
        <v>1902</v>
      </c>
      <c r="V77" s="55">
        <v>7200</v>
      </c>
      <c r="W77" s="48" t="s">
        <v>95</v>
      </c>
    </row>
    <row r="78" spans="1:23" ht="29" x14ac:dyDescent="0.35">
      <c r="A78" s="9"/>
      <c r="B78" s="9" t="s">
        <v>2010</v>
      </c>
      <c r="C78" s="10">
        <v>17760</v>
      </c>
      <c r="D78" s="10">
        <v>1850</v>
      </c>
      <c r="E78" s="10"/>
      <c r="F78" s="9"/>
      <c r="G78" s="9"/>
      <c r="H78" s="9"/>
      <c r="I78" s="176"/>
      <c r="J78" s="9"/>
      <c r="K78" s="127"/>
      <c r="L78" s="10"/>
      <c r="M78" s="9"/>
      <c r="N78" s="9"/>
      <c r="O78" s="9"/>
    </row>
    <row r="79" spans="1:23" ht="29" x14ac:dyDescent="0.35">
      <c r="A79" s="9"/>
      <c r="B79" s="9" t="s">
        <v>2011</v>
      </c>
      <c r="C79" s="10">
        <v>17760</v>
      </c>
      <c r="D79" s="10">
        <v>1850</v>
      </c>
      <c r="E79" s="10"/>
      <c r="F79" s="9"/>
      <c r="G79" s="9"/>
      <c r="H79" s="9"/>
      <c r="I79" s="176"/>
      <c r="J79" s="9"/>
      <c r="K79" s="127"/>
      <c r="L79" s="10"/>
      <c r="M79" s="9"/>
      <c r="N79" s="9"/>
      <c r="O79" s="9"/>
    </row>
    <row r="80" spans="1:23" ht="29" x14ac:dyDescent="0.35">
      <c r="A80" s="9" t="s">
        <v>1929</v>
      </c>
      <c r="B80" s="9" t="s">
        <v>2012</v>
      </c>
      <c r="C80" s="10">
        <v>17760</v>
      </c>
      <c r="D80" s="10">
        <v>1850</v>
      </c>
      <c r="E80" s="10">
        <v>871</v>
      </c>
      <c r="F80" s="9"/>
      <c r="G80" s="9" t="s">
        <v>2013</v>
      </c>
      <c r="H80" s="9"/>
      <c r="I80" s="176"/>
      <c r="J80" s="9"/>
      <c r="K80" s="127"/>
      <c r="L80" s="10"/>
      <c r="M80" s="9"/>
      <c r="N80" s="9"/>
      <c r="O80" s="9"/>
      <c r="V80" s="21"/>
    </row>
    <row r="81" spans="1:22" x14ac:dyDescent="0.35">
      <c r="A81" s="43"/>
      <c r="B81" s="43"/>
      <c r="C81" s="43"/>
      <c r="D81" s="43"/>
      <c r="E81" s="43"/>
      <c r="F81" s="43"/>
      <c r="G81" s="43"/>
      <c r="H81" s="43"/>
      <c r="I81" s="100"/>
      <c r="J81" s="88"/>
      <c r="K81" s="43"/>
      <c r="L81" s="108"/>
      <c r="M81" s="43"/>
      <c r="N81" s="43"/>
      <c r="O81" s="43"/>
    </row>
    <row r="82" spans="1:22" x14ac:dyDescent="0.35">
      <c r="A82" s="9"/>
      <c r="B82" s="9" t="s">
        <v>2014</v>
      </c>
      <c r="C82" s="10">
        <v>14000</v>
      </c>
      <c r="D82" s="10">
        <v>1500</v>
      </c>
      <c r="E82" s="10"/>
      <c r="F82" s="9"/>
      <c r="G82" s="9"/>
      <c r="H82" s="9"/>
      <c r="I82" s="176"/>
      <c r="J82" s="9"/>
      <c r="K82" s="127"/>
      <c r="L82" s="10"/>
      <c r="M82" s="9"/>
      <c r="N82" s="9"/>
      <c r="O82" s="9"/>
    </row>
    <row r="83" spans="1:22" x14ac:dyDescent="0.35">
      <c r="A83" s="9" t="s">
        <v>778</v>
      </c>
      <c r="B83" s="9" t="s">
        <v>2015</v>
      </c>
      <c r="C83" s="10">
        <v>14000</v>
      </c>
      <c r="D83" s="10">
        <v>1500</v>
      </c>
      <c r="E83" s="10">
        <v>1500</v>
      </c>
      <c r="F83" s="9" t="s">
        <v>93</v>
      </c>
      <c r="G83" s="9" t="s">
        <v>53</v>
      </c>
      <c r="H83" s="9"/>
      <c r="I83" s="176"/>
      <c r="J83" s="195">
        <v>45670</v>
      </c>
      <c r="K83" s="242">
        <v>46006</v>
      </c>
      <c r="L83" s="10">
        <v>1500</v>
      </c>
      <c r="M83" s="9" t="s">
        <v>2016</v>
      </c>
      <c r="N83" s="9"/>
      <c r="O83" s="87" t="s">
        <v>2017</v>
      </c>
      <c r="V83" s="21"/>
    </row>
    <row r="84" spans="1:22" ht="29" x14ac:dyDescent="0.35">
      <c r="A84" s="9" t="s">
        <v>346</v>
      </c>
      <c r="B84" s="9" t="s">
        <v>2015</v>
      </c>
      <c r="C84" s="10">
        <v>14000</v>
      </c>
      <c r="D84" s="10">
        <v>1500</v>
      </c>
      <c r="E84" s="10">
        <v>1333</v>
      </c>
      <c r="F84" s="9" t="s">
        <v>90</v>
      </c>
      <c r="G84" s="9" t="s">
        <v>253</v>
      </c>
      <c r="H84" s="9"/>
      <c r="I84" s="176"/>
      <c r="J84" s="195">
        <v>45761</v>
      </c>
      <c r="K84" s="127" t="s">
        <v>256</v>
      </c>
      <c r="L84" s="10">
        <v>1333</v>
      </c>
      <c r="M84" s="9" t="s">
        <v>348</v>
      </c>
      <c r="N84" s="9"/>
      <c r="O84" s="87" t="s">
        <v>349</v>
      </c>
    </row>
    <row r="85" spans="1:22" ht="32" x14ac:dyDescent="0.35">
      <c r="A85" s="9" t="s">
        <v>1753</v>
      </c>
      <c r="B85" s="9" t="s">
        <v>2018</v>
      </c>
      <c r="C85" s="10">
        <v>14000</v>
      </c>
      <c r="D85" s="10">
        <v>1500</v>
      </c>
      <c r="E85" s="10">
        <v>13000</v>
      </c>
      <c r="F85" s="9" t="s">
        <v>76</v>
      </c>
      <c r="G85" s="9" t="s">
        <v>1162</v>
      </c>
      <c r="H85" s="9" t="s">
        <v>2019</v>
      </c>
      <c r="I85" s="163" t="s">
        <v>27</v>
      </c>
      <c r="J85" s="195">
        <v>45705</v>
      </c>
      <c r="K85" s="127" t="s">
        <v>143</v>
      </c>
      <c r="L85" s="10">
        <v>13000</v>
      </c>
      <c r="M85" s="9" t="s">
        <v>2020</v>
      </c>
      <c r="N85" s="9"/>
      <c r="O85" s="130" t="s">
        <v>2021</v>
      </c>
    </row>
    <row r="86" spans="1:22" x14ac:dyDescent="0.35">
      <c r="A86" s="9"/>
      <c r="B86" s="9" t="s">
        <v>2022</v>
      </c>
      <c r="C86" s="10">
        <v>14000</v>
      </c>
      <c r="D86" s="10"/>
      <c r="E86" s="10"/>
      <c r="F86" s="9"/>
      <c r="G86" s="9"/>
      <c r="H86" s="9"/>
      <c r="I86" s="176"/>
      <c r="J86" s="9"/>
      <c r="K86" s="127"/>
      <c r="L86" s="9"/>
      <c r="M86" s="9"/>
      <c r="N86" s="9"/>
      <c r="O86" s="9"/>
    </row>
    <row r="87" spans="1:22" x14ac:dyDescent="0.35">
      <c r="A87" s="9"/>
      <c r="B87" s="9" t="s">
        <v>2023</v>
      </c>
      <c r="C87" s="10">
        <v>14000</v>
      </c>
      <c r="D87" s="10">
        <v>1500</v>
      </c>
      <c r="E87" s="10"/>
      <c r="F87" s="9"/>
      <c r="G87" s="9"/>
      <c r="H87" s="9"/>
      <c r="I87" s="176"/>
      <c r="J87" s="9"/>
      <c r="K87" s="127"/>
      <c r="L87" s="10"/>
      <c r="M87" s="9"/>
      <c r="N87" s="9"/>
      <c r="O87" s="9"/>
      <c r="V87" s="21"/>
    </row>
    <row r="88" spans="1:22" ht="29" x14ac:dyDescent="0.35">
      <c r="A88" s="9" t="s">
        <v>346</v>
      </c>
      <c r="B88" s="9" t="s">
        <v>2024</v>
      </c>
      <c r="C88" s="10">
        <v>14000</v>
      </c>
      <c r="D88" s="10">
        <v>1500</v>
      </c>
      <c r="E88" s="10">
        <v>1333</v>
      </c>
      <c r="F88" s="9" t="s">
        <v>90</v>
      </c>
      <c r="G88" s="9" t="s">
        <v>253</v>
      </c>
      <c r="H88" s="9"/>
      <c r="I88" s="176"/>
      <c r="J88" s="195">
        <v>45761</v>
      </c>
      <c r="K88" s="127" t="s">
        <v>256</v>
      </c>
      <c r="L88" s="10">
        <v>1333</v>
      </c>
      <c r="M88" s="9" t="s">
        <v>348</v>
      </c>
      <c r="N88" s="9"/>
      <c r="O88" s="87" t="s">
        <v>349</v>
      </c>
    </row>
    <row r="89" spans="1:22" ht="29" x14ac:dyDescent="0.35">
      <c r="A89" s="9" t="s">
        <v>2025</v>
      </c>
      <c r="B89" s="9" t="s">
        <v>2024</v>
      </c>
      <c r="C89" s="10">
        <v>14000</v>
      </c>
      <c r="D89" s="10">
        <v>1500</v>
      </c>
      <c r="E89" s="10">
        <v>1500</v>
      </c>
      <c r="F89" s="9" t="s">
        <v>37</v>
      </c>
      <c r="G89" s="9" t="s">
        <v>282</v>
      </c>
      <c r="H89" s="9"/>
      <c r="I89" s="99"/>
      <c r="J89" s="9" t="s">
        <v>2026</v>
      </c>
      <c r="K89" s="195">
        <v>45980</v>
      </c>
      <c r="L89" s="239">
        <v>1500</v>
      </c>
      <c r="M89" s="9" t="s">
        <v>2027</v>
      </c>
      <c r="N89" s="9"/>
      <c r="O89" s="87" t="s">
        <v>2028</v>
      </c>
      <c r="V89" s="21"/>
    </row>
    <row r="90" spans="1:22" ht="29" x14ac:dyDescent="0.35">
      <c r="A90" s="9" t="s">
        <v>872</v>
      </c>
      <c r="B90" s="9" t="s">
        <v>2029</v>
      </c>
      <c r="C90" s="10">
        <v>14000</v>
      </c>
      <c r="D90" s="10">
        <v>1500</v>
      </c>
      <c r="E90" s="10">
        <v>1500</v>
      </c>
      <c r="F90" s="9" t="s">
        <v>76</v>
      </c>
      <c r="G90" s="9" t="s">
        <v>28</v>
      </c>
      <c r="H90" s="9"/>
      <c r="I90" s="99"/>
      <c r="J90" s="195">
        <v>45736</v>
      </c>
      <c r="K90" s="9" t="s">
        <v>625</v>
      </c>
      <c r="L90" s="10">
        <v>1500</v>
      </c>
      <c r="M90" s="9" t="s">
        <v>2030</v>
      </c>
      <c r="N90" s="9"/>
      <c r="O90" s="87" t="s">
        <v>2031</v>
      </c>
      <c r="V90" s="21"/>
    </row>
    <row r="91" spans="1:22" ht="29" x14ac:dyDescent="0.35">
      <c r="A91" s="9" t="s">
        <v>831</v>
      </c>
      <c r="B91" s="9" t="s">
        <v>2032</v>
      </c>
      <c r="C91" s="10">
        <v>14000</v>
      </c>
      <c r="D91" s="10">
        <v>1500</v>
      </c>
      <c r="E91" s="10">
        <v>1500</v>
      </c>
      <c r="F91" s="9" t="s">
        <v>86</v>
      </c>
      <c r="G91" s="9" t="s">
        <v>270</v>
      </c>
      <c r="H91" s="9" t="s">
        <v>2033</v>
      </c>
      <c r="I91" s="99"/>
      <c r="J91" s="9" t="s">
        <v>1419</v>
      </c>
      <c r="K91" s="195">
        <v>45953</v>
      </c>
      <c r="L91" s="9">
        <v>1500</v>
      </c>
      <c r="M91" s="9" t="s">
        <v>832</v>
      </c>
      <c r="N91" s="9"/>
      <c r="O91" s="87" t="s">
        <v>833</v>
      </c>
    </row>
    <row r="92" spans="1:22" ht="29" x14ac:dyDescent="0.35">
      <c r="A92" s="9" t="s">
        <v>346</v>
      </c>
      <c r="B92" s="9" t="s">
        <v>2032</v>
      </c>
      <c r="C92" s="10">
        <v>14000</v>
      </c>
      <c r="D92" s="10">
        <v>1500</v>
      </c>
      <c r="E92" s="10">
        <v>1333</v>
      </c>
      <c r="F92" s="9" t="s">
        <v>90</v>
      </c>
      <c r="G92" s="9" t="s">
        <v>253</v>
      </c>
      <c r="H92" s="9"/>
      <c r="I92" s="176"/>
      <c r="J92" s="195">
        <v>45761</v>
      </c>
      <c r="K92" s="127" t="s">
        <v>256</v>
      </c>
      <c r="L92" s="10">
        <v>1333</v>
      </c>
      <c r="M92" s="9" t="s">
        <v>348</v>
      </c>
      <c r="N92" s="9"/>
      <c r="O92" s="87" t="s">
        <v>349</v>
      </c>
    </row>
    <row r="93" spans="1:22" ht="29" x14ac:dyDescent="0.35">
      <c r="A93" s="9" t="s">
        <v>395</v>
      </c>
      <c r="B93" s="9" t="s">
        <v>2034</v>
      </c>
      <c r="C93" s="10">
        <v>14000</v>
      </c>
      <c r="D93" s="10">
        <v>1500</v>
      </c>
      <c r="E93" s="10">
        <v>1500</v>
      </c>
      <c r="F93" s="9" t="s">
        <v>96</v>
      </c>
      <c r="G93" s="9" t="s">
        <v>161</v>
      </c>
      <c r="H93" s="9"/>
      <c r="I93" s="176"/>
      <c r="J93" s="195">
        <v>45757</v>
      </c>
      <c r="K93" s="127" t="s">
        <v>768</v>
      </c>
      <c r="L93" s="10">
        <v>1500</v>
      </c>
      <c r="M93" s="9" t="s">
        <v>396</v>
      </c>
      <c r="N93" s="9"/>
      <c r="O93" s="87" t="s">
        <v>397</v>
      </c>
    </row>
    <row r="94" spans="1:22" ht="87" x14ac:dyDescent="0.35">
      <c r="A94" s="9" t="s">
        <v>242</v>
      </c>
      <c r="B94" s="9" t="s">
        <v>2034</v>
      </c>
      <c r="C94" s="10">
        <v>14000</v>
      </c>
      <c r="D94" s="10">
        <v>1500</v>
      </c>
      <c r="E94" s="10">
        <v>1500</v>
      </c>
      <c r="F94" s="9" t="s">
        <v>90</v>
      </c>
      <c r="G94" s="9" t="s">
        <v>25</v>
      </c>
      <c r="H94" s="9" t="s">
        <v>2035</v>
      </c>
      <c r="I94" s="176"/>
      <c r="J94" s="195">
        <v>45757</v>
      </c>
      <c r="K94" s="127"/>
      <c r="L94" s="9"/>
      <c r="M94" s="9" t="s">
        <v>463</v>
      </c>
      <c r="N94" s="9"/>
      <c r="O94" s="87" t="s">
        <v>464</v>
      </c>
    </row>
    <row r="95" spans="1:22" ht="58" x14ac:dyDescent="0.35">
      <c r="A95" s="9" t="s">
        <v>1384</v>
      </c>
      <c r="B95" s="9" t="s">
        <v>2034</v>
      </c>
      <c r="C95" s="10">
        <v>14000</v>
      </c>
      <c r="D95" s="10">
        <v>1500</v>
      </c>
      <c r="E95" s="10">
        <v>1250</v>
      </c>
      <c r="F95" s="9" t="s">
        <v>96</v>
      </c>
      <c r="G95" s="9" t="s">
        <v>564</v>
      </c>
      <c r="H95" s="9" t="s">
        <v>2036</v>
      </c>
      <c r="I95" s="163" t="s">
        <v>27</v>
      </c>
      <c r="J95" s="9"/>
      <c r="K95" s="195" t="s">
        <v>2037</v>
      </c>
      <c r="L95" s="9">
        <f>625+625</f>
        <v>1250</v>
      </c>
      <c r="M95" s="9" t="s">
        <v>2038</v>
      </c>
      <c r="N95" s="9"/>
      <c r="O95" s="87" t="s">
        <v>2039</v>
      </c>
    </row>
    <row r="96" spans="1:22" x14ac:dyDescent="0.35">
      <c r="A96" s="9" t="s">
        <v>2040</v>
      </c>
      <c r="B96" s="9" t="s">
        <v>2034</v>
      </c>
      <c r="C96" s="10">
        <v>14000</v>
      </c>
      <c r="D96" s="10">
        <v>1500</v>
      </c>
      <c r="E96" s="10">
        <v>1500</v>
      </c>
      <c r="F96" s="9" t="s">
        <v>96</v>
      </c>
      <c r="G96" s="9" t="s">
        <v>2041</v>
      </c>
      <c r="H96" s="9" t="s">
        <v>2042</v>
      </c>
      <c r="I96" s="99"/>
      <c r="J96" s="9" t="s">
        <v>1419</v>
      </c>
      <c r="K96" s="195">
        <v>45957</v>
      </c>
      <c r="L96" s="9">
        <v>1500</v>
      </c>
      <c r="M96" s="9" t="s">
        <v>2043</v>
      </c>
      <c r="N96" s="9"/>
      <c r="O96" s="87" t="s">
        <v>2044</v>
      </c>
    </row>
    <row r="97" spans="1:22" x14ac:dyDescent="0.35">
      <c r="A97" s="9" t="s">
        <v>1778</v>
      </c>
      <c r="B97" s="9" t="s">
        <v>2045</v>
      </c>
      <c r="C97" s="10">
        <v>14000</v>
      </c>
      <c r="D97" s="10">
        <v>1500</v>
      </c>
      <c r="E97" s="10">
        <v>1200</v>
      </c>
      <c r="F97" s="9" t="s">
        <v>86</v>
      </c>
      <c r="G97" s="9" t="s">
        <v>290</v>
      </c>
      <c r="H97" s="9"/>
      <c r="I97" s="99"/>
      <c r="J97" s="9" t="s">
        <v>1419</v>
      </c>
      <c r="K97" s="9"/>
      <c r="L97" s="10"/>
      <c r="M97" s="9" t="s">
        <v>1138</v>
      </c>
      <c r="N97" s="9"/>
      <c r="O97" s="87" t="s">
        <v>1139</v>
      </c>
    </row>
    <row r="98" spans="1:22" ht="145" x14ac:dyDescent="0.35">
      <c r="A98" s="9" t="s">
        <v>515</v>
      </c>
      <c r="B98" s="9" t="s">
        <v>2046</v>
      </c>
      <c r="C98" s="10">
        <v>14000</v>
      </c>
      <c r="D98" s="10">
        <v>1500</v>
      </c>
      <c r="E98" s="10">
        <v>1200</v>
      </c>
      <c r="F98" s="9" t="s">
        <v>96</v>
      </c>
      <c r="G98" s="9" t="s">
        <v>2047</v>
      </c>
      <c r="H98" s="9" t="s">
        <v>2048</v>
      </c>
      <c r="I98" s="99"/>
      <c r="J98" s="9" t="s">
        <v>1419</v>
      </c>
      <c r="K98" s="195">
        <v>45964</v>
      </c>
      <c r="L98" s="10">
        <v>1200</v>
      </c>
      <c r="M98" s="9" t="s">
        <v>2049</v>
      </c>
      <c r="N98" s="9"/>
      <c r="O98" s="87" t="s">
        <v>2050</v>
      </c>
    </row>
    <row r="99" spans="1:22" ht="29" x14ac:dyDescent="0.35">
      <c r="A99" s="9" t="s">
        <v>1234</v>
      </c>
      <c r="B99" s="9" t="s">
        <v>2046</v>
      </c>
      <c r="C99" s="10">
        <v>14000</v>
      </c>
      <c r="D99" s="10">
        <v>1500</v>
      </c>
      <c r="E99" s="10">
        <v>1500</v>
      </c>
      <c r="F99" s="9" t="s">
        <v>90</v>
      </c>
      <c r="G99" s="9" t="s">
        <v>585</v>
      </c>
      <c r="H99" s="9" t="s">
        <v>2051</v>
      </c>
      <c r="I99" s="99"/>
      <c r="J99" s="9" t="s">
        <v>1419</v>
      </c>
      <c r="K99" s="195">
        <v>45954</v>
      </c>
      <c r="L99" s="9">
        <v>1500</v>
      </c>
      <c r="M99" s="9" t="s">
        <v>1235</v>
      </c>
      <c r="N99" s="9"/>
      <c r="O99" s="87" t="s">
        <v>1236</v>
      </c>
      <c r="V99" s="21"/>
    </row>
    <row r="100" spans="1:22" ht="43.5" x14ac:dyDescent="0.35">
      <c r="A100" s="9" t="s">
        <v>1384</v>
      </c>
      <c r="B100" s="9" t="s">
        <v>2052</v>
      </c>
      <c r="C100" s="10">
        <v>14000</v>
      </c>
      <c r="D100" s="10">
        <v>1500</v>
      </c>
      <c r="E100" s="10">
        <v>1250</v>
      </c>
      <c r="F100" s="9" t="s">
        <v>96</v>
      </c>
      <c r="G100" s="9" t="s">
        <v>564</v>
      </c>
      <c r="H100" s="9" t="s">
        <v>2053</v>
      </c>
      <c r="I100" s="94" t="s">
        <v>27</v>
      </c>
      <c r="J100" s="195"/>
      <c r="K100" s="195" t="s">
        <v>2054</v>
      </c>
      <c r="L100" s="9">
        <f>625+625</f>
        <v>1250</v>
      </c>
      <c r="M100" s="9" t="s">
        <v>2038</v>
      </c>
      <c r="N100" s="9"/>
      <c r="O100" s="87" t="s">
        <v>2039</v>
      </c>
      <c r="V100" s="21"/>
    </row>
    <row r="101" spans="1:22" x14ac:dyDescent="0.35">
      <c r="A101" s="9" t="s">
        <v>923</v>
      </c>
      <c r="B101" s="9" t="s">
        <v>2055</v>
      </c>
      <c r="C101" s="10">
        <v>14000</v>
      </c>
      <c r="D101" s="10">
        <v>1500</v>
      </c>
      <c r="E101" s="10">
        <v>750</v>
      </c>
      <c r="F101" s="9" t="s">
        <v>37</v>
      </c>
      <c r="G101" s="9" t="s">
        <v>924</v>
      </c>
      <c r="H101" s="9" t="s">
        <v>2056</v>
      </c>
      <c r="I101" s="94" t="s">
        <v>27</v>
      </c>
      <c r="J101" s="195">
        <v>45910</v>
      </c>
      <c r="K101" s="195">
        <v>45968</v>
      </c>
      <c r="L101" s="10">
        <v>750</v>
      </c>
      <c r="M101" s="9" t="s">
        <v>925</v>
      </c>
      <c r="N101" s="9"/>
      <c r="O101" s="9" t="s">
        <v>926</v>
      </c>
      <c r="V101" s="21"/>
    </row>
    <row r="102" spans="1:22" x14ac:dyDescent="0.35">
      <c r="A102" s="9" t="s">
        <v>193</v>
      </c>
      <c r="B102" s="9" t="s">
        <v>2055</v>
      </c>
      <c r="C102" s="10">
        <v>14000</v>
      </c>
      <c r="D102" s="10">
        <v>1500</v>
      </c>
      <c r="E102" s="10">
        <v>1000</v>
      </c>
      <c r="F102" s="9" t="s">
        <v>24</v>
      </c>
      <c r="G102" s="9" t="s">
        <v>1375</v>
      </c>
      <c r="H102" s="27" t="s">
        <v>2057</v>
      </c>
      <c r="I102" s="157" t="s">
        <v>27</v>
      </c>
      <c r="J102" s="27"/>
      <c r="K102" s="195"/>
      <c r="L102" s="27"/>
      <c r="M102" s="27" t="s">
        <v>2058</v>
      </c>
      <c r="N102" s="27"/>
      <c r="O102" s="155" t="s">
        <v>2059</v>
      </c>
      <c r="V102" s="21"/>
    </row>
    <row r="103" spans="1:22" x14ac:dyDescent="0.35">
      <c r="A103" s="43"/>
      <c r="B103" s="43"/>
      <c r="C103" s="43"/>
      <c r="D103" s="43"/>
      <c r="E103" s="43"/>
      <c r="F103" s="43"/>
      <c r="G103" s="43"/>
      <c r="H103" s="43"/>
      <c r="I103" s="100"/>
      <c r="J103" s="265"/>
      <c r="K103" s="43"/>
      <c r="L103" s="108"/>
      <c r="M103" s="43"/>
      <c r="N103" s="43"/>
      <c r="O103" s="43"/>
      <c r="V103" s="21"/>
    </row>
    <row r="104" spans="1:22" x14ac:dyDescent="0.35">
      <c r="A104" s="9" t="s">
        <v>831</v>
      </c>
      <c r="B104" s="9" t="s">
        <v>2060</v>
      </c>
      <c r="C104" s="10">
        <v>7200</v>
      </c>
      <c r="D104" s="10">
        <v>750</v>
      </c>
      <c r="E104" s="10">
        <v>750</v>
      </c>
      <c r="F104" s="9" t="s">
        <v>95</v>
      </c>
      <c r="G104" s="9">
        <v>2024</v>
      </c>
      <c r="H104" s="9"/>
      <c r="I104" s="163"/>
      <c r="J104" s="195">
        <v>45576</v>
      </c>
      <c r="K104" s="127">
        <v>2024</v>
      </c>
      <c r="L104" s="10" t="s">
        <v>2061</v>
      </c>
      <c r="M104" s="9" t="s">
        <v>2062</v>
      </c>
      <c r="N104" s="9"/>
      <c r="O104" s="9"/>
      <c r="V104" s="21"/>
    </row>
    <row r="105" spans="1:22" x14ac:dyDescent="0.35">
      <c r="A105" s="9" t="s">
        <v>243</v>
      </c>
      <c r="B105" s="9" t="s">
        <v>2060</v>
      </c>
      <c r="C105" s="10">
        <v>7200</v>
      </c>
      <c r="D105" s="10">
        <v>750</v>
      </c>
      <c r="E105" s="10">
        <v>750</v>
      </c>
      <c r="F105" s="9" t="s">
        <v>97</v>
      </c>
      <c r="G105" s="9" t="s">
        <v>2063</v>
      </c>
      <c r="H105" s="9"/>
      <c r="I105" s="176"/>
      <c r="J105" s="195">
        <v>45670</v>
      </c>
      <c r="K105" s="127" t="s">
        <v>1162</v>
      </c>
      <c r="L105" s="10">
        <v>750</v>
      </c>
      <c r="M105" s="9" t="s">
        <v>245</v>
      </c>
      <c r="N105" s="9"/>
      <c r="O105" s="87" t="s">
        <v>246</v>
      </c>
      <c r="V105" s="21"/>
    </row>
    <row r="106" spans="1:22" x14ac:dyDescent="0.35">
      <c r="A106" s="9"/>
      <c r="B106" s="9" t="s">
        <v>2064</v>
      </c>
      <c r="C106" s="10">
        <v>7200</v>
      </c>
      <c r="D106" s="10">
        <v>750</v>
      </c>
      <c r="E106" s="10"/>
      <c r="F106" s="9"/>
      <c r="G106" s="9"/>
      <c r="H106" s="9"/>
      <c r="I106" s="176"/>
      <c r="J106" s="9"/>
      <c r="K106" s="127"/>
      <c r="L106" s="10"/>
      <c r="M106" s="9"/>
      <c r="N106" s="9"/>
      <c r="O106" s="9"/>
      <c r="V106" s="21"/>
    </row>
    <row r="107" spans="1:22" ht="29" x14ac:dyDescent="0.35">
      <c r="A107" s="9" t="s">
        <v>2065</v>
      </c>
      <c r="B107" s="9" t="s">
        <v>2066</v>
      </c>
      <c r="C107" s="10">
        <v>7200</v>
      </c>
      <c r="D107" s="10">
        <v>750</v>
      </c>
      <c r="E107" s="10">
        <v>750</v>
      </c>
      <c r="F107" s="9" t="s">
        <v>37</v>
      </c>
      <c r="G107" s="9" t="s">
        <v>148</v>
      </c>
      <c r="H107" s="9" t="s">
        <v>2067</v>
      </c>
      <c r="I107" s="176"/>
      <c r="J107" s="195">
        <v>45757</v>
      </c>
      <c r="K107" s="127" t="s">
        <v>73</v>
      </c>
      <c r="L107" s="10">
        <v>750</v>
      </c>
      <c r="M107" s="9" t="s">
        <v>2065</v>
      </c>
      <c r="N107" s="9"/>
      <c r="O107" s="9"/>
    </row>
    <row r="108" spans="1:22" x14ac:dyDescent="0.35">
      <c r="A108" s="9"/>
      <c r="B108" s="9" t="s">
        <v>2068</v>
      </c>
      <c r="C108" s="10">
        <v>7200</v>
      </c>
      <c r="D108" s="10">
        <v>750</v>
      </c>
      <c r="E108" s="10"/>
      <c r="F108" s="9"/>
      <c r="G108" s="9"/>
      <c r="H108" s="9"/>
      <c r="I108" s="176"/>
      <c r="J108" s="9"/>
      <c r="K108" s="127"/>
      <c r="L108" s="10"/>
      <c r="M108" s="9"/>
      <c r="N108" s="9"/>
      <c r="O108" s="9"/>
    </row>
    <row r="109" spans="1:22" ht="29" x14ac:dyDescent="0.35">
      <c r="A109" s="9" t="s">
        <v>218</v>
      </c>
      <c r="B109" s="9" t="s">
        <v>2069</v>
      </c>
      <c r="C109" s="10">
        <v>7200</v>
      </c>
      <c r="D109" s="10">
        <v>750</v>
      </c>
      <c r="E109" s="10">
        <v>750</v>
      </c>
      <c r="F109" s="9" t="s">
        <v>24</v>
      </c>
      <c r="G109" s="9" t="s">
        <v>162</v>
      </c>
      <c r="H109" s="9"/>
      <c r="I109" s="163" t="s">
        <v>27</v>
      </c>
      <c r="J109" s="9"/>
      <c r="K109" s="127" t="s">
        <v>2070</v>
      </c>
      <c r="L109" s="10">
        <v>500</v>
      </c>
      <c r="M109" s="9" t="s">
        <v>422</v>
      </c>
      <c r="N109" s="9"/>
      <c r="O109" s="9" t="s">
        <v>423</v>
      </c>
      <c r="V109" s="21"/>
    </row>
    <row r="110" spans="1:22" x14ac:dyDescent="0.35">
      <c r="A110" s="43"/>
      <c r="B110" s="43"/>
      <c r="C110" s="43"/>
      <c r="D110" s="43"/>
      <c r="E110" s="43"/>
      <c r="F110" s="43"/>
      <c r="G110" s="43"/>
      <c r="H110" s="43"/>
      <c r="I110" s="100"/>
      <c r="J110" s="43"/>
      <c r="K110" s="5" t="s">
        <v>630</v>
      </c>
      <c r="L110" s="236">
        <v>135</v>
      </c>
      <c r="M110" s="43"/>
      <c r="N110" s="43"/>
      <c r="O110" s="43"/>
    </row>
    <row r="111" spans="1:22" x14ac:dyDescent="0.35">
      <c r="A111" s="9" t="s">
        <v>146</v>
      </c>
      <c r="B111" s="9" t="s">
        <v>2071</v>
      </c>
      <c r="C111" s="10">
        <v>7200</v>
      </c>
      <c r="D111" s="10">
        <v>750</v>
      </c>
      <c r="E111" s="10">
        <v>750</v>
      </c>
      <c r="F111" s="9" t="s">
        <v>24</v>
      </c>
      <c r="G111" s="9" t="s">
        <v>418</v>
      </c>
      <c r="H111" s="9"/>
      <c r="I111" s="176"/>
      <c r="J111" s="195">
        <v>45757</v>
      </c>
      <c r="K111" s="127" t="s">
        <v>658</v>
      </c>
      <c r="L111" s="10">
        <v>750</v>
      </c>
      <c r="M111" s="9" t="s">
        <v>2072</v>
      </c>
      <c r="N111" s="9"/>
      <c r="O111" s="87" t="s">
        <v>2073</v>
      </c>
    </row>
    <row r="112" spans="1:22" ht="29" x14ac:dyDescent="0.35">
      <c r="A112" s="9" t="s">
        <v>220</v>
      </c>
      <c r="B112" s="9" t="s">
        <v>2071</v>
      </c>
      <c r="C112" s="10">
        <v>7200</v>
      </c>
      <c r="D112" s="10">
        <v>750</v>
      </c>
      <c r="E112" s="9">
        <v>750</v>
      </c>
      <c r="F112" s="9" t="s">
        <v>37</v>
      </c>
      <c r="G112" s="9" t="s">
        <v>287</v>
      </c>
      <c r="H112" s="9" t="s">
        <v>2074</v>
      </c>
      <c r="I112" s="176"/>
      <c r="J112" s="195">
        <v>45757</v>
      </c>
      <c r="K112" s="242">
        <v>45996</v>
      </c>
      <c r="L112" s="10">
        <v>750</v>
      </c>
      <c r="M112" s="27" t="s">
        <v>1158</v>
      </c>
      <c r="N112" s="27"/>
      <c r="O112" s="27" t="s">
        <v>1159</v>
      </c>
    </row>
    <row r="113" spans="1:22" ht="29" x14ac:dyDescent="0.35">
      <c r="A113" s="9" t="s">
        <v>218</v>
      </c>
      <c r="B113" s="9" t="s">
        <v>2075</v>
      </c>
      <c r="C113" s="10">
        <v>7200</v>
      </c>
      <c r="D113" s="10">
        <v>750</v>
      </c>
      <c r="E113" s="10">
        <v>750</v>
      </c>
      <c r="F113" s="9" t="s">
        <v>24</v>
      </c>
      <c r="G113" s="9" t="s">
        <v>162</v>
      </c>
      <c r="H113" s="9"/>
      <c r="I113" s="163" t="s">
        <v>27</v>
      </c>
      <c r="J113" s="9"/>
      <c r="K113" s="127" t="s">
        <v>664</v>
      </c>
      <c r="L113" s="10">
        <v>750</v>
      </c>
      <c r="M113" s="9" t="s">
        <v>422</v>
      </c>
      <c r="N113" s="9"/>
      <c r="O113" s="9" t="s">
        <v>423</v>
      </c>
    </row>
    <row r="114" spans="1:22" ht="29" x14ac:dyDescent="0.35">
      <c r="A114" s="9" t="s">
        <v>220</v>
      </c>
      <c r="B114" s="9" t="s">
        <v>2075</v>
      </c>
      <c r="C114" s="10">
        <v>7200</v>
      </c>
      <c r="D114" s="10">
        <v>750</v>
      </c>
      <c r="E114" s="9">
        <v>750</v>
      </c>
      <c r="F114" s="9" t="s">
        <v>37</v>
      </c>
      <c r="G114" s="9" t="s">
        <v>287</v>
      </c>
      <c r="H114" s="9" t="s">
        <v>2074</v>
      </c>
      <c r="I114" s="176"/>
      <c r="J114" s="195">
        <v>45757</v>
      </c>
      <c r="K114" s="242">
        <v>45996</v>
      </c>
      <c r="L114" s="10">
        <v>750</v>
      </c>
      <c r="M114" s="27" t="s">
        <v>1158</v>
      </c>
      <c r="N114" s="27"/>
      <c r="O114" s="27" t="s">
        <v>1159</v>
      </c>
    </row>
    <row r="115" spans="1:22" x14ac:dyDescent="0.35">
      <c r="A115" s="9" t="s">
        <v>232</v>
      </c>
      <c r="B115" s="9" t="s">
        <v>2076</v>
      </c>
      <c r="C115" s="10">
        <v>7200</v>
      </c>
      <c r="D115" s="10">
        <v>750</v>
      </c>
      <c r="E115" s="10">
        <v>750</v>
      </c>
      <c r="F115" s="9" t="s">
        <v>24</v>
      </c>
      <c r="G115" s="9" t="s">
        <v>42</v>
      </c>
      <c r="H115" s="9"/>
      <c r="I115" s="176"/>
      <c r="J115" s="9" t="s">
        <v>2077</v>
      </c>
      <c r="K115" s="127"/>
      <c r="L115" s="10"/>
      <c r="M115" s="9" t="s">
        <v>233</v>
      </c>
      <c r="N115" s="9"/>
      <c r="O115" s="87" t="s">
        <v>234</v>
      </c>
    </row>
    <row r="116" spans="1:22" x14ac:dyDescent="0.35">
      <c r="A116" s="9" t="s">
        <v>146</v>
      </c>
      <c r="B116" s="9" t="s">
        <v>2078</v>
      </c>
      <c r="C116" s="10">
        <v>7200</v>
      </c>
      <c r="D116" s="10">
        <v>750</v>
      </c>
      <c r="E116" s="10">
        <v>750</v>
      </c>
      <c r="F116" s="9" t="s">
        <v>24</v>
      </c>
      <c r="G116" s="9" t="s">
        <v>418</v>
      </c>
      <c r="H116" s="9"/>
      <c r="I116" s="176"/>
      <c r="J116" s="195">
        <v>45757</v>
      </c>
      <c r="K116" s="127" t="s">
        <v>658</v>
      </c>
      <c r="L116" s="10">
        <v>750</v>
      </c>
      <c r="M116" s="9" t="s">
        <v>2072</v>
      </c>
      <c r="N116" s="9"/>
      <c r="O116" s="87" t="s">
        <v>2073</v>
      </c>
      <c r="V116" s="21"/>
    </row>
    <row r="117" spans="1:22" ht="29" x14ac:dyDescent="0.35">
      <c r="A117" s="9" t="s">
        <v>220</v>
      </c>
      <c r="B117" s="9" t="s">
        <v>2079</v>
      </c>
      <c r="C117" s="10">
        <v>7200</v>
      </c>
      <c r="D117" s="10">
        <v>750</v>
      </c>
      <c r="E117" s="9">
        <v>750</v>
      </c>
      <c r="F117" s="9" t="s">
        <v>37</v>
      </c>
      <c r="G117" s="9" t="s">
        <v>287</v>
      </c>
      <c r="H117" s="9" t="s">
        <v>2074</v>
      </c>
      <c r="I117" s="176"/>
      <c r="J117" s="195">
        <v>45757</v>
      </c>
      <c r="K117" s="242">
        <v>45996</v>
      </c>
      <c r="L117" s="10">
        <v>750</v>
      </c>
      <c r="M117" s="27" t="s">
        <v>1158</v>
      </c>
      <c r="N117" s="27"/>
      <c r="O117" s="27" t="s">
        <v>1159</v>
      </c>
    </row>
    <row r="118" spans="1:22" x14ac:dyDescent="0.35">
      <c r="A118" s="9" t="s">
        <v>152</v>
      </c>
      <c r="B118" s="9" t="s">
        <v>2079</v>
      </c>
      <c r="C118" s="10">
        <v>7200</v>
      </c>
      <c r="D118" s="10">
        <v>750</v>
      </c>
      <c r="E118" s="10">
        <v>750</v>
      </c>
      <c r="F118" s="9" t="s">
        <v>96</v>
      </c>
      <c r="G118" s="9" t="s">
        <v>703</v>
      </c>
      <c r="H118" s="9"/>
      <c r="I118" s="99"/>
      <c r="J118" s="9" t="s">
        <v>1419</v>
      </c>
      <c r="K118" s="9"/>
      <c r="L118" s="9"/>
      <c r="M118" s="9" t="s">
        <v>2080</v>
      </c>
      <c r="N118" s="9"/>
      <c r="O118" s="87" t="s">
        <v>2081</v>
      </c>
    </row>
    <row r="119" spans="1:22" x14ac:dyDescent="0.35">
      <c r="A119" s="9" t="s">
        <v>923</v>
      </c>
      <c r="B119" s="9" t="s">
        <v>2079</v>
      </c>
      <c r="C119" s="10">
        <v>7200</v>
      </c>
      <c r="D119" s="10">
        <v>750</v>
      </c>
      <c r="E119" s="10">
        <v>750</v>
      </c>
      <c r="F119" s="9" t="s">
        <v>37</v>
      </c>
      <c r="G119" s="9" t="s">
        <v>924</v>
      </c>
      <c r="H119" s="9"/>
      <c r="I119" s="94" t="s">
        <v>27</v>
      </c>
      <c r="J119" s="9"/>
      <c r="K119" s="195">
        <v>45910</v>
      </c>
      <c r="L119" s="9">
        <v>750</v>
      </c>
      <c r="M119" s="9" t="s">
        <v>925</v>
      </c>
      <c r="N119" s="9"/>
      <c r="O119" s="9" t="s">
        <v>926</v>
      </c>
    </row>
    <row r="120" spans="1:22" ht="29" x14ac:dyDescent="0.35">
      <c r="A120" s="9" t="s">
        <v>218</v>
      </c>
      <c r="B120" s="9" t="s">
        <v>2082</v>
      </c>
      <c r="C120" s="10">
        <v>7200</v>
      </c>
      <c r="D120" s="10">
        <v>750</v>
      </c>
      <c r="E120" s="10">
        <v>750</v>
      </c>
      <c r="F120" s="9" t="s">
        <v>24</v>
      </c>
      <c r="G120" s="9" t="s">
        <v>162</v>
      </c>
      <c r="H120" s="9"/>
      <c r="I120" s="94" t="s">
        <v>27</v>
      </c>
      <c r="J120" s="9"/>
      <c r="K120" s="195" t="s">
        <v>1362</v>
      </c>
      <c r="L120" s="10">
        <f>360+390</f>
        <v>750</v>
      </c>
      <c r="M120" s="9" t="s">
        <v>422</v>
      </c>
      <c r="N120" s="9"/>
      <c r="O120" s="9" t="s">
        <v>423</v>
      </c>
    </row>
    <row r="121" spans="1:22" ht="29" x14ac:dyDescent="0.35">
      <c r="A121" s="9" t="s">
        <v>220</v>
      </c>
      <c r="B121" s="9" t="s">
        <v>2082</v>
      </c>
      <c r="C121" s="10">
        <v>7200</v>
      </c>
      <c r="D121" s="10">
        <v>750</v>
      </c>
      <c r="E121" s="10">
        <v>750</v>
      </c>
      <c r="F121" s="9" t="s">
        <v>37</v>
      </c>
      <c r="G121" s="9" t="s">
        <v>287</v>
      </c>
      <c r="H121" s="9" t="s">
        <v>2074</v>
      </c>
      <c r="I121" s="99"/>
      <c r="J121" s="195">
        <v>45757</v>
      </c>
      <c r="K121" s="242">
        <v>45996</v>
      </c>
      <c r="L121" s="10">
        <v>750</v>
      </c>
      <c r="M121" s="27" t="s">
        <v>1158</v>
      </c>
      <c r="N121" s="27"/>
      <c r="O121" s="27" t="s">
        <v>1159</v>
      </c>
    </row>
    <row r="122" spans="1:22" x14ac:dyDescent="0.35">
      <c r="A122" s="9" t="s">
        <v>923</v>
      </c>
      <c r="B122" s="9" t="s">
        <v>2082</v>
      </c>
      <c r="C122" s="10">
        <v>7200</v>
      </c>
      <c r="D122" s="10">
        <v>750</v>
      </c>
      <c r="E122" s="10">
        <v>750</v>
      </c>
      <c r="F122" s="9" t="s">
        <v>37</v>
      </c>
      <c r="G122" s="9" t="s">
        <v>924</v>
      </c>
      <c r="H122" s="9"/>
      <c r="I122" s="94" t="s">
        <v>27</v>
      </c>
      <c r="J122" s="9"/>
      <c r="K122" s="195">
        <v>45946</v>
      </c>
      <c r="L122" s="9">
        <v>750</v>
      </c>
      <c r="M122" s="9" t="s">
        <v>925</v>
      </c>
      <c r="N122" s="9"/>
      <c r="O122" s="87" t="s">
        <v>926</v>
      </c>
    </row>
    <row r="123" spans="1:22" x14ac:dyDescent="0.35">
      <c r="A123" s="9" t="s">
        <v>52</v>
      </c>
      <c r="B123" s="9" t="s">
        <v>2082</v>
      </c>
      <c r="C123" s="10">
        <v>7200</v>
      </c>
      <c r="D123" s="10">
        <v>750</v>
      </c>
      <c r="E123" s="10">
        <v>750</v>
      </c>
      <c r="F123" s="9" t="s">
        <v>37</v>
      </c>
      <c r="G123" s="9" t="s">
        <v>2083</v>
      </c>
      <c r="H123" s="9"/>
      <c r="I123" s="99"/>
      <c r="J123" s="9" t="s">
        <v>1419</v>
      </c>
      <c r="K123" s="195">
        <v>45978</v>
      </c>
      <c r="L123" s="9">
        <v>750</v>
      </c>
      <c r="M123" s="9" t="s">
        <v>2084</v>
      </c>
      <c r="N123" s="9"/>
      <c r="O123" s="87" t="s">
        <v>2085</v>
      </c>
    </row>
    <row r="124" spans="1:22" x14ac:dyDescent="0.35">
      <c r="A124" s="9" t="s">
        <v>2086</v>
      </c>
      <c r="B124" s="9" t="s">
        <v>2082</v>
      </c>
      <c r="C124" s="10">
        <v>7200</v>
      </c>
      <c r="D124" s="10">
        <v>750</v>
      </c>
      <c r="E124" s="10">
        <v>750</v>
      </c>
      <c r="F124" s="9" t="s">
        <v>96</v>
      </c>
      <c r="G124" s="9" t="s">
        <v>1007</v>
      </c>
      <c r="H124" s="9"/>
      <c r="I124" s="99"/>
      <c r="J124" s="9" t="s">
        <v>1419</v>
      </c>
      <c r="K124" s="195">
        <v>45975</v>
      </c>
      <c r="L124" s="9">
        <v>750</v>
      </c>
      <c r="M124" s="9" t="s">
        <v>2087</v>
      </c>
      <c r="N124" s="9"/>
      <c r="O124" s="87" t="s">
        <v>2088</v>
      </c>
    </row>
    <row r="125" spans="1:22" ht="43.5" x14ac:dyDescent="0.35">
      <c r="A125" s="9" t="s">
        <v>2089</v>
      </c>
      <c r="B125" s="9" t="s">
        <v>2082</v>
      </c>
      <c r="C125" s="10">
        <v>7200</v>
      </c>
      <c r="D125" s="10">
        <v>750</v>
      </c>
      <c r="E125" s="10">
        <v>750</v>
      </c>
      <c r="F125" s="9" t="s">
        <v>96</v>
      </c>
      <c r="G125" s="9" t="s">
        <v>1007</v>
      </c>
      <c r="H125" s="9" t="s">
        <v>2090</v>
      </c>
      <c r="I125" s="94" t="s">
        <v>27</v>
      </c>
      <c r="J125" s="9"/>
      <c r="K125" s="195">
        <v>45999</v>
      </c>
      <c r="L125" s="9">
        <v>500</v>
      </c>
      <c r="M125" s="9" t="s">
        <v>1810</v>
      </c>
      <c r="N125" s="9"/>
      <c r="O125" s="87" t="s">
        <v>2091</v>
      </c>
    </row>
    <row r="126" spans="1:22" x14ac:dyDescent="0.35">
      <c r="A126" s="9" t="s">
        <v>702</v>
      </c>
      <c r="B126" s="9" t="s">
        <v>2082</v>
      </c>
      <c r="C126" s="10">
        <v>7200</v>
      </c>
      <c r="D126" s="10">
        <v>750</v>
      </c>
      <c r="E126" s="10">
        <v>750</v>
      </c>
      <c r="F126" s="9" t="s">
        <v>96</v>
      </c>
      <c r="G126" s="9" t="s">
        <v>2092</v>
      </c>
      <c r="H126" s="9"/>
      <c r="I126" s="99"/>
      <c r="J126" s="9" t="s">
        <v>1419</v>
      </c>
      <c r="K126" s="195">
        <v>46010</v>
      </c>
      <c r="L126" s="9">
        <v>750</v>
      </c>
      <c r="M126" s="9" t="s">
        <v>1225</v>
      </c>
      <c r="N126" s="9"/>
      <c r="O126" s="87" t="s">
        <v>2093</v>
      </c>
    </row>
    <row r="127" spans="1:22" x14ac:dyDescent="0.35">
      <c r="A127" s="9" t="s">
        <v>146</v>
      </c>
      <c r="B127" s="9" t="s">
        <v>2094</v>
      </c>
      <c r="C127" s="10">
        <v>7200</v>
      </c>
      <c r="D127" s="10">
        <v>750</v>
      </c>
      <c r="E127" s="10">
        <v>750</v>
      </c>
      <c r="F127" s="9" t="s">
        <v>24</v>
      </c>
      <c r="G127" s="9" t="s">
        <v>418</v>
      </c>
      <c r="H127" s="9"/>
      <c r="I127" s="99"/>
      <c r="J127" s="195">
        <v>45757</v>
      </c>
      <c r="K127" s="9" t="s">
        <v>658</v>
      </c>
      <c r="L127" s="10">
        <v>750</v>
      </c>
      <c r="M127" s="9" t="s">
        <v>2072</v>
      </c>
      <c r="N127" s="9"/>
      <c r="O127" s="87" t="s">
        <v>2073</v>
      </c>
    </row>
    <row r="128" spans="1:22" x14ac:dyDescent="0.35">
      <c r="A128" s="9" t="s">
        <v>923</v>
      </c>
      <c r="B128" s="9" t="s">
        <v>2094</v>
      </c>
      <c r="C128" s="10">
        <v>7200</v>
      </c>
      <c r="D128" s="10">
        <v>750</v>
      </c>
      <c r="E128" s="10">
        <v>750</v>
      </c>
      <c r="F128" s="9" t="s">
        <v>37</v>
      </c>
      <c r="G128" s="9" t="s">
        <v>924</v>
      </c>
      <c r="H128" s="9"/>
      <c r="I128" s="94" t="s">
        <v>27</v>
      </c>
      <c r="J128" s="9"/>
      <c r="K128" s="9" t="s">
        <v>2095</v>
      </c>
      <c r="L128" s="9">
        <v>750</v>
      </c>
      <c r="M128" s="9" t="s">
        <v>925</v>
      </c>
      <c r="N128" s="9"/>
      <c r="O128" s="87" t="s">
        <v>926</v>
      </c>
    </row>
    <row r="129" spans="1:15" x14ac:dyDescent="0.35">
      <c r="A129" s="9" t="s">
        <v>923</v>
      </c>
      <c r="B129" s="9" t="s">
        <v>2096</v>
      </c>
      <c r="C129" s="10">
        <v>7200</v>
      </c>
      <c r="D129" s="10">
        <v>750</v>
      </c>
      <c r="E129" s="10">
        <v>750</v>
      </c>
      <c r="F129" s="9" t="s">
        <v>37</v>
      </c>
      <c r="G129" s="9" t="s">
        <v>924</v>
      </c>
      <c r="H129" s="9"/>
      <c r="I129" s="94" t="s">
        <v>27</v>
      </c>
      <c r="J129" s="9"/>
      <c r="K129" s="9" t="s">
        <v>2095</v>
      </c>
      <c r="L129" s="10">
        <v>750</v>
      </c>
      <c r="M129" s="9" t="s">
        <v>925</v>
      </c>
      <c r="N129" s="9"/>
      <c r="O129" s="87" t="s">
        <v>926</v>
      </c>
    </row>
    <row r="130" spans="1:15" ht="16" x14ac:dyDescent="0.35">
      <c r="A130" s="9"/>
      <c r="B130" s="9" t="s">
        <v>2096</v>
      </c>
      <c r="C130" s="10">
        <v>7200</v>
      </c>
      <c r="D130" s="10"/>
      <c r="E130" s="10"/>
      <c r="F130" s="9"/>
      <c r="G130" s="9"/>
      <c r="H130" s="9"/>
      <c r="I130" s="99"/>
      <c r="J130" s="9"/>
      <c r="K130" s="9"/>
      <c r="L130" s="9"/>
      <c r="M130" s="9"/>
      <c r="N130" s="9"/>
      <c r="O130" s="218"/>
    </row>
    <row r="131" spans="1:15" x14ac:dyDescent="0.35">
      <c r="A131" s="9" t="s">
        <v>285</v>
      </c>
      <c r="B131" s="9" t="s">
        <v>2096</v>
      </c>
      <c r="C131" s="10">
        <v>7200</v>
      </c>
      <c r="D131" s="10">
        <v>750</v>
      </c>
      <c r="E131" s="10">
        <v>750</v>
      </c>
      <c r="F131" s="9" t="s">
        <v>95</v>
      </c>
      <c r="G131" s="9" t="s">
        <v>2097</v>
      </c>
      <c r="H131" s="9"/>
      <c r="I131" s="99"/>
      <c r="J131" s="9" t="s">
        <v>1419</v>
      </c>
      <c r="K131" s="195">
        <v>45960</v>
      </c>
      <c r="L131" s="9">
        <v>750</v>
      </c>
      <c r="M131" s="9" t="s">
        <v>2098</v>
      </c>
      <c r="N131" s="9"/>
      <c r="O131" s="87" t="s">
        <v>2099</v>
      </c>
    </row>
    <row r="132" spans="1:15" x14ac:dyDescent="0.35">
      <c r="A132" s="9"/>
      <c r="B132" s="9" t="s">
        <v>2100</v>
      </c>
      <c r="C132" s="10">
        <v>7200</v>
      </c>
      <c r="D132" s="10">
        <v>750</v>
      </c>
      <c r="E132" s="10"/>
      <c r="F132" s="9"/>
      <c r="G132" s="9"/>
      <c r="H132" s="9"/>
      <c r="I132" s="99"/>
      <c r="J132" s="9"/>
      <c r="K132" s="9"/>
      <c r="L132" s="10"/>
      <c r="M132" s="9"/>
      <c r="N132" s="9"/>
      <c r="O132" s="9"/>
    </row>
    <row r="133" spans="1:15" ht="87" x14ac:dyDescent="0.35">
      <c r="A133" s="9" t="s">
        <v>841</v>
      </c>
      <c r="B133" s="9" t="s">
        <v>2101</v>
      </c>
      <c r="C133" s="10">
        <v>7200</v>
      </c>
      <c r="D133" s="10">
        <v>750</v>
      </c>
      <c r="E133" s="10">
        <v>600</v>
      </c>
      <c r="F133" s="9" t="s">
        <v>86</v>
      </c>
      <c r="G133" s="9" t="s">
        <v>121</v>
      </c>
      <c r="H133" s="9" t="s">
        <v>2102</v>
      </c>
      <c r="I133" s="99"/>
      <c r="J133" s="9" t="s">
        <v>1419</v>
      </c>
      <c r="K133" s="195">
        <v>45967</v>
      </c>
      <c r="L133" s="9">
        <v>600</v>
      </c>
      <c r="M133" s="9" t="s">
        <v>844</v>
      </c>
      <c r="N133" s="9"/>
      <c r="O133" s="87" t="s">
        <v>845</v>
      </c>
    </row>
    <row r="134" spans="1:15" x14ac:dyDescent="0.35">
      <c r="A134" s="9" t="s">
        <v>2103</v>
      </c>
      <c r="B134" s="9" t="s">
        <v>2100</v>
      </c>
      <c r="C134" s="10">
        <v>7200</v>
      </c>
      <c r="D134" s="10">
        <v>750</v>
      </c>
      <c r="E134" s="10">
        <v>750</v>
      </c>
      <c r="F134" s="9" t="s">
        <v>76</v>
      </c>
      <c r="G134" s="9" t="s">
        <v>1589</v>
      </c>
      <c r="H134" s="9"/>
      <c r="I134" s="99"/>
      <c r="J134" s="9" t="s">
        <v>1419</v>
      </c>
      <c r="K134" s="195">
        <v>45950</v>
      </c>
      <c r="L134" s="9">
        <v>750</v>
      </c>
      <c r="M134" s="9" t="s">
        <v>2104</v>
      </c>
      <c r="N134" s="9"/>
      <c r="O134" s="81" t="s">
        <v>2105</v>
      </c>
    </row>
    <row r="135" spans="1:15" x14ac:dyDescent="0.35">
      <c r="A135" s="88"/>
      <c r="B135" s="88"/>
      <c r="C135" s="171"/>
      <c r="D135" s="171"/>
      <c r="E135" s="88"/>
      <c r="F135" s="88"/>
      <c r="G135" s="88"/>
      <c r="H135" s="88"/>
      <c r="I135" s="177"/>
      <c r="J135" s="88"/>
      <c r="K135" s="178"/>
      <c r="L135" s="171"/>
      <c r="M135" s="88"/>
      <c r="N135" s="88"/>
      <c r="O135" s="88"/>
    </row>
    <row r="136" spans="1:15" ht="29" x14ac:dyDescent="0.35">
      <c r="A136" s="9" t="s">
        <v>170</v>
      </c>
      <c r="B136" s="9" t="s">
        <v>2106</v>
      </c>
      <c r="C136" s="10">
        <v>7200</v>
      </c>
      <c r="D136" s="10">
        <v>600</v>
      </c>
      <c r="E136" s="10">
        <v>5000</v>
      </c>
      <c r="F136" s="9" t="s">
        <v>24</v>
      </c>
      <c r="G136" s="9" t="s">
        <v>227</v>
      </c>
      <c r="H136" s="9"/>
      <c r="I136" s="176"/>
      <c r="J136" s="195">
        <v>45670</v>
      </c>
      <c r="K136" s="127" t="s">
        <v>2107</v>
      </c>
      <c r="L136" s="10">
        <v>5000</v>
      </c>
      <c r="M136" s="9" t="s">
        <v>230</v>
      </c>
      <c r="N136" s="9"/>
      <c r="O136" s="9" t="s">
        <v>231</v>
      </c>
    </row>
    <row r="137" spans="1:15" x14ac:dyDescent="0.35">
      <c r="A137" s="9" t="s">
        <v>38</v>
      </c>
      <c r="B137" s="9" t="s">
        <v>2106</v>
      </c>
      <c r="C137" s="10">
        <v>7200</v>
      </c>
      <c r="D137" s="10">
        <v>600</v>
      </c>
      <c r="E137" s="10">
        <v>5000</v>
      </c>
      <c r="F137" s="9" t="s">
        <v>24</v>
      </c>
      <c r="G137" s="9" t="s">
        <v>53</v>
      </c>
      <c r="H137" s="9"/>
      <c r="I137" s="163" t="s">
        <v>27</v>
      </c>
      <c r="J137" s="195">
        <v>45670</v>
      </c>
      <c r="K137" s="127" t="s">
        <v>280</v>
      </c>
      <c r="L137" s="10">
        <v>5000</v>
      </c>
      <c r="M137" s="9" t="s">
        <v>1358</v>
      </c>
      <c r="N137" s="9"/>
      <c r="O137" s="87" t="s">
        <v>2108</v>
      </c>
    </row>
    <row r="138" spans="1:15" x14ac:dyDescent="0.35">
      <c r="A138" s="9" t="s">
        <v>515</v>
      </c>
      <c r="B138" s="9" t="s">
        <v>2106</v>
      </c>
      <c r="C138" s="10">
        <v>7200</v>
      </c>
      <c r="D138" s="10">
        <v>600</v>
      </c>
      <c r="E138" s="10">
        <v>7200</v>
      </c>
      <c r="F138" s="9" t="s">
        <v>97</v>
      </c>
      <c r="G138" s="9" t="s">
        <v>2109</v>
      </c>
      <c r="H138" s="9"/>
      <c r="I138" s="176"/>
      <c r="J138" s="195">
        <v>45670</v>
      </c>
      <c r="K138" s="127" t="s">
        <v>310</v>
      </c>
      <c r="L138" s="10">
        <v>7200</v>
      </c>
      <c r="M138" s="9" t="s">
        <v>518</v>
      </c>
      <c r="N138" s="9"/>
      <c r="O138" s="87" t="s">
        <v>1432</v>
      </c>
    </row>
    <row r="139" spans="1:15" x14ac:dyDescent="0.35">
      <c r="A139" s="9" t="s">
        <v>117</v>
      </c>
      <c r="B139" s="9" t="s">
        <v>2106</v>
      </c>
      <c r="C139" s="10">
        <v>7200</v>
      </c>
      <c r="D139" s="10">
        <v>600</v>
      </c>
      <c r="E139" s="10">
        <v>7200</v>
      </c>
      <c r="F139" s="9" t="s">
        <v>95</v>
      </c>
      <c r="G139" s="9" t="s">
        <v>492</v>
      </c>
      <c r="H139" s="9"/>
      <c r="I139" s="176"/>
      <c r="J139" s="195">
        <v>45674</v>
      </c>
      <c r="K139" s="127" t="s">
        <v>2107</v>
      </c>
      <c r="L139" s="10">
        <v>7200</v>
      </c>
      <c r="M139" s="9" t="s">
        <v>2110</v>
      </c>
      <c r="N139" s="9"/>
      <c r="O139" s="87" t="s">
        <v>2111</v>
      </c>
    </row>
    <row r="140" spans="1:15" x14ac:dyDescent="0.35">
      <c r="A140" s="9" t="s">
        <v>48</v>
      </c>
      <c r="B140" s="9" t="s">
        <v>2106</v>
      </c>
      <c r="C140" s="10">
        <v>7200</v>
      </c>
      <c r="D140" s="10">
        <v>7200</v>
      </c>
      <c r="E140" s="10">
        <v>7700</v>
      </c>
      <c r="F140" s="9" t="s">
        <v>37</v>
      </c>
      <c r="G140" s="9" t="s">
        <v>64</v>
      </c>
      <c r="H140" s="9"/>
      <c r="I140" s="176"/>
      <c r="J140" s="195">
        <v>45670</v>
      </c>
      <c r="K140" s="127" t="s">
        <v>353</v>
      </c>
      <c r="L140" s="10">
        <v>7700</v>
      </c>
      <c r="M140" s="9" t="s">
        <v>66</v>
      </c>
      <c r="N140" s="9"/>
      <c r="O140" s="87" t="s">
        <v>67</v>
      </c>
    </row>
    <row r="142" spans="1:15" x14ac:dyDescent="0.35">
      <c r="L142" s="29">
        <f>SUM(L9:L140)</f>
        <v>168100</v>
      </c>
    </row>
    <row r="302" spans="6:6" x14ac:dyDescent="0.35">
      <c r="F302" s="5" t="s">
        <v>47</v>
      </c>
    </row>
    <row r="303" spans="6:6" x14ac:dyDescent="0.35">
      <c r="F303" s="5" t="s">
        <v>37</v>
      </c>
    </row>
    <row r="304" spans="6:6" x14ac:dyDescent="0.35">
      <c r="F304" s="5" t="s">
        <v>24</v>
      </c>
    </row>
    <row r="305" spans="6:6" x14ac:dyDescent="0.35">
      <c r="F305" s="5" t="s">
        <v>62</v>
      </c>
    </row>
    <row r="306" spans="6:6" x14ac:dyDescent="0.35">
      <c r="F306" s="5" t="s">
        <v>56</v>
      </c>
    </row>
    <row r="307" spans="6:6" x14ac:dyDescent="0.35">
      <c r="F307" s="5" t="s">
        <v>50</v>
      </c>
    </row>
    <row r="308" spans="6:6" x14ac:dyDescent="0.35">
      <c r="F308" s="5" t="s">
        <v>91</v>
      </c>
    </row>
    <row r="309" spans="6:6" x14ac:dyDescent="0.35">
      <c r="F309" s="5" t="s">
        <v>90</v>
      </c>
    </row>
    <row r="310" spans="6:6" x14ac:dyDescent="0.35">
      <c r="F310" s="5" t="s">
        <v>86</v>
      </c>
    </row>
    <row r="311" spans="6:6" x14ac:dyDescent="0.35">
      <c r="F311" s="5" t="s">
        <v>81</v>
      </c>
    </row>
    <row r="312" spans="6:6" x14ac:dyDescent="0.35">
      <c r="F312" s="5" t="s">
        <v>76</v>
      </c>
    </row>
    <row r="313" spans="6:6" x14ac:dyDescent="0.35">
      <c r="F313" s="5" t="s">
        <v>68</v>
      </c>
    </row>
    <row r="314" spans="6:6" x14ac:dyDescent="0.35">
      <c r="F314" s="5" t="s">
        <v>94</v>
      </c>
    </row>
    <row r="315" spans="6:6" x14ac:dyDescent="0.35">
      <c r="F315" s="5" t="s">
        <v>93</v>
      </c>
    </row>
    <row r="316" spans="6:6" x14ac:dyDescent="0.35">
      <c r="F316" s="5" t="s">
        <v>92</v>
      </c>
    </row>
    <row r="317" spans="6:6" x14ac:dyDescent="0.35">
      <c r="F317" s="5" t="s">
        <v>97</v>
      </c>
    </row>
    <row r="318" spans="6:6" x14ac:dyDescent="0.35">
      <c r="F318" s="5" t="s">
        <v>96</v>
      </c>
    </row>
    <row r="319" spans="6:6" x14ac:dyDescent="0.35">
      <c r="F319" s="5" t="s">
        <v>95</v>
      </c>
    </row>
  </sheetData>
  <sortState xmlns:xlrd2="http://schemas.microsoft.com/office/spreadsheetml/2017/richdata2" ref="T10:W77">
    <sortCondition ref="T10:T77"/>
  </sortState>
  <hyperlinks>
    <hyperlink ref="O70" r:id="rId2" display="mailto:Lane.Housley@craftontull.com" xr:uid="{B5BE13BA-7813-4E2E-9BB3-3555AC6B2CBD}"/>
    <hyperlink ref="O83" r:id="rId3" display="mailto:Amber.Helms@orthoarkansas.com" xr:uid="{936B50C2-8F8E-40DE-BA6F-DF0EDD2DE075}"/>
    <hyperlink ref="O137" r:id="rId4" display="mailto:Beth.Jimmerson@ConwayCorp.com" xr:uid="{36048D29-FB41-458D-B581-8BD144749C3C}"/>
    <hyperlink ref="O105" r:id="rId5" display="mailto:morgan.lefler@engagemanagement.com" xr:uid="{CA75C750-2721-4DF1-A4AC-9D73495974B5}"/>
    <hyperlink ref="O138" r:id="rId6" display="mailto:Stefanie.Vann@fsbank.com" xr:uid="{5B3EF782-C2F2-4A37-A0C5-C901C5183043}"/>
    <hyperlink ref="O139" r:id="rId7" display="mailto:fsharkey@uca.edu" xr:uid="{079F1C38-1271-4F9C-8C42-552314B1D4DD}"/>
    <hyperlink ref="O15" r:id="rId8" xr:uid="{E7D20360-2687-4701-B1D2-E38BA592CACE}"/>
    <hyperlink ref="O11" r:id="rId9" xr:uid="{A47C3B02-CB93-4139-9D31-FFDE3BEBEF0E}"/>
    <hyperlink ref="O84" r:id="rId10" xr:uid="{B48332A2-5532-4DF3-9F0E-6C88530C21CA}"/>
    <hyperlink ref="O88" r:id="rId11" display="mailto:ADuVall@rockefellerinstitute.org" xr:uid="{682E7FF0-FDE1-46BB-9E67-2F9B6354416C}"/>
    <hyperlink ref="O92" r:id="rId12" display="mailto:ADuVall@rockefellerinstitute.org" xr:uid="{F2BB7A92-A37A-48B5-9667-08DD112383E8}"/>
    <hyperlink ref="O22" r:id="rId13" xr:uid="{52BE9383-39FA-4F9B-B705-1D8C7286FAE2}"/>
    <hyperlink ref="O115" r:id="rId14" xr:uid="{C977E7DD-DE48-4481-8AE2-DF450D578124}"/>
    <hyperlink ref="O93" r:id="rId15" display="mailto:cody@sowellarchitects.com" xr:uid="{C7CCBFBB-A2AD-4846-9FD6-109C49741F6B}"/>
    <hyperlink ref="O94" r:id="rId16" display="mailto:jakob@davecreekmedia.com" xr:uid="{449CC71E-F0F9-44F3-B767-2CAB713DDAB9}"/>
    <hyperlink ref="O111" r:id="rId17" display="mailto:Ronie.Sparkman@nabholz.com" xr:uid="{1A459AD6-3831-4209-8DE9-C78609D67C00}"/>
    <hyperlink ref="O116" r:id="rId18" display="mailto:Ronie.Sparkman@nabholz.com" xr:uid="{F1F4712A-3920-4648-8CEE-0C16EE185C4C}"/>
    <hyperlink ref="O127" r:id="rId19" display="mailto:Ronie.Sparkman@nabholz.com" xr:uid="{457C2D04-8ADA-4CD1-AAD5-6E4583BFB8C3}"/>
    <hyperlink ref="O21" r:id="rId20" display="mailto:Lani.Jennings-Hall@bellandcompany.net" xr:uid="{FD82AE70-A871-4044-BA6B-292EBA820535}"/>
    <hyperlink ref="O90" r:id="rId21" display="mailto:amber.wyatt1@smilebrands.com" xr:uid="{2568BEB5-0C4A-4311-818D-9F1B1D90B4E0}"/>
    <hyperlink ref="O91" r:id="rId22" display="mailto:ahorton@uca.edu" xr:uid="{FB136764-DB80-4DDA-9D3C-F3E6A5A1C836}"/>
    <hyperlink ref="O97" r:id="rId23" display="mailto:rjohnson@bandapm.com" xr:uid="{03246E0B-2544-4781-A22F-7BBE101B14D6}"/>
    <hyperlink ref="O133" r:id="rId24" display="mailto:David@littlerockconwaysign.com" xr:uid="{7BCB7F32-0166-4EBB-8B3B-69BF8FF223CE}"/>
    <hyperlink ref="O89" r:id="rId25" xr:uid="{62E8441B-E2EB-43E7-8F3D-E707F59CC981}"/>
    <hyperlink ref="O75" r:id="rId26" display="mailto:bteague@uca.edu" xr:uid="{557FB36E-BBCD-473A-B609-0FE14BAF209C}"/>
    <hyperlink ref="O26" r:id="rId27" display="mailto:ben@fureighinc.com" xr:uid="{D8421482-BF99-47F7-92AB-7D60431DDCDC}"/>
    <hyperlink ref="O118" r:id="rId28" display="mailto:RMcGrew@landmarkcpas.com" xr:uid="{971B7EF1-CBA3-409A-A5EF-7813A5E8293F}"/>
    <hyperlink ref="O122" r:id="rId29" xr:uid="{5EADEF39-B9BE-4997-A7B2-BE3C71A1A261}"/>
    <hyperlink ref="O128" r:id="rId30" xr:uid="{C6AA91DF-B12C-4F6D-904B-C28D25DF63FA}"/>
    <hyperlink ref="O129" r:id="rId31" xr:uid="{46A3DB6E-22B3-4B54-8913-C3D927D027C0}"/>
    <hyperlink ref="O98" r:id="rId32" xr:uid="{710DE0E2-4125-4EA6-BA82-7153F41EDF58}"/>
    <hyperlink ref="O95" r:id="rId33" xr:uid="{81A4AFC7-2A8B-47A9-AB0F-744067885B0B}"/>
    <hyperlink ref="O96" r:id="rId34" display="mailto:cjohnson@cristengineers.com" xr:uid="{D9A15099-9895-4A6D-AF53-EBA2711B935B}"/>
    <hyperlink ref="O131" r:id="rId35" display="mailto:jpint@fabandt.bank" xr:uid="{2D1DAB41-6A84-4F82-9EF8-A6EED7556A80}"/>
    <hyperlink ref="O123" r:id="rId36" display="mailto:stanfoster@virco.com" xr:uid="{65095D68-A460-476C-8134-33839D2455CA}"/>
    <hyperlink ref="O124" r:id="rId37" display="mailto:mfortune@nativstate.com" xr:uid="{D9F3D6FF-E4EB-4B8B-850E-20B71EE0EB91}"/>
    <hyperlink ref="O125" r:id="rId38" display="mailto:bfason@car-son.com" xr:uid="{3ADB14D4-2B45-49DE-B704-D794989D9595}"/>
    <hyperlink ref="O126" r:id="rId39" display="mailto:tmalcolm@summitutilities.com" xr:uid="{637932C4-8F16-4875-9BEC-63219FC82792}"/>
    <hyperlink ref="O99" r:id="rId40" display="mailto:kdimitrova@werarch.com" xr:uid="{EBF43734-0ECF-4717-A86C-DF3EF8E876B8}"/>
    <hyperlink ref="O134" r:id="rId41" display="mailto:luxurypool@gmail.com" xr:uid="{3357E7D2-445B-42A7-ABF6-E6AFE345CA06}"/>
    <hyperlink ref="O20" r:id="rId42" display="mailto:Traci.Byrd@orthoarkansas.com" xr:uid="{6D563688-8B33-467C-A729-5A30ECDF2F6C}"/>
    <hyperlink ref="O100" r:id="rId43" xr:uid="{14B1E884-C579-4C86-8A14-69FBFEED8A77}"/>
    <hyperlink ref="O102" r:id="rId44" xr:uid="{6FD1BB55-B7CC-4A72-BBCA-9899752B3FB8}"/>
  </hyperlinks>
  <pageMargins left="0.7" right="0.7" top="0.75" bottom="0.75" header="0.3" footer="0.3"/>
  <legacyDrawing r:id="rId4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2F53A-D29D-469E-BCDF-601426B72FC8}">
  <dimension ref="A1:V317"/>
  <sheetViews>
    <sheetView workbookViewId="0">
      <pane ySplit="8" topLeftCell="A11" activePane="bottomLeft" state="frozen"/>
      <selection pane="bottomLeft" activeCell="K17" sqref="K17"/>
    </sheetView>
  </sheetViews>
  <sheetFormatPr defaultColWidth="9.1796875" defaultRowHeight="14.5" x14ac:dyDescent="0.35"/>
  <cols>
    <col min="1" max="1" width="35.453125" style="5" bestFit="1" customWidth="1"/>
    <col min="2" max="2" width="14.81640625" style="5" bestFit="1" customWidth="1"/>
    <col min="3" max="3" width="9.1796875" style="5" bestFit="1" customWidth="1"/>
    <col min="4" max="4" width="15.81640625" style="5" bestFit="1" customWidth="1"/>
    <col min="5" max="5" width="8.7265625" style="5" bestFit="1" customWidth="1"/>
    <col min="6" max="6" width="11.1796875" style="5" bestFit="1" customWidth="1"/>
    <col min="7" max="7" width="34" style="5" customWidth="1"/>
    <col min="8" max="8" width="16.26953125" style="5" bestFit="1" customWidth="1"/>
    <col min="9" max="9" width="13.81640625" style="5" customWidth="1"/>
    <col min="10" max="10" width="10.26953125" style="5" bestFit="1" customWidth="1"/>
    <col min="11" max="11" width="14.453125" style="5" bestFit="1" customWidth="1"/>
    <col min="12" max="12" width="22.81640625" style="5" customWidth="1"/>
    <col min="13" max="13" width="7.54296875" style="5" bestFit="1" customWidth="1"/>
    <col min="14" max="14" width="47.453125" style="5" customWidth="1"/>
    <col min="15" max="15" width="9.1796875" style="5"/>
    <col min="16" max="16" width="11" style="5" bestFit="1" customWidth="1"/>
    <col min="17" max="17" width="10.1796875" style="5" bestFit="1" customWidth="1"/>
    <col min="18" max="18" width="9.1796875" style="5"/>
    <col min="19" max="19" width="40.81640625" style="5" customWidth="1"/>
    <col min="20" max="20" width="19.54296875" style="5" customWidth="1"/>
    <col min="21" max="21" width="15.81640625" style="5" bestFit="1" customWidth="1"/>
    <col min="22" max="16384" width="9.1796875" style="5"/>
  </cols>
  <sheetData>
    <row r="1" spans="1:22" x14ac:dyDescent="0.35">
      <c r="A1" s="4" t="s">
        <v>2112</v>
      </c>
      <c r="B1" s="4">
        <v>2025</v>
      </c>
      <c r="S1" s="4" t="s">
        <v>2113</v>
      </c>
      <c r="T1" s="4">
        <v>2024</v>
      </c>
    </row>
    <row r="2" spans="1:22" ht="29" x14ac:dyDescent="0.35">
      <c r="A2" s="6" t="s">
        <v>1</v>
      </c>
      <c r="B2" s="7">
        <f>SUM(D9:D32)</f>
        <v>34000</v>
      </c>
      <c r="G2" s="47" t="s">
        <v>2114</v>
      </c>
      <c r="K2" s="11" t="s">
        <v>2</v>
      </c>
      <c r="S2" s="6" t="s">
        <v>1</v>
      </c>
      <c r="T2" s="7">
        <f>SUM(U9:U35)</f>
        <v>26750</v>
      </c>
    </row>
    <row r="3" spans="1:22" x14ac:dyDescent="0.35">
      <c r="A3" s="6" t="s">
        <v>3</v>
      </c>
      <c r="B3" s="7">
        <v>26000</v>
      </c>
      <c r="K3" s="7">
        <f>SUM(K35-B2)</f>
        <v>-3500</v>
      </c>
      <c r="S3" s="6" t="s">
        <v>3</v>
      </c>
      <c r="T3" s="7">
        <v>26000</v>
      </c>
    </row>
    <row r="4" spans="1:22" x14ac:dyDescent="0.35">
      <c r="A4" s="6" t="s">
        <v>4</v>
      </c>
      <c r="B4" s="7">
        <f>MIN(B3-B2)</f>
        <v>-8000</v>
      </c>
      <c r="K4" s="42">
        <f>K35/B2</f>
        <v>0.8970588235294118</v>
      </c>
      <c r="S4" s="6" t="s">
        <v>4</v>
      </c>
      <c r="T4" s="7">
        <f>MIN(T2-T3)</f>
        <v>750</v>
      </c>
    </row>
    <row r="5" spans="1:22" x14ac:dyDescent="0.35">
      <c r="A5" s="6" t="s">
        <v>5</v>
      </c>
      <c r="B5" s="7">
        <v>30000</v>
      </c>
      <c r="S5" s="6" t="s">
        <v>5</v>
      </c>
      <c r="T5" s="7">
        <v>35000</v>
      </c>
    </row>
    <row r="6" spans="1:22" x14ac:dyDescent="0.35">
      <c r="A6" s="6" t="s">
        <v>4</v>
      </c>
      <c r="B6" s="7">
        <f>MIN(B5-B2)</f>
        <v>-4000</v>
      </c>
      <c r="S6" s="6" t="s">
        <v>4</v>
      </c>
      <c r="T6" s="7">
        <f>MIN(T2-T5)</f>
        <v>-8250</v>
      </c>
    </row>
    <row r="8" spans="1:22" x14ac:dyDescent="0.35">
      <c r="A8" s="12" t="s">
        <v>6</v>
      </c>
      <c r="B8" s="12" t="s">
        <v>7</v>
      </c>
      <c r="C8" s="12" t="s">
        <v>8</v>
      </c>
      <c r="D8" s="12" t="s">
        <v>9</v>
      </c>
      <c r="E8" s="12" t="s">
        <v>10</v>
      </c>
      <c r="F8" s="12" t="s">
        <v>11</v>
      </c>
      <c r="G8" s="122" t="s">
        <v>12</v>
      </c>
      <c r="H8" s="11" t="s">
        <v>13</v>
      </c>
      <c r="I8" s="12" t="s">
        <v>14</v>
      </c>
      <c r="J8" s="12" t="s">
        <v>15</v>
      </c>
      <c r="K8" s="12" t="s">
        <v>16</v>
      </c>
      <c r="L8" s="12" t="s">
        <v>17</v>
      </c>
      <c r="M8" s="12" t="s">
        <v>18</v>
      </c>
      <c r="N8" s="12" t="s">
        <v>19</v>
      </c>
      <c r="P8" s="44" t="s">
        <v>10</v>
      </c>
      <c r="Q8" s="44" t="s">
        <v>20</v>
      </c>
      <c r="S8" s="8" t="s">
        <v>6</v>
      </c>
      <c r="T8" s="8" t="s">
        <v>21</v>
      </c>
      <c r="U8" s="8" t="s">
        <v>9</v>
      </c>
      <c r="V8" s="8" t="s">
        <v>10</v>
      </c>
    </row>
    <row r="9" spans="1:22" x14ac:dyDescent="0.35">
      <c r="A9" s="9"/>
      <c r="B9" s="9" t="s">
        <v>23</v>
      </c>
      <c r="C9" s="10">
        <v>7500</v>
      </c>
      <c r="D9" s="10"/>
      <c r="E9" s="9"/>
      <c r="F9" s="9"/>
      <c r="G9" s="9"/>
      <c r="H9" s="9"/>
      <c r="I9" s="9"/>
      <c r="J9" s="9"/>
      <c r="K9" s="10"/>
      <c r="L9" s="9"/>
      <c r="M9" s="9"/>
      <c r="N9" s="9"/>
      <c r="P9" s="39" t="s">
        <v>24</v>
      </c>
      <c r="Q9" s="10">
        <v>9750</v>
      </c>
      <c r="S9" s="203" t="s">
        <v>2115</v>
      </c>
      <c r="T9" s="48" t="s">
        <v>109</v>
      </c>
      <c r="U9" s="55">
        <v>0</v>
      </c>
      <c r="V9" s="48"/>
    </row>
    <row r="10" spans="1:22" ht="43.5" x14ac:dyDescent="0.35">
      <c r="A10" s="9" t="s">
        <v>1064</v>
      </c>
      <c r="B10" s="9" t="s">
        <v>32</v>
      </c>
      <c r="C10" s="10">
        <v>5000</v>
      </c>
      <c r="D10" s="10">
        <v>6000</v>
      </c>
      <c r="E10" s="9" t="s">
        <v>24</v>
      </c>
      <c r="F10" s="9" t="s">
        <v>25</v>
      </c>
      <c r="G10" s="9"/>
      <c r="H10" s="94" t="s">
        <v>27</v>
      </c>
      <c r="I10" s="9"/>
      <c r="J10" s="195" t="s">
        <v>2116</v>
      </c>
      <c r="K10" s="9">
        <f>2300+2650+1050</f>
        <v>6000</v>
      </c>
      <c r="L10" s="9" t="s">
        <v>459</v>
      </c>
      <c r="M10" s="9"/>
      <c r="N10" s="9" t="s">
        <v>460</v>
      </c>
      <c r="P10" s="39" t="s">
        <v>37</v>
      </c>
      <c r="Q10" s="10">
        <v>12500</v>
      </c>
      <c r="S10" s="203" t="s">
        <v>748</v>
      </c>
      <c r="T10" s="48" t="s">
        <v>109</v>
      </c>
      <c r="U10" s="55">
        <v>0</v>
      </c>
      <c r="V10" s="48"/>
    </row>
    <row r="11" spans="1:22" x14ac:dyDescent="0.35">
      <c r="A11" s="48" t="s">
        <v>48</v>
      </c>
      <c r="B11" s="9" t="s">
        <v>32</v>
      </c>
      <c r="C11" s="10">
        <v>5000</v>
      </c>
      <c r="D11" s="10">
        <v>5000</v>
      </c>
      <c r="E11" s="9" t="s">
        <v>37</v>
      </c>
      <c r="F11" s="9" t="s">
        <v>25</v>
      </c>
      <c r="G11" s="9"/>
      <c r="H11" s="9"/>
      <c r="I11" s="195">
        <v>45818</v>
      </c>
      <c r="J11" s="9" t="s">
        <v>717</v>
      </c>
      <c r="K11" s="10">
        <v>5000</v>
      </c>
      <c r="L11" s="9" t="s">
        <v>66</v>
      </c>
      <c r="M11" s="9"/>
      <c r="N11" s="9"/>
      <c r="P11" s="39" t="s">
        <v>47</v>
      </c>
      <c r="Q11" s="10"/>
      <c r="S11" s="201" t="s">
        <v>781</v>
      </c>
      <c r="T11" s="112" t="s">
        <v>109</v>
      </c>
      <c r="U11" s="113">
        <v>0</v>
      </c>
      <c r="V11" s="112"/>
    </row>
    <row r="12" spans="1:22" x14ac:dyDescent="0.35">
      <c r="A12" s="9" t="s">
        <v>718</v>
      </c>
      <c r="B12" s="9" t="s">
        <v>32</v>
      </c>
      <c r="C12" s="10">
        <v>5000</v>
      </c>
      <c r="D12" s="10">
        <v>4000</v>
      </c>
      <c r="E12" s="9" t="s">
        <v>86</v>
      </c>
      <c r="F12" s="9" t="s">
        <v>1078</v>
      </c>
      <c r="G12" s="9"/>
      <c r="H12" s="9"/>
      <c r="I12" s="9" t="s">
        <v>2117</v>
      </c>
      <c r="J12" s="9" t="s">
        <v>493</v>
      </c>
      <c r="K12" s="10">
        <v>4000</v>
      </c>
      <c r="L12" s="9"/>
      <c r="M12" s="9"/>
      <c r="N12" s="9"/>
      <c r="P12" s="39" t="s">
        <v>50</v>
      </c>
      <c r="Q12" s="10"/>
      <c r="S12" s="48" t="s">
        <v>1064</v>
      </c>
      <c r="T12" s="48" t="s">
        <v>32</v>
      </c>
      <c r="U12" s="55">
        <v>6000</v>
      </c>
      <c r="V12" s="48" t="s">
        <v>24</v>
      </c>
    </row>
    <row r="13" spans="1:22" x14ac:dyDescent="0.35">
      <c r="A13" s="9"/>
      <c r="B13" s="9" t="s">
        <v>32</v>
      </c>
      <c r="C13" s="10">
        <v>5000</v>
      </c>
      <c r="D13" s="10"/>
      <c r="E13" s="9"/>
      <c r="F13" s="9"/>
      <c r="G13" s="9"/>
      <c r="H13" s="9"/>
      <c r="I13" s="9"/>
      <c r="J13" s="9"/>
      <c r="K13" s="10"/>
      <c r="L13" s="9"/>
      <c r="M13" s="9"/>
      <c r="N13" s="9"/>
      <c r="P13" s="39" t="s">
        <v>56</v>
      </c>
      <c r="Q13" s="10">
        <v>1750</v>
      </c>
      <c r="S13" s="203" t="s">
        <v>808</v>
      </c>
      <c r="T13" s="48" t="s">
        <v>109</v>
      </c>
      <c r="U13" s="55">
        <v>0</v>
      </c>
      <c r="V13" s="48"/>
    </row>
    <row r="14" spans="1:22" x14ac:dyDescent="0.35">
      <c r="A14" s="9"/>
      <c r="B14" s="9" t="s">
        <v>2118</v>
      </c>
      <c r="C14" s="10">
        <v>3500</v>
      </c>
      <c r="D14" s="10"/>
      <c r="E14" s="9"/>
      <c r="F14" s="9"/>
      <c r="G14" s="9"/>
      <c r="H14" s="9"/>
      <c r="I14" s="9"/>
      <c r="J14" s="9"/>
      <c r="K14" s="10"/>
      <c r="L14" s="9"/>
      <c r="M14" s="9"/>
      <c r="N14" s="9"/>
      <c r="P14" s="39" t="s">
        <v>62</v>
      </c>
      <c r="Q14" s="10"/>
      <c r="S14" s="48" t="s">
        <v>48</v>
      </c>
      <c r="T14" s="48" t="s">
        <v>109</v>
      </c>
      <c r="U14" s="55">
        <v>1000</v>
      </c>
      <c r="V14" s="48" t="s">
        <v>24</v>
      </c>
    </row>
    <row r="15" spans="1:22" x14ac:dyDescent="0.35">
      <c r="A15" s="9"/>
      <c r="B15" s="9" t="s">
        <v>2119</v>
      </c>
      <c r="C15" s="10">
        <v>3500</v>
      </c>
      <c r="D15" s="10"/>
      <c r="E15" s="9"/>
      <c r="F15" s="9"/>
      <c r="G15" s="9"/>
      <c r="H15" s="9"/>
      <c r="I15" s="9"/>
      <c r="J15" s="9"/>
      <c r="K15" s="10"/>
      <c r="L15" s="9"/>
      <c r="M15" s="9"/>
      <c r="N15" s="9"/>
      <c r="P15" s="39" t="s">
        <v>68</v>
      </c>
      <c r="Q15" s="10"/>
      <c r="S15" s="83" t="s">
        <v>171</v>
      </c>
      <c r="T15" s="83" t="s">
        <v>39</v>
      </c>
      <c r="U15" s="83">
        <v>0</v>
      </c>
      <c r="V15" s="83" t="s">
        <v>96</v>
      </c>
    </row>
    <row r="16" spans="1:22" ht="43.5" x14ac:dyDescent="0.35">
      <c r="A16" s="9" t="s">
        <v>40</v>
      </c>
      <c r="B16" s="9" t="s">
        <v>2120</v>
      </c>
      <c r="C16" s="10">
        <v>2500</v>
      </c>
      <c r="D16" s="10">
        <v>2500</v>
      </c>
      <c r="E16" s="9" t="s">
        <v>37</v>
      </c>
      <c r="F16" s="9" t="s">
        <v>42</v>
      </c>
      <c r="G16" s="9" t="s">
        <v>2121</v>
      </c>
      <c r="H16" s="94" t="s">
        <v>27</v>
      </c>
      <c r="I16" s="9"/>
      <c r="J16" s="195">
        <v>46008</v>
      </c>
      <c r="K16" s="10">
        <v>2500</v>
      </c>
      <c r="L16" s="9" t="s">
        <v>45</v>
      </c>
      <c r="M16" s="9"/>
      <c r="N16" s="9" t="s">
        <v>46</v>
      </c>
      <c r="P16" s="39" t="s">
        <v>76</v>
      </c>
      <c r="Q16" s="10">
        <v>6000</v>
      </c>
      <c r="S16" s="203" t="s">
        <v>2122</v>
      </c>
      <c r="T16" s="48" t="s">
        <v>109</v>
      </c>
      <c r="U16" s="55">
        <v>0</v>
      </c>
      <c r="V16" s="48"/>
    </row>
    <row r="17" spans="1:22" x14ac:dyDescent="0.35">
      <c r="A17" s="9"/>
      <c r="B17" s="9" t="s">
        <v>188</v>
      </c>
      <c r="C17" s="10">
        <v>2500</v>
      </c>
      <c r="D17" s="10"/>
      <c r="E17" s="9"/>
      <c r="F17" s="9"/>
      <c r="G17" s="9"/>
      <c r="H17" s="9"/>
      <c r="I17" s="9"/>
      <c r="J17" s="9"/>
      <c r="K17" s="10"/>
      <c r="L17" s="9"/>
      <c r="M17" s="9"/>
      <c r="N17" s="9"/>
      <c r="P17" s="39" t="s">
        <v>81</v>
      </c>
      <c r="Q17" s="10"/>
      <c r="S17" s="203" t="s">
        <v>861</v>
      </c>
      <c r="T17" s="48" t="s">
        <v>109</v>
      </c>
      <c r="U17" s="55">
        <v>0</v>
      </c>
      <c r="V17" s="48"/>
    </row>
    <row r="18" spans="1:22" ht="29" x14ac:dyDescent="0.35">
      <c r="A18" s="48" t="s">
        <v>742</v>
      </c>
      <c r="B18" s="9" t="s">
        <v>39</v>
      </c>
      <c r="C18" s="10">
        <v>2500</v>
      </c>
      <c r="D18" s="10">
        <v>2500</v>
      </c>
      <c r="E18" s="9" t="s">
        <v>37</v>
      </c>
      <c r="F18" s="9" t="s">
        <v>418</v>
      </c>
      <c r="G18" s="9"/>
      <c r="H18" s="94" t="s">
        <v>27</v>
      </c>
      <c r="I18" s="9"/>
      <c r="J18" s="9" t="s">
        <v>2123</v>
      </c>
      <c r="K18" s="10">
        <f>1175</f>
        <v>1175</v>
      </c>
      <c r="L18" s="9" t="s">
        <v>743</v>
      </c>
      <c r="M18" s="9"/>
      <c r="N18" s="9" t="s">
        <v>744</v>
      </c>
      <c r="P18" s="39" t="s">
        <v>86</v>
      </c>
      <c r="Q18" s="10">
        <v>4000</v>
      </c>
      <c r="S18" s="112" t="s">
        <v>2124</v>
      </c>
      <c r="T18" s="112" t="s">
        <v>2125</v>
      </c>
      <c r="U18" s="113">
        <v>2500</v>
      </c>
      <c r="V18" s="112" t="s">
        <v>95</v>
      </c>
    </row>
    <row r="19" spans="1:22" x14ac:dyDescent="0.35">
      <c r="A19" s="43"/>
      <c r="B19" s="43"/>
      <c r="C19" s="43"/>
      <c r="D19" s="43"/>
      <c r="E19" s="43"/>
      <c r="F19" s="43"/>
      <c r="G19" s="43"/>
      <c r="H19" s="43"/>
      <c r="I19" s="43"/>
      <c r="J19" s="5" t="s">
        <v>664</v>
      </c>
      <c r="K19" s="241">
        <v>1325</v>
      </c>
      <c r="L19" s="43"/>
      <c r="M19" s="43"/>
      <c r="N19" s="43"/>
      <c r="P19" s="39" t="s">
        <v>90</v>
      </c>
      <c r="Q19" s="10"/>
      <c r="S19" s="112" t="s">
        <v>608</v>
      </c>
      <c r="T19" s="112" t="s">
        <v>109</v>
      </c>
      <c r="U19" s="113">
        <v>1000</v>
      </c>
      <c r="V19" s="112" t="s">
        <v>76</v>
      </c>
    </row>
    <row r="20" spans="1:22" ht="29" x14ac:dyDescent="0.35">
      <c r="A20" s="48" t="s">
        <v>212</v>
      </c>
      <c r="B20" s="9" t="s">
        <v>2126</v>
      </c>
      <c r="C20" s="10">
        <v>2500</v>
      </c>
      <c r="D20" s="10">
        <v>2500</v>
      </c>
      <c r="E20" s="9" t="s">
        <v>76</v>
      </c>
      <c r="F20" s="9" t="s">
        <v>206</v>
      </c>
      <c r="G20" s="9" t="s">
        <v>2127</v>
      </c>
      <c r="H20" s="94" t="s">
        <v>27</v>
      </c>
      <c r="I20" s="9"/>
      <c r="J20" s="9" t="s">
        <v>215</v>
      </c>
      <c r="K20" s="10">
        <v>2500</v>
      </c>
      <c r="L20" s="9"/>
      <c r="M20" s="9"/>
      <c r="N20" s="9" t="s">
        <v>2128</v>
      </c>
      <c r="P20" s="39" t="s">
        <v>91</v>
      </c>
      <c r="Q20" s="10"/>
      <c r="S20" s="112" t="s">
        <v>222</v>
      </c>
      <c r="T20" s="112" t="s">
        <v>2119</v>
      </c>
      <c r="U20" s="113">
        <v>2500</v>
      </c>
      <c r="V20" s="112" t="s">
        <v>92</v>
      </c>
    </row>
    <row r="21" spans="1:22" x14ac:dyDescent="0.35">
      <c r="A21" s="48" t="s">
        <v>69</v>
      </c>
      <c r="B21" s="9" t="s">
        <v>39</v>
      </c>
      <c r="C21" s="10">
        <v>2500</v>
      </c>
      <c r="D21" s="10">
        <v>2500</v>
      </c>
      <c r="E21" s="9" t="s">
        <v>24</v>
      </c>
      <c r="F21" s="9" t="s">
        <v>82</v>
      </c>
      <c r="G21" s="9" t="s">
        <v>2129</v>
      </c>
      <c r="H21" s="9"/>
      <c r="I21" s="9" t="s">
        <v>2117</v>
      </c>
      <c r="J21" s="195">
        <v>45875</v>
      </c>
      <c r="K21" s="10">
        <v>2500</v>
      </c>
      <c r="L21" s="9" t="s">
        <v>84</v>
      </c>
      <c r="M21" s="9"/>
      <c r="N21" s="9" t="s">
        <v>85</v>
      </c>
      <c r="P21" s="39" t="s">
        <v>92</v>
      </c>
      <c r="Q21" s="10"/>
      <c r="S21" s="203" t="s">
        <v>2130</v>
      </c>
      <c r="T21" s="48" t="s">
        <v>109</v>
      </c>
      <c r="U21" s="55">
        <v>0</v>
      </c>
      <c r="V21" s="48"/>
    </row>
    <row r="22" spans="1:22" ht="29" x14ac:dyDescent="0.35">
      <c r="A22" s="48" t="s">
        <v>260</v>
      </c>
      <c r="B22" s="9" t="s">
        <v>2131</v>
      </c>
      <c r="C22" s="10">
        <v>2500</v>
      </c>
      <c r="D22" s="10">
        <v>1750</v>
      </c>
      <c r="E22" s="9" t="s">
        <v>56</v>
      </c>
      <c r="F22" s="9" t="s">
        <v>261</v>
      </c>
      <c r="G22" s="9"/>
      <c r="H22" s="94" t="s">
        <v>27</v>
      </c>
      <c r="I22" s="9"/>
      <c r="J22" s="195" t="s">
        <v>2132</v>
      </c>
      <c r="K22" s="10">
        <f>1585+165</f>
        <v>1750</v>
      </c>
      <c r="L22" s="9" t="s">
        <v>262</v>
      </c>
      <c r="M22" s="9"/>
      <c r="N22" s="9" t="s">
        <v>263</v>
      </c>
      <c r="P22" s="39" t="s">
        <v>93</v>
      </c>
      <c r="Q22" s="10"/>
      <c r="S22" s="112" t="s">
        <v>2133</v>
      </c>
      <c r="T22" s="112" t="s">
        <v>39</v>
      </c>
      <c r="U22" s="113">
        <v>1500</v>
      </c>
      <c r="V22" s="112" t="s">
        <v>76</v>
      </c>
    </row>
    <row r="23" spans="1:22" ht="29" x14ac:dyDescent="0.35">
      <c r="A23" s="48" t="s">
        <v>1055</v>
      </c>
      <c r="B23" s="9" t="s">
        <v>39</v>
      </c>
      <c r="C23" s="10">
        <v>2500</v>
      </c>
      <c r="D23" s="10">
        <v>2500</v>
      </c>
      <c r="E23" s="9" t="s">
        <v>37</v>
      </c>
      <c r="F23" s="9" t="s">
        <v>439</v>
      </c>
      <c r="G23" s="9" t="s">
        <v>1056</v>
      </c>
      <c r="H23" s="157" t="s">
        <v>27</v>
      </c>
      <c r="I23" s="9"/>
      <c r="J23" s="195">
        <v>45894</v>
      </c>
      <c r="K23" s="27">
        <v>2500</v>
      </c>
      <c r="L23" s="27" t="s">
        <v>1057</v>
      </c>
      <c r="M23" s="27"/>
      <c r="N23" s="27" t="s">
        <v>1058</v>
      </c>
      <c r="P23" s="39" t="s">
        <v>94</v>
      </c>
      <c r="Q23" s="10"/>
      <c r="S23" s="203" t="s">
        <v>688</v>
      </c>
      <c r="T23" s="48" t="s">
        <v>109</v>
      </c>
      <c r="U23" s="55">
        <v>0</v>
      </c>
      <c r="V23" s="48"/>
    </row>
    <row r="24" spans="1:22" ht="43.5" x14ac:dyDescent="0.35">
      <c r="A24" s="48" t="s">
        <v>918</v>
      </c>
      <c r="B24" s="9" t="s">
        <v>39</v>
      </c>
      <c r="C24" s="10">
        <v>2500</v>
      </c>
      <c r="D24" s="10">
        <v>2500</v>
      </c>
      <c r="E24" s="9" t="s">
        <v>76</v>
      </c>
      <c r="F24" s="9" t="s">
        <v>511</v>
      </c>
      <c r="G24" s="9"/>
      <c r="H24" s="94" t="s">
        <v>27</v>
      </c>
      <c r="I24" s="9" t="s">
        <v>2134</v>
      </c>
      <c r="J24" s="9"/>
      <c r="K24" s="9"/>
      <c r="L24" s="9" t="s">
        <v>920</v>
      </c>
      <c r="M24" s="9"/>
      <c r="N24" s="87" t="s">
        <v>921</v>
      </c>
      <c r="P24" s="39" t="s">
        <v>95</v>
      </c>
      <c r="Q24" s="10">
        <v>0</v>
      </c>
      <c r="S24" s="32" t="s">
        <v>1013</v>
      </c>
      <c r="T24" s="9" t="s">
        <v>109</v>
      </c>
      <c r="U24" s="10">
        <v>0</v>
      </c>
      <c r="V24" s="9"/>
    </row>
    <row r="25" spans="1:22" x14ac:dyDescent="0.35">
      <c r="A25" s="9" t="s">
        <v>52</v>
      </c>
      <c r="B25" s="9" t="s">
        <v>109</v>
      </c>
      <c r="C25" s="10">
        <v>1000</v>
      </c>
      <c r="D25" s="10">
        <v>1250</v>
      </c>
      <c r="E25" s="9" t="s">
        <v>24</v>
      </c>
      <c r="F25" s="9" t="s">
        <v>53</v>
      </c>
      <c r="G25" s="9"/>
      <c r="H25" s="94" t="s">
        <v>27</v>
      </c>
      <c r="I25" s="9"/>
      <c r="J25" s="195">
        <v>45908</v>
      </c>
      <c r="K25" s="10">
        <v>1250</v>
      </c>
      <c r="L25" s="9" t="s">
        <v>54</v>
      </c>
      <c r="M25" s="9"/>
      <c r="N25" s="9" t="s">
        <v>55</v>
      </c>
      <c r="P25" s="39" t="s">
        <v>96</v>
      </c>
      <c r="Q25" s="10"/>
      <c r="S25" s="203" t="s">
        <v>610</v>
      </c>
      <c r="T25" s="48" t="s">
        <v>109</v>
      </c>
      <c r="U25" s="55">
        <v>0</v>
      </c>
      <c r="V25" s="48"/>
    </row>
    <row r="26" spans="1:22" x14ac:dyDescent="0.35">
      <c r="A26" s="9"/>
      <c r="B26" s="9" t="s">
        <v>109</v>
      </c>
      <c r="C26" s="10">
        <v>1000</v>
      </c>
      <c r="D26" s="10"/>
      <c r="E26" s="9"/>
      <c r="F26" s="9"/>
      <c r="G26" s="9"/>
      <c r="H26" s="9"/>
      <c r="I26" s="9"/>
      <c r="J26" s="9"/>
      <c r="K26" s="10"/>
      <c r="L26" s="9"/>
      <c r="M26" s="9"/>
      <c r="N26" s="9"/>
      <c r="P26" s="39" t="s">
        <v>97</v>
      </c>
      <c r="Q26" s="10"/>
      <c r="S26" s="112" t="s">
        <v>549</v>
      </c>
      <c r="T26" s="112" t="s">
        <v>2118</v>
      </c>
      <c r="U26" s="113">
        <v>2500</v>
      </c>
      <c r="V26" s="112" t="s">
        <v>95</v>
      </c>
    </row>
    <row r="27" spans="1:22" ht="29" x14ac:dyDescent="0.35">
      <c r="A27" s="9" t="s">
        <v>617</v>
      </c>
      <c r="B27" s="9" t="s">
        <v>109</v>
      </c>
      <c r="C27" s="10">
        <v>1000</v>
      </c>
      <c r="D27" s="10">
        <v>0</v>
      </c>
      <c r="E27" s="9" t="s">
        <v>95</v>
      </c>
      <c r="F27" s="9" t="s">
        <v>167</v>
      </c>
      <c r="G27" s="9" t="s">
        <v>618</v>
      </c>
      <c r="H27" s="9"/>
      <c r="I27" s="208">
        <v>0</v>
      </c>
      <c r="J27" s="9"/>
      <c r="K27" s="9"/>
      <c r="L27" s="9" t="s">
        <v>173</v>
      </c>
      <c r="M27" s="9"/>
      <c r="N27" s="87" t="s">
        <v>174</v>
      </c>
      <c r="P27" s="39" t="s">
        <v>98</v>
      </c>
      <c r="Q27" s="10">
        <v>0</v>
      </c>
      <c r="S27" s="201" t="s">
        <v>549</v>
      </c>
      <c r="T27" s="112" t="s">
        <v>109</v>
      </c>
      <c r="U27" s="113">
        <v>0</v>
      </c>
      <c r="V27" s="112"/>
    </row>
    <row r="28" spans="1:22" x14ac:dyDescent="0.35">
      <c r="A28" s="48" t="s">
        <v>479</v>
      </c>
      <c r="B28" s="9" t="s">
        <v>109</v>
      </c>
      <c r="C28" s="10">
        <v>1000</v>
      </c>
      <c r="D28" s="10">
        <v>0</v>
      </c>
      <c r="E28" s="9" t="s">
        <v>95</v>
      </c>
      <c r="F28" s="9" t="s">
        <v>642</v>
      </c>
      <c r="G28" s="9" t="s">
        <v>2135</v>
      </c>
      <c r="H28" s="9"/>
      <c r="I28" s="208">
        <v>0</v>
      </c>
      <c r="J28" s="9"/>
      <c r="K28" s="10"/>
      <c r="L28" s="9" t="s">
        <v>910</v>
      </c>
      <c r="M28" s="9"/>
      <c r="N28" s="87" t="s">
        <v>911</v>
      </c>
      <c r="P28" s="45" t="s">
        <v>99</v>
      </c>
      <c r="Q28" s="46">
        <v>34000</v>
      </c>
      <c r="S28" s="201" t="s">
        <v>2136</v>
      </c>
      <c r="T28" s="112" t="s">
        <v>109</v>
      </c>
      <c r="U28" s="113">
        <v>0</v>
      </c>
      <c r="V28" s="112"/>
    </row>
    <row r="29" spans="1:22" ht="29" x14ac:dyDescent="0.35">
      <c r="A29" s="48" t="s">
        <v>748</v>
      </c>
      <c r="B29" s="9" t="s">
        <v>109</v>
      </c>
      <c r="C29" s="10">
        <v>1000</v>
      </c>
      <c r="D29" s="10">
        <v>0</v>
      </c>
      <c r="E29" s="9" t="s">
        <v>95</v>
      </c>
      <c r="F29" s="9" t="s">
        <v>663</v>
      </c>
      <c r="G29" s="9" t="s">
        <v>2135</v>
      </c>
      <c r="H29" s="9"/>
      <c r="I29" s="208">
        <v>0</v>
      </c>
      <c r="J29" s="9"/>
      <c r="K29" s="9"/>
      <c r="L29" s="9" t="s">
        <v>2137</v>
      </c>
      <c r="M29" s="9"/>
      <c r="N29" s="87" t="s">
        <v>2138</v>
      </c>
      <c r="S29" s="112" t="s">
        <v>350</v>
      </c>
      <c r="T29" s="112" t="s">
        <v>39</v>
      </c>
      <c r="U29" s="113">
        <v>0</v>
      </c>
      <c r="V29" s="112" t="s">
        <v>96</v>
      </c>
    </row>
    <row r="30" spans="1:22" ht="72.5" x14ac:dyDescent="0.35">
      <c r="A30" s="9" t="s">
        <v>2139</v>
      </c>
      <c r="B30" s="9" t="s">
        <v>109</v>
      </c>
      <c r="C30" s="10">
        <v>1000</v>
      </c>
      <c r="D30" s="10">
        <v>0</v>
      </c>
      <c r="E30" s="9"/>
      <c r="F30" s="9"/>
      <c r="G30" s="9"/>
      <c r="H30" s="9"/>
      <c r="I30" s="239">
        <v>0</v>
      </c>
      <c r="J30" s="9"/>
      <c r="K30" s="9"/>
      <c r="L30" s="9"/>
      <c r="M30" s="9"/>
      <c r="N30" s="9"/>
      <c r="S30" s="48" t="s">
        <v>69</v>
      </c>
      <c r="T30" s="48" t="s">
        <v>39</v>
      </c>
      <c r="U30" s="55">
        <v>2500</v>
      </c>
      <c r="V30" s="48" t="s">
        <v>24</v>
      </c>
    </row>
    <row r="31" spans="1:22" x14ac:dyDescent="0.35">
      <c r="A31" s="9" t="s">
        <v>317</v>
      </c>
      <c r="B31" s="9" t="s">
        <v>109</v>
      </c>
      <c r="C31" s="10">
        <v>1000</v>
      </c>
      <c r="D31" s="10">
        <v>1000</v>
      </c>
      <c r="E31" s="9" t="s">
        <v>76</v>
      </c>
      <c r="F31" s="9" t="s">
        <v>206</v>
      </c>
      <c r="G31" s="9"/>
      <c r="H31" s="9"/>
      <c r="I31" s="9" t="s">
        <v>2140</v>
      </c>
      <c r="J31" s="9"/>
      <c r="K31" s="10"/>
      <c r="L31" s="9" t="s">
        <v>645</v>
      </c>
      <c r="M31" s="9"/>
      <c r="N31" s="87" t="s">
        <v>646</v>
      </c>
      <c r="S31" s="48" t="s">
        <v>742</v>
      </c>
      <c r="T31" s="48" t="s">
        <v>39</v>
      </c>
      <c r="U31" s="55">
        <v>2000</v>
      </c>
      <c r="V31" s="48" t="s">
        <v>24</v>
      </c>
    </row>
    <row r="32" spans="1:22" x14ac:dyDescent="0.35">
      <c r="A32" s="9" t="s">
        <v>1093</v>
      </c>
      <c r="B32" s="9" t="s">
        <v>109</v>
      </c>
      <c r="C32" s="10">
        <v>1000</v>
      </c>
      <c r="D32" s="10">
        <v>0</v>
      </c>
      <c r="E32" s="9" t="s">
        <v>76</v>
      </c>
      <c r="F32" s="9" t="s">
        <v>2047</v>
      </c>
      <c r="G32" s="9" t="s">
        <v>2141</v>
      </c>
      <c r="H32" s="9"/>
      <c r="I32" s="9">
        <v>0</v>
      </c>
      <c r="J32" s="9"/>
      <c r="K32" s="9"/>
      <c r="L32" s="9" t="s">
        <v>1094</v>
      </c>
      <c r="M32" s="9"/>
      <c r="N32" s="87" t="s">
        <v>1095</v>
      </c>
      <c r="S32" s="203" t="s">
        <v>2142</v>
      </c>
      <c r="T32" s="48" t="s">
        <v>109</v>
      </c>
      <c r="U32" s="55">
        <v>0</v>
      </c>
      <c r="V32" s="48"/>
    </row>
    <row r="33" spans="11:22" x14ac:dyDescent="0.35">
      <c r="S33" s="203" t="s">
        <v>1077</v>
      </c>
      <c r="T33" s="48" t="s">
        <v>109</v>
      </c>
      <c r="U33" s="55">
        <v>0</v>
      </c>
      <c r="V33" s="48"/>
    </row>
    <row r="34" spans="11:22" x14ac:dyDescent="0.35">
      <c r="S34" s="48" t="s">
        <v>52</v>
      </c>
      <c r="T34" s="48" t="s">
        <v>109</v>
      </c>
      <c r="U34" s="55">
        <v>1250</v>
      </c>
      <c r="V34" s="48" t="s">
        <v>24</v>
      </c>
    </row>
    <row r="35" spans="11:22" x14ac:dyDescent="0.35">
      <c r="K35" s="29">
        <f>SUM(K9:K29)</f>
        <v>30500</v>
      </c>
      <c r="S35" s="48" t="s">
        <v>718</v>
      </c>
      <c r="T35" s="48" t="s">
        <v>32</v>
      </c>
      <c r="U35" s="55">
        <v>4000</v>
      </c>
      <c r="V35" s="48" t="s">
        <v>86</v>
      </c>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hyperlinks>
    <hyperlink ref="N31" r:id="rId2" display="mailto:allan.gammill@hilton.com" xr:uid="{28E1D64C-40ED-4FC6-9A31-27AD263BB08F}"/>
    <hyperlink ref="N27" r:id="rId3" display="mailto:adam@cousinsfurniture.com" xr:uid="{7ED2EB94-7062-4B11-B714-1F3CEE62D56B}"/>
    <hyperlink ref="N28" r:id="rId4" display="mailto:Brandon@ciseandys.com" xr:uid="{CADB3526-5128-4DD0-9C87-FF5A95DBD7D9}"/>
    <hyperlink ref="N29" r:id="rId5" display="mailto:Gorham-Joshua@aramark.com" xr:uid="{1D22B21F-D61C-41AE-AD2C-9B8FEAFFBBDE}"/>
    <hyperlink ref="N24" r:id="rId6" display="mailto:Tevin.cherry@grifols.com" xr:uid="{4B25CFBF-4FD5-4D15-B210-0304C71E40DB}"/>
    <hyperlink ref="N32" r:id="rId7" xr:uid="{3D6BAC42-834C-4CDD-A876-177E98C8B437}"/>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F3D12-7CD0-4BE9-BC1B-9F9EA939F7C8}">
  <dimension ref="A1:V317"/>
  <sheetViews>
    <sheetView workbookViewId="0">
      <pane ySplit="8" topLeftCell="A18" activePane="bottomLeft" state="frozen"/>
      <selection pane="bottomLeft" activeCell="A18" sqref="A18"/>
    </sheetView>
  </sheetViews>
  <sheetFormatPr defaultColWidth="58.7265625" defaultRowHeight="14.5" x14ac:dyDescent="0.35"/>
  <cols>
    <col min="1" max="1" width="29.7265625" style="5" bestFit="1" customWidth="1"/>
    <col min="2" max="2" width="20.1796875" style="5" customWidth="1"/>
    <col min="3" max="3" width="12.26953125" style="5" customWidth="1"/>
    <col min="4" max="4" width="15.81640625" style="5" bestFit="1" customWidth="1"/>
    <col min="5" max="5" width="8.7265625" style="5" bestFit="1" customWidth="1"/>
    <col min="6" max="6" width="16.1796875" style="5" bestFit="1" customWidth="1"/>
    <col min="7" max="7" width="45.453125" style="5" bestFit="1" customWidth="1"/>
    <col min="8" max="8" width="16.26953125" style="5" bestFit="1" customWidth="1"/>
    <col min="9" max="9" width="13.81640625" style="5" customWidth="1"/>
    <col min="10" max="10" width="10.26953125" style="5" bestFit="1" customWidth="1"/>
    <col min="11" max="11" width="14.453125" style="5" bestFit="1" customWidth="1"/>
    <col min="12" max="12" width="26.54296875" style="5" bestFit="1" customWidth="1"/>
    <col min="13" max="13" width="7.54296875" style="5" bestFit="1" customWidth="1"/>
    <col min="14" max="14" width="36.26953125" style="5" bestFit="1" customWidth="1"/>
    <col min="15" max="15" width="58.7265625" style="5"/>
    <col min="16" max="16" width="11" style="5" bestFit="1" customWidth="1"/>
    <col min="17" max="17" width="11.1796875" style="5" bestFit="1" customWidth="1"/>
    <col min="18" max="18" width="58.7265625" style="5"/>
    <col min="19" max="19" width="55.81640625" style="5" bestFit="1" customWidth="1"/>
    <col min="20" max="20" width="22.81640625" style="5" bestFit="1" customWidth="1"/>
    <col min="21" max="21" width="15.81640625" style="5" bestFit="1" customWidth="1"/>
    <col min="22" max="22" width="8.7265625" style="5" bestFit="1" customWidth="1"/>
    <col min="23" max="16384" width="58.7265625" style="5"/>
  </cols>
  <sheetData>
    <row r="1" spans="1:22" x14ac:dyDescent="0.35">
      <c r="A1" s="4" t="s">
        <v>2143</v>
      </c>
      <c r="B1" s="4">
        <v>2025</v>
      </c>
      <c r="S1" s="4" t="s">
        <v>2143</v>
      </c>
      <c r="T1" s="4">
        <v>2024</v>
      </c>
    </row>
    <row r="2" spans="1:22" x14ac:dyDescent="0.35">
      <c r="A2" s="6" t="s">
        <v>1</v>
      </c>
      <c r="B2" s="7">
        <f>SUM(D9:D61)</f>
        <v>115800</v>
      </c>
      <c r="K2" s="11" t="s">
        <v>2</v>
      </c>
      <c r="S2" s="6" t="s">
        <v>1</v>
      </c>
      <c r="T2" s="7">
        <f>SUM(U9:U74)</f>
        <v>125600</v>
      </c>
    </row>
    <row r="3" spans="1:22" x14ac:dyDescent="0.35">
      <c r="A3" s="6" t="s">
        <v>3</v>
      </c>
      <c r="B3" s="7">
        <v>105000</v>
      </c>
      <c r="K3" s="7">
        <f>SUM(K55-B2)</f>
        <v>-16503.710000000006</v>
      </c>
      <c r="S3" s="6" t="s">
        <v>3</v>
      </c>
      <c r="T3" s="7">
        <v>100000</v>
      </c>
    </row>
    <row r="4" spans="1:22" x14ac:dyDescent="0.35">
      <c r="A4" s="6" t="s">
        <v>4</v>
      </c>
      <c r="B4" s="7">
        <f>MIN(B2-B3)</f>
        <v>10800</v>
      </c>
      <c r="K4" s="42">
        <f>K55/B2</f>
        <v>0.85748091537132987</v>
      </c>
      <c r="S4" s="6" t="s">
        <v>4</v>
      </c>
      <c r="T4" s="7">
        <f>MIN(T2-T3)</f>
        <v>25600</v>
      </c>
    </row>
    <row r="5" spans="1:22" x14ac:dyDescent="0.35">
      <c r="A5" s="6" t="s">
        <v>5</v>
      </c>
      <c r="B5" s="7">
        <v>130000</v>
      </c>
      <c r="S5" s="6" t="s">
        <v>5</v>
      </c>
      <c r="T5" s="7">
        <v>115000</v>
      </c>
    </row>
    <row r="6" spans="1:22" x14ac:dyDescent="0.35">
      <c r="A6" s="6" t="s">
        <v>4</v>
      </c>
      <c r="B6" s="7">
        <f>MIN(B2-B5)</f>
        <v>-14200</v>
      </c>
      <c r="S6" s="6" t="s">
        <v>4</v>
      </c>
      <c r="T6" s="7">
        <f>MIN(T2-T5)</f>
        <v>10600</v>
      </c>
    </row>
    <row r="8" spans="1:22"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c r="S8" s="8" t="s">
        <v>6</v>
      </c>
      <c r="T8" s="8" t="s">
        <v>21</v>
      </c>
      <c r="U8" s="8" t="s">
        <v>9</v>
      </c>
      <c r="V8" s="8" t="s">
        <v>10</v>
      </c>
    </row>
    <row r="9" spans="1:22" ht="29" x14ac:dyDescent="0.35">
      <c r="A9" s="9" t="s">
        <v>288</v>
      </c>
      <c r="B9" s="9" t="s">
        <v>32</v>
      </c>
      <c r="C9" s="10">
        <v>20000</v>
      </c>
      <c r="D9" s="10">
        <v>20000</v>
      </c>
      <c r="E9" s="9" t="s">
        <v>24</v>
      </c>
      <c r="F9" s="9" t="s">
        <v>2144</v>
      </c>
      <c r="G9" s="9"/>
      <c r="H9" s="9"/>
      <c r="I9" s="9" t="s">
        <v>1654</v>
      </c>
      <c r="J9" s="195">
        <v>45954</v>
      </c>
      <c r="K9" s="10">
        <v>20000</v>
      </c>
      <c r="L9" s="9" t="s">
        <v>827</v>
      </c>
      <c r="M9" s="9"/>
      <c r="N9" s="87" t="s">
        <v>828</v>
      </c>
      <c r="P9" s="39" t="s">
        <v>24</v>
      </c>
      <c r="Q9" s="10">
        <v>78700</v>
      </c>
      <c r="S9" s="48" t="s">
        <v>31</v>
      </c>
      <c r="T9" s="48" t="s">
        <v>2145</v>
      </c>
      <c r="U9" s="55">
        <v>10000</v>
      </c>
      <c r="V9" s="48" t="s">
        <v>24</v>
      </c>
    </row>
    <row r="10" spans="1:22" x14ac:dyDescent="0.35">
      <c r="A10" s="9" t="s">
        <v>1493</v>
      </c>
      <c r="B10" s="9" t="s">
        <v>2146</v>
      </c>
      <c r="C10" s="10">
        <v>10000</v>
      </c>
      <c r="D10" s="10">
        <v>10000</v>
      </c>
      <c r="E10" s="9" t="s">
        <v>24</v>
      </c>
      <c r="F10" s="9" t="s">
        <v>189</v>
      </c>
      <c r="G10" s="9"/>
      <c r="H10" s="94" t="s">
        <v>27</v>
      </c>
      <c r="I10" s="9"/>
      <c r="J10" s="9" t="s">
        <v>172</v>
      </c>
      <c r="K10" s="10">
        <v>10000</v>
      </c>
      <c r="L10" s="9" t="s">
        <v>190</v>
      </c>
      <c r="M10" s="9"/>
      <c r="N10" s="9" t="s">
        <v>191</v>
      </c>
      <c r="P10" s="39" t="s">
        <v>37</v>
      </c>
      <c r="Q10" s="10">
        <v>9500</v>
      </c>
      <c r="S10" s="9" t="s">
        <v>740</v>
      </c>
      <c r="T10" s="9" t="s">
        <v>1762</v>
      </c>
      <c r="U10" s="10">
        <v>0</v>
      </c>
      <c r="V10" s="9"/>
    </row>
    <row r="11" spans="1:22" ht="29" x14ac:dyDescent="0.35">
      <c r="A11" s="9" t="s">
        <v>40</v>
      </c>
      <c r="B11" s="9" t="s">
        <v>2147</v>
      </c>
      <c r="C11" s="10">
        <v>10000</v>
      </c>
      <c r="D11" s="10">
        <v>10000</v>
      </c>
      <c r="E11" s="9" t="s">
        <v>24</v>
      </c>
      <c r="F11" s="9" t="s">
        <v>42</v>
      </c>
      <c r="G11" s="9" t="s">
        <v>2148</v>
      </c>
      <c r="H11" s="94" t="s">
        <v>27</v>
      </c>
      <c r="I11" s="9"/>
      <c r="J11" s="195">
        <v>46008</v>
      </c>
      <c r="K11" s="10">
        <v>326.25</v>
      </c>
      <c r="L11" s="9" t="s">
        <v>45</v>
      </c>
      <c r="M11" s="9"/>
      <c r="N11" s="9" t="s">
        <v>46</v>
      </c>
      <c r="P11" s="39" t="s">
        <v>47</v>
      </c>
      <c r="Q11" s="10"/>
      <c r="S11" s="48" t="s">
        <v>531</v>
      </c>
      <c r="T11" s="48" t="s">
        <v>1762</v>
      </c>
      <c r="U11" s="55">
        <v>750</v>
      </c>
      <c r="V11" s="48" t="s">
        <v>95</v>
      </c>
    </row>
    <row r="12" spans="1:22" ht="29" x14ac:dyDescent="0.35">
      <c r="A12" s="9" t="s">
        <v>31</v>
      </c>
      <c r="B12" s="9" t="s">
        <v>2149</v>
      </c>
      <c r="C12" s="10">
        <v>10000</v>
      </c>
      <c r="D12" s="10">
        <v>10000</v>
      </c>
      <c r="E12" s="9" t="s">
        <v>24</v>
      </c>
      <c r="F12" s="9" t="s">
        <v>33</v>
      </c>
      <c r="G12" s="9"/>
      <c r="H12" s="9"/>
      <c r="I12" s="9" t="s">
        <v>1654</v>
      </c>
      <c r="J12" s="195">
        <v>45980</v>
      </c>
      <c r="K12" s="10">
        <v>10000</v>
      </c>
      <c r="L12" s="9" t="s">
        <v>35</v>
      </c>
      <c r="M12" s="9"/>
      <c r="N12" s="87" t="s">
        <v>36</v>
      </c>
      <c r="P12" s="39" t="s">
        <v>50</v>
      </c>
      <c r="Q12" s="10">
        <v>0</v>
      </c>
      <c r="S12" s="48" t="s">
        <v>135</v>
      </c>
      <c r="T12" s="48" t="s">
        <v>2150</v>
      </c>
      <c r="U12" s="55">
        <v>8600</v>
      </c>
      <c r="V12" s="48" t="s">
        <v>90</v>
      </c>
    </row>
    <row r="13" spans="1:22" ht="29" x14ac:dyDescent="0.35">
      <c r="A13" s="9" t="s">
        <v>2151</v>
      </c>
      <c r="B13" s="9" t="s">
        <v>2152</v>
      </c>
      <c r="C13" s="10">
        <v>10000</v>
      </c>
      <c r="D13" s="10">
        <v>10000</v>
      </c>
      <c r="E13" s="9" t="s">
        <v>24</v>
      </c>
      <c r="F13" s="9" t="s">
        <v>499</v>
      </c>
      <c r="G13" s="9"/>
      <c r="H13" s="9"/>
      <c r="I13" s="9" t="s">
        <v>2153</v>
      </c>
      <c r="J13" s="195">
        <v>45950</v>
      </c>
      <c r="K13" s="10">
        <v>10000</v>
      </c>
      <c r="L13" s="9"/>
      <c r="M13" s="9"/>
      <c r="N13" s="9"/>
      <c r="P13" s="39" t="s">
        <v>56</v>
      </c>
      <c r="Q13" s="10">
        <v>0</v>
      </c>
      <c r="S13" s="9" t="s">
        <v>1060</v>
      </c>
      <c r="T13" s="9" t="s">
        <v>1762</v>
      </c>
      <c r="U13" s="10">
        <v>250</v>
      </c>
      <c r="V13" s="9"/>
    </row>
    <row r="14" spans="1:22" x14ac:dyDescent="0.35">
      <c r="A14" s="9"/>
      <c r="B14" s="9" t="s">
        <v>188</v>
      </c>
      <c r="C14" s="10">
        <v>5000</v>
      </c>
      <c r="D14" s="10"/>
      <c r="E14" s="9"/>
      <c r="F14" s="9"/>
      <c r="G14" s="9"/>
      <c r="H14" s="9"/>
      <c r="I14" s="9"/>
      <c r="J14" s="9"/>
      <c r="K14" s="10"/>
      <c r="L14" s="9"/>
      <c r="M14" s="9"/>
      <c r="N14" s="9"/>
      <c r="P14" s="39" t="s">
        <v>62</v>
      </c>
      <c r="Q14" s="10"/>
      <c r="S14" s="48" t="s">
        <v>490</v>
      </c>
      <c r="T14" s="48" t="s">
        <v>2154</v>
      </c>
      <c r="U14" s="55">
        <v>2300</v>
      </c>
      <c r="V14" s="48" t="s">
        <v>93</v>
      </c>
    </row>
    <row r="15" spans="1:22" x14ac:dyDescent="0.35">
      <c r="A15" s="9" t="s">
        <v>141</v>
      </c>
      <c r="B15" s="9" t="s">
        <v>2150</v>
      </c>
      <c r="C15" s="10">
        <v>8600</v>
      </c>
      <c r="D15" s="10">
        <v>7000</v>
      </c>
      <c r="E15" s="9" t="s">
        <v>86</v>
      </c>
      <c r="F15" s="9" t="s">
        <v>142</v>
      </c>
      <c r="G15" s="9"/>
      <c r="H15" s="9"/>
      <c r="I15" s="9" t="s">
        <v>1654</v>
      </c>
      <c r="J15" s="195">
        <v>45979</v>
      </c>
      <c r="K15" s="10">
        <v>7000</v>
      </c>
      <c r="L15" s="9" t="s">
        <v>144</v>
      </c>
      <c r="M15" s="9"/>
      <c r="N15" s="9"/>
      <c r="P15" s="39" t="s">
        <v>68</v>
      </c>
      <c r="Q15" s="10"/>
      <c r="S15" s="9" t="s">
        <v>2155</v>
      </c>
      <c r="T15" s="9" t="s">
        <v>1762</v>
      </c>
      <c r="U15" s="10">
        <v>250</v>
      </c>
      <c r="V15" s="9" t="s">
        <v>76</v>
      </c>
    </row>
    <row r="16" spans="1:22" x14ac:dyDescent="0.35">
      <c r="A16" s="9"/>
      <c r="B16" s="9" t="s">
        <v>2150</v>
      </c>
      <c r="C16" s="10">
        <v>8600</v>
      </c>
      <c r="D16" s="10"/>
      <c r="E16" s="9"/>
      <c r="F16" s="9"/>
      <c r="G16" s="9"/>
      <c r="H16" s="9"/>
      <c r="I16" s="9"/>
      <c r="J16" s="9"/>
      <c r="K16" s="10"/>
      <c r="L16" s="9"/>
      <c r="M16" s="9"/>
      <c r="N16" s="9"/>
      <c r="P16" s="39" t="s">
        <v>76</v>
      </c>
      <c r="Q16" s="10">
        <v>0</v>
      </c>
      <c r="S16" s="9" t="s">
        <v>1524</v>
      </c>
      <c r="T16" s="9" t="s">
        <v>1762</v>
      </c>
      <c r="U16" s="10">
        <v>2500</v>
      </c>
      <c r="V16" s="9"/>
    </row>
    <row r="17" spans="1:22" ht="43.5" x14ac:dyDescent="0.35">
      <c r="A17" s="9" t="s">
        <v>2156</v>
      </c>
      <c r="B17" s="9" t="s">
        <v>2157</v>
      </c>
      <c r="C17" s="10">
        <v>10000</v>
      </c>
      <c r="D17" s="10">
        <v>7500</v>
      </c>
      <c r="E17" s="9" t="s">
        <v>95</v>
      </c>
      <c r="F17" s="9" t="s">
        <v>574</v>
      </c>
      <c r="G17" s="9"/>
      <c r="H17" s="9"/>
      <c r="I17" s="9" t="s">
        <v>1654</v>
      </c>
      <c r="J17" s="9"/>
      <c r="K17" s="10"/>
      <c r="L17" s="9" t="s">
        <v>2158</v>
      </c>
      <c r="M17" s="9"/>
      <c r="N17" s="87" t="s">
        <v>2159</v>
      </c>
      <c r="P17" s="39" t="s">
        <v>81</v>
      </c>
      <c r="Q17" s="10"/>
      <c r="S17" s="112" t="s">
        <v>139</v>
      </c>
      <c r="T17" s="112" t="s">
        <v>1762</v>
      </c>
      <c r="U17" s="113">
        <v>1000</v>
      </c>
      <c r="V17" s="112" t="s">
        <v>96</v>
      </c>
    </row>
    <row r="18" spans="1:22" x14ac:dyDescent="0.35">
      <c r="A18" s="9" t="s">
        <v>57</v>
      </c>
      <c r="B18" s="9" t="s">
        <v>1549</v>
      </c>
      <c r="C18" s="10">
        <v>5000</v>
      </c>
      <c r="D18" s="10">
        <v>3200</v>
      </c>
      <c r="E18" s="9" t="s">
        <v>24</v>
      </c>
      <c r="F18" s="9" t="s">
        <v>58</v>
      </c>
      <c r="G18" s="9"/>
      <c r="H18" s="94" t="s">
        <v>27</v>
      </c>
      <c r="I18" s="9"/>
      <c r="J18" s="195">
        <v>45980</v>
      </c>
      <c r="K18" s="10">
        <v>3200</v>
      </c>
      <c r="L18" s="9" t="s">
        <v>60</v>
      </c>
      <c r="M18" s="9"/>
      <c r="N18" s="9" t="s">
        <v>61</v>
      </c>
      <c r="P18" s="39" t="s">
        <v>86</v>
      </c>
      <c r="Q18" s="10">
        <v>12000</v>
      </c>
      <c r="S18" s="9" t="s">
        <v>165</v>
      </c>
      <c r="T18" s="9" t="s">
        <v>1549</v>
      </c>
      <c r="U18" s="10">
        <v>0</v>
      </c>
      <c r="V18" s="9" t="s">
        <v>96</v>
      </c>
    </row>
    <row r="19" spans="1:22" x14ac:dyDescent="0.35">
      <c r="A19" s="9" t="s">
        <v>688</v>
      </c>
      <c r="B19" s="9" t="s">
        <v>1549</v>
      </c>
      <c r="C19" s="10">
        <v>5000</v>
      </c>
      <c r="D19" s="10">
        <v>0</v>
      </c>
      <c r="E19" s="9" t="s">
        <v>76</v>
      </c>
      <c r="F19" s="9" t="s">
        <v>2160</v>
      </c>
      <c r="G19" s="9" t="s">
        <v>2161</v>
      </c>
      <c r="H19" s="9"/>
      <c r="I19" s="9">
        <v>0</v>
      </c>
      <c r="J19" s="9"/>
      <c r="K19" s="10"/>
      <c r="L19" s="9"/>
      <c r="M19" s="9"/>
      <c r="N19" s="9"/>
      <c r="P19" s="39" t="s">
        <v>90</v>
      </c>
      <c r="Q19" s="10">
        <v>850</v>
      </c>
      <c r="S19" s="48" t="s">
        <v>170</v>
      </c>
      <c r="T19" s="48" t="s">
        <v>486</v>
      </c>
      <c r="U19" s="55">
        <v>5000</v>
      </c>
      <c r="V19" s="48" t="s">
        <v>37</v>
      </c>
    </row>
    <row r="20" spans="1:22" x14ac:dyDescent="0.35">
      <c r="A20" s="9" t="s">
        <v>1038</v>
      </c>
      <c r="B20" s="9" t="s">
        <v>2162</v>
      </c>
      <c r="C20" s="10">
        <v>3000</v>
      </c>
      <c r="D20" s="10">
        <v>2000</v>
      </c>
      <c r="E20" s="9" t="s">
        <v>93</v>
      </c>
      <c r="F20" s="9" t="s">
        <v>999</v>
      </c>
      <c r="G20" s="9"/>
      <c r="H20" s="9"/>
      <c r="I20" s="9" t="s">
        <v>2026</v>
      </c>
      <c r="J20" s="195">
        <v>45950</v>
      </c>
      <c r="K20" s="10">
        <v>2000</v>
      </c>
      <c r="L20" s="9" t="s">
        <v>776</v>
      </c>
      <c r="M20" s="9"/>
      <c r="N20" s="81" t="s">
        <v>777</v>
      </c>
      <c r="P20" s="39" t="s">
        <v>91</v>
      </c>
      <c r="Q20" s="10"/>
      <c r="S20" s="112" t="s">
        <v>175</v>
      </c>
      <c r="T20" s="112" t="s">
        <v>1762</v>
      </c>
      <c r="U20" s="113">
        <v>1000</v>
      </c>
      <c r="V20" s="112" t="s">
        <v>96</v>
      </c>
    </row>
    <row r="21" spans="1:22" x14ac:dyDescent="0.35">
      <c r="A21" s="9"/>
      <c r="B21" s="9" t="s">
        <v>2163</v>
      </c>
      <c r="C21" s="10">
        <v>3000</v>
      </c>
      <c r="D21" s="10"/>
      <c r="E21" s="9"/>
      <c r="F21" s="9"/>
      <c r="G21" s="9"/>
      <c r="H21" s="9"/>
      <c r="I21" s="9"/>
      <c r="J21" s="9"/>
      <c r="K21" s="10"/>
      <c r="L21" s="9"/>
      <c r="M21" s="9"/>
      <c r="N21" s="9"/>
      <c r="P21" s="39" t="s">
        <v>92</v>
      </c>
      <c r="Q21" s="10">
        <v>3050</v>
      </c>
      <c r="S21" s="9" t="s">
        <v>181</v>
      </c>
      <c r="T21" s="9" t="s">
        <v>1762</v>
      </c>
      <c r="U21" s="10">
        <v>0</v>
      </c>
      <c r="V21" s="9"/>
    </row>
    <row r="22" spans="1:22" x14ac:dyDescent="0.35">
      <c r="A22" s="9"/>
      <c r="B22" s="9" t="s">
        <v>2164</v>
      </c>
      <c r="C22" s="10">
        <v>3000</v>
      </c>
      <c r="D22" s="10"/>
      <c r="E22" s="9"/>
      <c r="F22" s="9"/>
      <c r="G22" s="9"/>
      <c r="H22" s="9"/>
      <c r="I22" s="9"/>
      <c r="J22" s="9"/>
      <c r="K22" s="10"/>
      <c r="L22" s="9"/>
      <c r="M22" s="9"/>
      <c r="N22" s="9"/>
      <c r="P22" s="39" t="s">
        <v>93</v>
      </c>
      <c r="Q22" s="10">
        <v>2000</v>
      </c>
      <c r="S22" s="48" t="s">
        <v>38</v>
      </c>
      <c r="T22" s="48" t="s">
        <v>2165</v>
      </c>
      <c r="U22" s="55">
        <v>10000</v>
      </c>
      <c r="V22" s="48" t="s">
        <v>24</v>
      </c>
    </row>
    <row r="23" spans="1:22" ht="43.5" x14ac:dyDescent="0.35">
      <c r="A23" s="9" t="s">
        <v>170</v>
      </c>
      <c r="B23" s="9" t="s">
        <v>1062</v>
      </c>
      <c r="C23" s="10">
        <v>5000</v>
      </c>
      <c r="D23" s="10">
        <v>5000</v>
      </c>
      <c r="E23" s="9" t="s">
        <v>24</v>
      </c>
      <c r="F23" s="9" t="s">
        <v>227</v>
      </c>
      <c r="G23" s="9" t="s">
        <v>2166</v>
      </c>
      <c r="H23" s="9"/>
      <c r="I23" s="9" t="s">
        <v>1654</v>
      </c>
      <c r="J23" s="195">
        <v>45950</v>
      </c>
      <c r="K23" s="10">
        <v>5000</v>
      </c>
      <c r="L23" s="9" t="s">
        <v>230</v>
      </c>
      <c r="M23" s="9"/>
      <c r="N23" s="9" t="s">
        <v>231</v>
      </c>
      <c r="P23" s="39" t="s">
        <v>94</v>
      </c>
      <c r="Q23" s="10"/>
      <c r="S23" s="48" t="s">
        <v>48</v>
      </c>
      <c r="T23" s="48" t="s">
        <v>39</v>
      </c>
      <c r="U23" s="55">
        <v>2500</v>
      </c>
      <c r="V23" s="48" t="s">
        <v>37</v>
      </c>
    </row>
    <row r="24" spans="1:22" ht="29" x14ac:dyDescent="0.35">
      <c r="A24" s="9" t="s">
        <v>52</v>
      </c>
      <c r="B24" s="9" t="s">
        <v>131</v>
      </c>
      <c r="C24" s="10">
        <v>5000</v>
      </c>
      <c r="D24" s="10">
        <v>5000</v>
      </c>
      <c r="E24" s="9" t="s">
        <v>24</v>
      </c>
      <c r="F24" s="9" t="s">
        <v>53</v>
      </c>
      <c r="G24" s="9"/>
      <c r="H24" s="94" t="s">
        <v>27</v>
      </c>
      <c r="I24" s="9"/>
      <c r="J24" s="195">
        <v>45950</v>
      </c>
      <c r="K24" s="10">
        <v>5000</v>
      </c>
      <c r="L24" s="9" t="s">
        <v>54</v>
      </c>
      <c r="M24" s="9"/>
      <c r="N24" s="9" t="s">
        <v>55</v>
      </c>
      <c r="P24" s="39" t="s">
        <v>95</v>
      </c>
      <c r="Q24" s="10">
        <v>11500</v>
      </c>
      <c r="S24" s="48" t="s">
        <v>260</v>
      </c>
      <c r="T24" s="48" t="s">
        <v>1762</v>
      </c>
      <c r="U24" s="55">
        <v>500</v>
      </c>
      <c r="V24" s="48" t="s">
        <v>56</v>
      </c>
    </row>
    <row r="25" spans="1:22" ht="29" x14ac:dyDescent="0.35">
      <c r="A25" s="9" t="s">
        <v>831</v>
      </c>
      <c r="B25" s="9" t="s">
        <v>131</v>
      </c>
      <c r="C25" s="10">
        <v>5000</v>
      </c>
      <c r="D25" s="10">
        <v>5000</v>
      </c>
      <c r="E25" s="9" t="s">
        <v>86</v>
      </c>
      <c r="F25" s="9" t="s">
        <v>270</v>
      </c>
      <c r="G25" s="9"/>
      <c r="H25" s="9"/>
      <c r="I25" s="9" t="s">
        <v>1654</v>
      </c>
      <c r="J25" s="195">
        <v>45967</v>
      </c>
      <c r="K25" s="10">
        <v>5000</v>
      </c>
      <c r="L25" s="9" t="s">
        <v>832</v>
      </c>
      <c r="M25" s="9"/>
      <c r="N25" s="86" t="s">
        <v>833</v>
      </c>
      <c r="P25" s="39" t="s">
        <v>96</v>
      </c>
      <c r="Q25" s="10"/>
      <c r="S25" s="48" t="s">
        <v>2167</v>
      </c>
      <c r="T25" s="48" t="s">
        <v>2168</v>
      </c>
      <c r="U25" s="55">
        <v>7500</v>
      </c>
      <c r="V25" s="48" t="s">
        <v>95</v>
      </c>
    </row>
    <row r="26" spans="1:22" ht="29" x14ac:dyDescent="0.35">
      <c r="A26" s="9" t="s">
        <v>1055</v>
      </c>
      <c r="B26" s="9" t="s">
        <v>131</v>
      </c>
      <c r="C26" s="10">
        <v>5000</v>
      </c>
      <c r="D26" s="10">
        <v>5000</v>
      </c>
      <c r="E26" s="9" t="s">
        <v>37</v>
      </c>
      <c r="F26" s="9" t="s">
        <v>439</v>
      </c>
      <c r="G26" s="9" t="s">
        <v>1056</v>
      </c>
      <c r="H26" s="157" t="s">
        <v>27</v>
      </c>
      <c r="I26" s="34"/>
      <c r="J26" s="199" t="s">
        <v>73</v>
      </c>
      <c r="K26" s="27">
        <v>5000</v>
      </c>
      <c r="L26" s="27" t="s">
        <v>1057</v>
      </c>
      <c r="M26" s="27"/>
      <c r="N26" s="27" t="s">
        <v>1058</v>
      </c>
      <c r="P26" s="39" t="s">
        <v>97</v>
      </c>
      <c r="Q26" s="10"/>
      <c r="S26" s="48" t="s">
        <v>285</v>
      </c>
      <c r="T26" s="48" t="s">
        <v>1762</v>
      </c>
      <c r="U26" s="55">
        <v>750</v>
      </c>
      <c r="V26" s="48" t="s">
        <v>95</v>
      </c>
    </row>
    <row r="27" spans="1:22" x14ac:dyDescent="0.35">
      <c r="A27" s="9"/>
      <c r="B27" s="9" t="s">
        <v>131</v>
      </c>
      <c r="C27" s="10">
        <v>5000</v>
      </c>
      <c r="D27" s="10"/>
      <c r="E27" s="9"/>
      <c r="F27" s="9"/>
      <c r="G27" s="9"/>
      <c r="H27" s="9"/>
      <c r="I27" s="9"/>
      <c r="J27" s="9"/>
      <c r="K27" s="10"/>
      <c r="L27" s="9"/>
      <c r="M27" s="9"/>
      <c r="N27" s="9"/>
      <c r="P27" s="39" t="s">
        <v>98</v>
      </c>
      <c r="Q27" s="10">
        <v>500</v>
      </c>
      <c r="S27" s="48" t="s">
        <v>288</v>
      </c>
      <c r="T27" s="48" t="s">
        <v>32</v>
      </c>
      <c r="U27" s="55">
        <v>20000</v>
      </c>
      <c r="V27" s="48" t="s">
        <v>24</v>
      </c>
    </row>
    <row r="28" spans="1:22" x14ac:dyDescent="0.35">
      <c r="A28" s="9" t="s">
        <v>48</v>
      </c>
      <c r="B28" s="9" t="s">
        <v>39</v>
      </c>
      <c r="C28" s="10">
        <v>2500</v>
      </c>
      <c r="D28" s="10">
        <v>2500</v>
      </c>
      <c r="E28" s="9" t="s">
        <v>24</v>
      </c>
      <c r="F28" s="9" t="s">
        <v>64</v>
      </c>
      <c r="G28" s="9"/>
      <c r="H28" s="9"/>
      <c r="I28" s="9" t="s">
        <v>1654</v>
      </c>
      <c r="J28" s="195">
        <v>45961</v>
      </c>
      <c r="K28" s="10">
        <v>2500</v>
      </c>
      <c r="L28" s="9" t="s">
        <v>66</v>
      </c>
      <c r="M28" s="9"/>
      <c r="N28" s="9" t="s">
        <v>67</v>
      </c>
      <c r="P28" s="45" t="s">
        <v>99</v>
      </c>
      <c r="Q28" s="46">
        <v>118100</v>
      </c>
      <c r="S28" s="48" t="s">
        <v>515</v>
      </c>
      <c r="T28" s="48" t="s">
        <v>1762</v>
      </c>
      <c r="U28" s="55">
        <v>1000</v>
      </c>
      <c r="V28" s="48" t="s">
        <v>24</v>
      </c>
    </row>
    <row r="29" spans="1:22" x14ac:dyDescent="0.35">
      <c r="A29" s="9" t="s">
        <v>232</v>
      </c>
      <c r="B29" s="9" t="s">
        <v>39</v>
      </c>
      <c r="C29" s="10">
        <v>2500</v>
      </c>
      <c r="D29" s="10">
        <v>1000</v>
      </c>
      <c r="E29" s="9" t="s">
        <v>24</v>
      </c>
      <c r="F29" s="9" t="s">
        <v>42</v>
      </c>
      <c r="G29" s="9"/>
      <c r="H29" s="9"/>
      <c r="I29" s="9" t="s">
        <v>1654</v>
      </c>
      <c r="J29" s="195">
        <v>45957</v>
      </c>
      <c r="K29" s="10">
        <v>1000</v>
      </c>
      <c r="L29" s="9" t="s">
        <v>233</v>
      </c>
      <c r="M29" s="9"/>
      <c r="N29" s="9" t="s">
        <v>234</v>
      </c>
      <c r="S29" s="48" t="s">
        <v>248</v>
      </c>
      <c r="T29" s="48" t="s">
        <v>1762</v>
      </c>
      <c r="U29" s="55">
        <v>1000</v>
      </c>
      <c r="V29" s="48" t="s">
        <v>37</v>
      </c>
    </row>
    <row r="30" spans="1:22" ht="29" x14ac:dyDescent="0.35">
      <c r="A30" s="9" t="s">
        <v>742</v>
      </c>
      <c r="B30" s="9" t="s">
        <v>39</v>
      </c>
      <c r="C30" s="10">
        <v>2500</v>
      </c>
      <c r="D30" s="10">
        <v>2500</v>
      </c>
      <c r="E30" s="9" t="s">
        <v>37</v>
      </c>
      <c r="F30" s="9" t="s">
        <v>418</v>
      </c>
      <c r="G30" s="9"/>
      <c r="H30" s="94" t="s">
        <v>27</v>
      </c>
      <c r="I30" s="9"/>
      <c r="J30" s="195">
        <v>45936</v>
      </c>
      <c r="K30" s="9">
        <v>2500</v>
      </c>
      <c r="L30" s="9" t="s">
        <v>743</v>
      </c>
      <c r="M30" s="9"/>
      <c r="N30" s="9" t="s">
        <v>744</v>
      </c>
      <c r="S30" s="9" t="s">
        <v>248</v>
      </c>
      <c r="T30" s="9" t="s">
        <v>1762</v>
      </c>
      <c r="U30" s="10">
        <v>250</v>
      </c>
      <c r="V30" s="9"/>
    </row>
    <row r="31" spans="1:22" x14ac:dyDescent="0.35">
      <c r="A31" s="9" t="s">
        <v>601</v>
      </c>
      <c r="B31" s="9" t="s">
        <v>39</v>
      </c>
      <c r="C31" s="10">
        <v>2500</v>
      </c>
      <c r="D31" s="10">
        <v>2500</v>
      </c>
      <c r="E31" s="9" t="s">
        <v>95</v>
      </c>
      <c r="F31" s="9" t="s">
        <v>28</v>
      </c>
      <c r="G31" s="9"/>
      <c r="H31" s="9"/>
      <c r="I31" s="9" t="s">
        <v>1654</v>
      </c>
      <c r="J31" s="195">
        <v>45946</v>
      </c>
      <c r="K31" s="10">
        <v>2500</v>
      </c>
      <c r="L31" s="9" t="s">
        <v>602</v>
      </c>
      <c r="M31" s="9"/>
      <c r="N31" s="87" t="s">
        <v>603</v>
      </c>
      <c r="S31" s="9" t="s">
        <v>2169</v>
      </c>
      <c r="T31" s="9" t="s">
        <v>1762</v>
      </c>
      <c r="U31" s="10">
        <v>1000</v>
      </c>
      <c r="V31" s="9" t="s">
        <v>37</v>
      </c>
    </row>
    <row r="32" spans="1:22" x14ac:dyDescent="0.35">
      <c r="A32" s="9" t="s">
        <v>1863</v>
      </c>
      <c r="B32" s="9" t="s">
        <v>39</v>
      </c>
      <c r="C32" s="10">
        <v>2500</v>
      </c>
      <c r="D32" s="10">
        <v>0</v>
      </c>
      <c r="E32" s="9" t="s">
        <v>95</v>
      </c>
      <c r="F32" s="9"/>
      <c r="G32" s="9"/>
      <c r="H32" s="9"/>
      <c r="I32" s="9">
        <v>0</v>
      </c>
      <c r="J32" s="9"/>
      <c r="K32" s="9"/>
      <c r="L32" s="9"/>
      <c r="M32" s="9"/>
      <c r="N32" s="9"/>
      <c r="S32" s="48" t="s">
        <v>57</v>
      </c>
      <c r="T32" s="48" t="s">
        <v>1549</v>
      </c>
      <c r="U32" s="55">
        <v>3200</v>
      </c>
      <c r="V32" s="48" t="s">
        <v>24</v>
      </c>
    </row>
    <row r="33" spans="1:22" x14ac:dyDescent="0.35">
      <c r="A33" s="9" t="s">
        <v>2170</v>
      </c>
      <c r="B33" s="9" t="s">
        <v>39</v>
      </c>
      <c r="C33" s="10">
        <v>2500</v>
      </c>
      <c r="D33" s="10">
        <v>0</v>
      </c>
      <c r="E33" s="9" t="s">
        <v>93</v>
      </c>
      <c r="F33" s="9" t="s">
        <v>977</v>
      </c>
      <c r="G33" s="9" t="s">
        <v>2171</v>
      </c>
      <c r="H33" s="9"/>
      <c r="I33" s="9">
        <v>0</v>
      </c>
      <c r="J33" s="9"/>
      <c r="K33" s="9"/>
      <c r="L33" s="9" t="s">
        <v>850</v>
      </c>
      <c r="M33" s="9"/>
      <c r="N33" s="9" t="s">
        <v>851</v>
      </c>
      <c r="S33" s="48" t="s">
        <v>194</v>
      </c>
      <c r="T33" s="48" t="s">
        <v>1762</v>
      </c>
      <c r="U33" s="55">
        <v>500</v>
      </c>
      <c r="V33" s="48" t="s">
        <v>56</v>
      </c>
    </row>
    <row r="34" spans="1:22" x14ac:dyDescent="0.35">
      <c r="A34" s="5" t="s">
        <v>494</v>
      </c>
      <c r="B34" s="5" t="s">
        <v>39</v>
      </c>
      <c r="C34" s="21">
        <v>2500</v>
      </c>
      <c r="D34" s="21">
        <v>0</v>
      </c>
      <c r="F34" s="5" t="s">
        <v>2172</v>
      </c>
      <c r="G34" s="5" t="s">
        <v>2173</v>
      </c>
      <c r="I34" s="5">
        <v>0</v>
      </c>
      <c r="S34" s="9" t="s">
        <v>2174</v>
      </c>
      <c r="T34" s="9" t="s">
        <v>39</v>
      </c>
      <c r="U34" s="10">
        <v>2500</v>
      </c>
      <c r="V34" s="9" t="s">
        <v>24</v>
      </c>
    </row>
    <row r="35" spans="1:22" ht="43.5" x14ac:dyDescent="0.35">
      <c r="A35" s="112" t="s">
        <v>490</v>
      </c>
      <c r="B35" s="112" t="s">
        <v>2175</v>
      </c>
      <c r="C35" s="113">
        <v>230</v>
      </c>
      <c r="D35" s="271" t="s">
        <v>842</v>
      </c>
      <c r="E35" s="112" t="s">
        <v>92</v>
      </c>
      <c r="F35" s="112" t="s">
        <v>28</v>
      </c>
      <c r="G35" s="112" t="s">
        <v>1063</v>
      </c>
      <c r="H35" s="94" t="s">
        <v>27</v>
      </c>
      <c r="I35" s="112"/>
      <c r="J35" s="270" t="s">
        <v>2176</v>
      </c>
      <c r="K35" s="113">
        <f>650+854.04+766</f>
        <v>2270.04</v>
      </c>
      <c r="L35" s="112" t="s">
        <v>516</v>
      </c>
      <c r="M35" s="112"/>
      <c r="N35" s="112" t="s">
        <v>517</v>
      </c>
      <c r="S35" s="9" t="s">
        <v>801</v>
      </c>
      <c r="T35" s="9" t="s">
        <v>39</v>
      </c>
      <c r="U35" s="10">
        <v>2500</v>
      </c>
      <c r="V35" s="9" t="s">
        <v>24</v>
      </c>
    </row>
    <row r="36" spans="1:22" x14ac:dyDescent="0.35">
      <c r="A36" s="9"/>
      <c r="B36" s="9" t="s">
        <v>2175</v>
      </c>
      <c r="C36" s="10">
        <v>230</v>
      </c>
      <c r="D36" s="10"/>
      <c r="E36" s="9"/>
      <c r="F36" s="9"/>
      <c r="G36" s="9"/>
      <c r="H36" s="9"/>
      <c r="I36" s="9"/>
      <c r="J36" s="9"/>
      <c r="K36" s="10"/>
      <c r="L36" s="9"/>
      <c r="M36" s="9"/>
      <c r="N36" s="9"/>
      <c r="S36" s="48" t="s">
        <v>2177</v>
      </c>
      <c r="T36" s="48" t="s">
        <v>1762</v>
      </c>
      <c r="U36" s="55">
        <v>500</v>
      </c>
      <c r="V36" s="48" t="s">
        <v>96</v>
      </c>
    </row>
    <row r="37" spans="1:22" x14ac:dyDescent="0.35">
      <c r="A37" s="9"/>
      <c r="B37" s="9" t="s">
        <v>2175</v>
      </c>
      <c r="C37" s="10">
        <v>230</v>
      </c>
      <c r="D37" s="10"/>
      <c r="E37" s="9"/>
      <c r="F37" s="9"/>
      <c r="G37" s="9"/>
      <c r="H37" s="9"/>
      <c r="I37" s="9"/>
      <c r="J37" s="9"/>
      <c r="K37" s="10"/>
      <c r="L37" s="9"/>
      <c r="M37" s="9"/>
      <c r="N37" s="9"/>
      <c r="S37" s="48" t="s">
        <v>2151</v>
      </c>
      <c r="T37" s="48" t="s">
        <v>2178</v>
      </c>
      <c r="U37" s="55">
        <v>10000</v>
      </c>
      <c r="V37" s="48" t="s">
        <v>37</v>
      </c>
    </row>
    <row r="38" spans="1:22" ht="29" x14ac:dyDescent="0.35">
      <c r="A38" s="9" t="s">
        <v>248</v>
      </c>
      <c r="B38" s="9" t="s">
        <v>1054</v>
      </c>
      <c r="C38" s="10">
        <v>250</v>
      </c>
      <c r="D38" s="10">
        <v>1000</v>
      </c>
      <c r="E38" s="9" t="s">
        <v>24</v>
      </c>
      <c r="F38" s="9" t="s">
        <v>147</v>
      </c>
      <c r="G38" s="9"/>
      <c r="H38" s="9"/>
      <c r="I38" s="9" t="s">
        <v>1559</v>
      </c>
      <c r="J38" s="195">
        <v>45960</v>
      </c>
      <c r="K38" s="10">
        <v>1000</v>
      </c>
      <c r="L38" s="9" t="s">
        <v>249</v>
      </c>
      <c r="M38" s="9"/>
      <c r="N38" s="9" t="s">
        <v>250</v>
      </c>
      <c r="S38" s="48" t="s">
        <v>601</v>
      </c>
      <c r="T38" s="48" t="s">
        <v>39</v>
      </c>
      <c r="U38" s="55">
        <v>2500</v>
      </c>
      <c r="V38" s="48" t="s">
        <v>95</v>
      </c>
    </row>
    <row r="39" spans="1:22" x14ac:dyDescent="0.35">
      <c r="A39" s="9" t="s">
        <v>356</v>
      </c>
      <c r="B39" s="9" t="s">
        <v>1054</v>
      </c>
      <c r="C39" s="10">
        <v>250</v>
      </c>
      <c r="D39" s="10">
        <v>750</v>
      </c>
      <c r="E39" s="9" t="s">
        <v>92</v>
      </c>
      <c r="F39" s="9" t="s">
        <v>353</v>
      </c>
      <c r="G39" s="9" t="s">
        <v>1090</v>
      </c>
      <c r="H39" s="9"/>
      <c r="I39" s="9" t="s">
        <v>1559</v>
      </c>
      <c r="J39" s="9" t="s">
        <v>1271</v>
      </c>
      <c r="K39" s="10">
        <v>0</v>
      </c>
      <c r="L39" s="9" t="s">
        <v>357</v>
      </c>
      <c r="M39" s="9"/>
      <c r="N39" s="87" t="s">
        <v>358</v>
      </c>
      <c r="S39" s="48" t="s">
        <v>356</v>
      </c>
      <c r="T39" s="48" t="s">
        <v>1762</v>
      </c>
      <c r="U39" s="55">
        <v>750</v>
      </c>
      <c r="V39" s="48" t="s">
        <v>92</v>
      </c>
    </row>
    <row r="40" spans="1:22" ht="29" x14ac:dyDescent="0.35">
      <c r="A40" s="9" t="s">
        <v>260</v>
      </c>
      <c r="B40" s="9" t="s">
        <v>1054</v>
      </c>
      <c r="C40" s="10">
        <v>250</v>
      </c>
      <c r="D40" s="10">
        <v>0</v>
      </c>
      <c r="E40" s="9" t="s">
        <v>50</v>
      </c>
      <c r="F40" s="9" t="s">
        <v>261</v>
      </c>
      <c r="G40" s="9" t="s">
        <v>1101</v>
      </c>
      <c r="H40" s="9"/>
      <c r="I40" s="9">
        <v>0</v>
      </c>
      <c r="J40" s="9" t="s">
        <v>1271</v>
      </c>
      <c r="K40" s="10">
        <v>0</v>
      </c>
      <c r="L40" s="9" t="s">
        <v>262</v>
      </c>
      <c r="M40" s="9"/>
      <c r="N40" s="9" t="s">
        <v>263</v>
      </c>
      <c r="S40" s="9" t="s">
        <v>377</v>
      </c>
      <c r="T40" s="9" t="s">
        <v>1762</v>
      </c>
      <c r="U40" s="10">
        <v>750</v>
      </c>
      <c r="V40" s="9" t="s">
        <v>93</v>
      </c>
    </row>
    <row r="41" spans="1:22" ht="29" x14ac:dyDescent="0.35">
      <c r="A41" s="9" t="s">
        <v>194</v>
      </c>
      <c r="B41" s="9" t="s">
        <v>1054</v>
      </c>
      <c r="C41" s="10">
        <v>250</v>
      </c>
      <c r="D41" s="10">
        <v>0</v>
      </c>
      <c r="E41" s="9" t="s">
        <v>50</v>
      </c>
      <c r="F41" s="9" t="s">
        <v>195</v>
      </c>
      <c r="G41" s="9" t="s">
        <v>1088</v>
      </c>
      <c r="H41" s="9"/>
      <c r="I41" s="9">
        <v>0</v>
      </c>
      <c r="J41" s="9" t="s">
        <v>1271</v>
      </c>
      <c r="K41" s="10">
        <v>0</v>
      </c>
      <c r="L41" s="9" t="s">
        <v>196</v>
      </c>
      <c r="M41" s="9"/>
      <c r="N41" s="9" t="s">
        <v>197</v>
      </c>
      <c r="S41" s="48" t="s">
        <v>896</v>
      </c>
      <c r="T41" s="48" t="s">
        <v>1762</v>
      </c>
      <c r="U41" s="55">
        <v>1250</v>
      </c>
      <c r="V41" s="48" t="s">
        <v>93</v>
      </c>
    </row>
    <row r="42" spans="1:22" x14ac:dyDescent="0.35">
      <c r="A42" s="9" t="s">
        <v>22</v>
      </c>
      <c r="B42" s="9" t="s">
        <v>1054</v>
      </c>
      <c r="C42" s="10">
        <v>250</v>
      </c>
      <c r="D42" s="10">
        <v>2000</v>
      </c>
      <c r="E42" s="9" t="s">
        <v>37</v>
      </c>
      <c r="F42" s="9" t="s">
        <v>25</v>
      </c>
      <c r="G42" s="9" t="s">
        <v>1063</v>
      </c>
      <c r="H42" s="94" t="s">
        <v>27</v>
      </c>
      <c r="I42" s="9"/>
      <c r="J42" s="9" t="s">
        <v>28</v>
      </c>
      <c r="K42" s="10">
        <v>2000</v>
      </c>
      <c r="L42" s="9" t="s">
        <v>29</v>
      </c>
      <c r="M42" s="9"/>
      <c r="N42" s="87" t="s">
        <v>30</v>
      </c>
      <c r="S42" s="48" t="s">
        <v>1028</v>
      </c>
      <c r="T42" s="48" t="s">
        <v>131</v>
      </c>
      <c r="U42" s="55">
        <v>5000</v>
      </c>
      <c r="V42" s="48" t="s">
        <v>90</v>
      </c>
    </row>
    <row r="43" spans="1:22" ht="72.5" x14ac:dyDescent="0.35">
      <c r="A43" s="9" t="s">
        <v>176</v>
      </c>
      <c r="B43" s="9" t="s">
        <v>1054</v>
      </c>
      <c r="C43" s="10">
        <v>250</v>
      </c>
      <c r="D43" s="10">
        <v>0</v>
      </c>
      <c r="E43" s="9" t="s">
        <v>56</v>
      </c>
      <c r="F43" s="9" t="s">
        <v>418</v>
      </c>
      <c r="G43" s="9" t="s">
        <v>1302</v>
      </c>
      <c r="H43" s="9"/>
      <c r="I43" s="9">
        <v>0</v>
      </c>
      <c r="J43" s="9"/>
      <c r="K43" s="10"/>
      <c r="L43" s="9" t="s">
        <v>1303</v>
      </c>
      <c r="M43" s="9"/>
      <c r="N43" s="87" t="s">
        <v>179</v>
      </c>
      <c r="S43" s="48" t="s">
        <v>232</v>
      </c>
      <c r="T43" s="48" t="s">
        <v>39</v>
      </c>
      <c r="U43" s="55">
        <v>1000</v>
      </c>
      <c r="V43" s="48" t="s">
        <v>24</v>
      </c>
    </row>
    <row r="44" spans="1:22" x14ac:dyDescent="0.35">
      <c r="A44" s="9" t="s">
        <v>515</v>
      </c>
      <c r="B44" s="9" t="s">
        <v>1054</v>
      </c>
      <c r="C44" s="10">
        <v>250</v>
      </c>
      <c r="D44" s="10">
        <v>1000</v>
      </c>
      <c r="E44" s="9" t="s">
        <v>24</v>
      </c>
      <c r="F44" s="9" t="s">
        <v>28</v>
      </c>
      <c r="G44" s="9"/>
      <c r="H44" s="9"/>
      <c r="I44" s="9" t="s">
        <v>1559</v>
      </c>
      <c r="J44" s="195">
        <v>45964</v>
      </c>
      <c r="K44" s="10">
        <v>1000</v>
      </c>
      <c r="L44" s="9" t="s">
        <v>518</v>
      </c>
      <c r="M44" s="9"/>
      <c r="N44" s="9" t="s">
        <v>1432</v>
      </c>
      <c r="S44" s="48" t="s">
        <v>742</v>
      </c>
      <c r="T44" s="48" t="s">
        <v>39</v>
      </c>
      <c r="U44" s="55">
        <v>2000</v>
      </c>
      <c r="V44" s="48" t="s">
        <v>24</v>
      </c>
    </row>
    <row r="45" spans="1:22" x14ac:dyDescent="0.35">
      <c r="A45" s="9" t="s">
        <v>476</v>
      </c>
      <c r="B45" s="9" t="s">
        <v>1054</v>
      </c>
      <c r="C45" s="10">
        <v>250</v>
      </c>
      <c r="D45" s="10">
        <v>750</v>
      </c>
      <c r="E45" s="9" t="s">
        <v>95</v>
      </c>
      <c r="F45" s="9" t="s">
        <v>2179</v>
      </c>
      <c r="G45" s="9" t="s">
        <v>1090</v>
      </c>
      <c r="H45" s="9"/>
      <c r="I45" s="9" t="s">
        <v>1661</v>
      </c>
      <c r="J45" s="195">
        <v>45971</v>
      </c>
      <c r="K45" s="10">
        <v>750</v>
      </c>
      <c r="L45" s="9" t="s">
        <v>535</v>
      </c>
      <c r="M45" s="9"/>
      <c r="N45" s="119" t="s">
        <v>1394</v>
      </c>
      <c r="S45" s="9" t="s">
        <v>1310</v>
      </c>
      <c r="T45" s="9" t="s">
        <v>1762</v>
      </c>
      <c r="U45" s="10">
        <v>250</v>
      </c>
      <c r="V45" s="9"/>
    </row>
    <row r="46" spans="1:22" x14ac:dyDescent="0.35">
      <c r="A46" s="9"/>
      <c r="B46" s="9" t="s">
        <v>1054</v>
      </c>
      <c r="C46" s="10">
        <v>250</v>
      </c>
      <c r="D46" s="10"/>
      <c r="E46" s="9"/>
      <c r="F46" s="9"/>
      <c r="G46" s="9"/>
      <c r="H46" s="9"/>
      <c r="I46" s="9"/>
      <c r="J46" s="9"/>
      <c r="K46" s="10"/>
      <c r="L46" s="9"/>
      <c r="M46" s="9"/>
      <c r="N46" s="9"/>
      <c r="S46" s="48" t="s">
        <v>401</v>
      </c>
      <c r="T46" s="48" t="s">
        <v>1762</v>
      </c>
      <c r="U46" s="55">
        <v>1250</v>
      </c>
      <c r="V46" s="48" t="s">
        <v>24</v>
      </c>
    </row>
    <row r="47" spans="1:22" x14ac:dyDescent="0.35">
      <c r="A47" s="9"/>
      <c r="B47" s="9" t="s">
        <v>1054</v>
      </c>
      <c r="C47" s="10">
        <v>250</v>
      </c>
      <c r="D47" s="10"/>
      <c r="E47" s="9"/>
      <c r="F47" s="9"/>
      <c r="G47" s="9"/>
      <c r="H47" s="9"/>
      <c r="I47" s="9"/>
      <c r="J47" s="9"/>
      <c r="K47" s="10"/>
      <c r="L47" s="9"/>
      <c r="M47" s="9"/>
      <c r="N47" s="9"/>
      <c r="S47" s="9" t="s">
        <v>2180</v>
      </c>
      <c r="T47" s="9" t="s">
        <v>39</v>
      </c>
      <c r="U47" s="10">
        <v>0</v>
      </c>
      <c r="V47" s="9" t="s">
        <v>192</v>
      </c>
    </row>
    <row r="48" spans="1:22" ht="58" x14ac:dyDescent="0.35">
      <c r="A48" s="9" t="s">
        <v>285</v>
      </c>
      <c r="B48" s="9" t="s">
        <v>1054</v>
      </c>
      <c r="C48" s="10">
        <v>250</v>
      </c>
      <c r="D48" s="10">
        <v>750</v>
      </c>
      <c r="E48" s="9" t="s">
        <v>95</v>
      </c>
      <c r="F48" s="9" t="s">
        <v>303</v>
      </c>
      <c r="G48" s="9"/>
      <c r="H48" s="94" t="s">
        <v>27</v>
      </c>
      <c r="I48" s="9"/>
      <c r="J48" s="9" t="s">
        <v>304</v>
      </c>
      <c r="K48" s="10">
        <v>750</v>
      </c>
      <c r="L48" s="9" t="s">
        <v>305</v>
      </c>
      <c r="M48" s="9"/>
      <c r="N48" s="9" t="s">
        <v>306</v>
      </c>
      <c r="S48" s="9" t="s">
        <v>212</v>
      </c>
      <c r="T48" s="9" t="s">
        <v>1762</v>
      </c>
      <c r="U48" s="10">
        <v>250</v>
      </c>
      <c r="V48" s="9" t="s">
        <v>76</v>
      </c>
    </row>
    <row r="49" spans="1:22" x14ac:dyDescent="0.35">
      <c r="A49" s="9" t="s">
        <v>1234</v>
      </c>
      <c r="B49" s="9" t="s">
        <v>1054</v>
      </c>
      <c r="C49" s="10">
        <v>250</v>
      </c>
      <c r="D49" s="10">
        <v>500</v>
      </c>
      <c r="E49" s="9" t="s">
        <v>90</v>
      </c>
      <c r="F49" s="9" t="s">
        <v>585</v>
      </c>
      <c r="G49" s="9"/>
      <c r="H49" s="9"/>
      <c r="I49" s="9" t="s">
        <v>534</v>
      </c>
      <c r="J49" s="195">
        <v>45916</v>
      </c>
      <c r="K49" s="9">
        <v>500</v>
      </c>
      <c r="L49" s="9" t="s">
        <v>1235</v>
      </c>
      <c r="M49" s="9"/>
      <c r="N49" s="81" t="s">
        <v>1236</v>
      </c>
      <c r="S49" s="9" t="s">
        <v>70</v>
      </c>
      <c r="T49" s="9" t="s">
        <v>1762</v>
      </c>
      <c r="U49" s="10">
        <v>250</v>
      </c>
      <c r="V49" s="9"/>
    </row>
    <row r="50" spans="1:22" ht="43.5" x14ac:dyDescent="0.35">
      <c r="A50" s="9" t="s">
        <v>747</v>
      </c>
      <c r="B50" s="9" t="s">
        <v>1054</v>
      </c>
      <c r="C50" s="10">
        <v>250</v>
      </c>
      <c r="D50" s="10">
        <v>350</v>
      </c>
      <c r="E50" s="9" t="s">
        <v>90</v>
      </c>
      <c r="F50" s="9" t="s">
        <v>1596</v>
      </c>
      <c r="G50" s="9" t="s">
        <v>2181</v>
      </c>
      <c r="H50" s="9"/>
      <c r="I50" s="115" t="s">
        <v>487</v>
      </c>
      <c r="J50" s="195">
        <v>45869</v>
      </c>
      <c r="K50" s="10">
        <v>350</v>
      </c>
      <c r="L50" s="9" t="s">
        <v>559</v>
      </c>
      <c r="M50" s="9"/>
      <c r="N50" s="87" t="s">
        <v>560</v>
      </c>
      <c r="S50" s="48" t="s">
        <v>40</v>
      </c>
      <c r="T50" s="48" t="s">
        <v>2182</v>
      </c>
      <c r="U50" s="55">
        <v>10000</v>
      </c>
      <c r="V50" s="48" t="s">
        <v>37</v>
      </c>
    </row>
    <row r="51" spans="1:22" ht="29" x14ac:dyDescent="0.35">
      <c r="A51" s="9" t="s">
        <v>2183</v>
      </c>
      <c r="B51" s="9" t="s">
        <v>1054</v>
      </c>
      <c r="C51" s="10">
        <v>250</v>
      </c>
      <c r="D51" s="10">
        <v>0</v>
      </c>
      <c r="E51" s="9" t="s">
        <v>95</v>
      </c>
      <c r="F51" s="9" t="s">
        <v>869</v>
      </c>
      <c r="G51" s="9" t="s">
        <v>1067</v>
      </c>
      <c r="H51" s="9"/>
      <c r="I51" s="9">
        <v>0</v>
      </c>
      <c r="J51" s="9"/>
      <c r="K51" s="10"/>
      <c r="L51" s="259" t="s">
        <v>975</v>
      </c>
      <c r="M51" s="9"/>
      <c r="N51" s="9" t="s">
        <v>976</v>
      </c>
      <c r="S51" s="48" t="s">
        <v>584</v>
      </c>
      <c r="T51" s="48" t="s">
        <v>1762</v>
      </c>
      <c r="U51" s="55">
        <v>0</v>
      </c>
      <c r="V51" s="48"/>
    </row>
    <row r="52" spans="1:22" x14ac:dyDescent="0.35">
      <c r="A52" s="9" t="s">
        <v>2184</v>
      </c>
      <c r="B52" s="9" t="s">
        <v>1054</v>
      </c>
      <c r="C52" s="10">
        <v>250</v>
      </c>
      <c r="D52" s="10">
        <v>0</v>
      </c>
      <c r="E52" s="9"/>
      <c r="F52" s="9" t="s">
        <v>2172</v>
      </c>
      <c r="G52" s="9" t="s">
        <v>2185</v>
      </c>
      <c r="H52" s="9"/>
      <c r="I52" s="9">
        <v>0</v>
      </c>
      <c r="J52" s="9"/>
      <c r="K52" s="10"/>
      <c r="L52" s="9"/>
      <c r="M52" s="9"/>
      <c r="N52" s="9"/>
      <c r="S52" s="48" t="s">
        <v>52</v>
      </c>
      <c r="T52" s="48" t="s">
        <v>131</v>
      </c>
      <c r="U52" s="55">
        <v>5000</v>
      </c>
      <c r="V52" s="48" t="s">
        <v>24</v>
      </c>
    </row>
    <row r="53" spans="1:22" x14ac:dyDescent="0.35">
      <c r="A53" s="9" t="s">
        <v>896</v>
      </c>
      <c r="B53" s="9" t="s">
        <v>1054</v>
      </c>
      <c r="C53" s="10">
        <v>250</v>
      </c>
      <c r="D53" s="10">
        <v>500</v>
      </c>
      <c r="E53" s="9"/>
      <c r="F53" s="9" t="s">
        <v>2186</v>
      </c>
      <c r="G53" s="9" t="s">
        <v>1101</v>
      </c>
      <c r="H53" s="9"/>
      <c r="I53" s="9">
        <v>0</v>
      </c>
      <c r="J53" s="9"/>
      <c r="K53" s="10">
        <v>500</v>
      </c>
      <c r="L53" s="9"/>
      <c r="M53" s="9"/>
      <c r="N53" s="9"/>
      <c r="S53" s="48" t="s">
        <v>1863</v>
      </c>
      <c r="T53" s="48" t="s">
        <v>39</v>
      </c>
      <c r="U53" s="55">
        <v>0</v>
      </c>
      <c r="V53" s="48" t="s">
        <v>96</v>
      </c>
    </row>
    <row r="54" spans="1:22" x14ac:dyDescent="0.35">
      <c r="A54" s="9"/>
      <c r="B54" s="9"/>
      <c r="C54" s="10"/>
      <c r="D54" s="10"/>
      <c r="E54" s="9"/>
      <c r="F54" s="9"/>
      <c r="G54" s="9"/>
      <c r="H54" s="9"/>
      <c r="I54" s="9"/>
      <c r="J54" s="9"/>
      <c r="K54" s="10"/>
      <c r="L54" s="9"/>
      <c r="M54" s="9"/>
      <c r="N54" s="9"/>
      <c r="U54" s="21"/>
    </row>
    <row r="55" spans="1:22" x14ac:dyDescent="0.35">
      <c r="K55" s="29">
        <f>SUM(K9:K49)</f>
        <v>99296.29</v>
      </c>
      <c r="U55" s="21"/>
    </row>
    <row r="56" spans="1:22" x14ac:dyDescent="0.35">
      <c r="U56" s="21"/>
    </row>
    <row r="57" spans="1:22" x14ac:dyDescent="0.35">
      <c r="U57" s="21"/>
    </row>
    <row r="58" spans="1:22" x14ac:dyDescent="0.35">
      <c r="U58" s="21"/>
    </row>
    <row r="59" spans="1:22" x14ac:dyDescent="0.35">
      <c r="U59" s="21"/>
    </row>
    <row r="61" spans="1:22" x14ac:dyDescent="0.35">
      <c r="U61" s="21"/>
    </row>
    <row r="62" spans="1:22" x14ac:dyDescent="0.35">
      <c r="U62" s="21"/>
    </row>
    <row r="63" spans="1:22" x14ac:dyDescent="0.35">
      <c r="U63" s="21"/>
    </row>
    <row r="64" spans="1:22" x14ac:dyDescent="0.35">
      <c r="U64" s="21"/>
    </row>
    <row r="65" spans="21:21" x14ac:dyDescent="0.35">
      <c r="U65" s="21"/>
    </row>
    <row r="66" spans="21:21" x14ac:dyDescent="0.35">
      <c r="U66" s="21"/>
    </row>
    <row r="67" spans="21:21" x14ac:dyDescent="0.35">
      <c r="U67" s="21"/>
    </row>
    <row r="68" spans="21:21" x14ac:dyDescent="0.35">
      <c r="U68" s="21"/>
    </row>
    <row r="69" spans="21:21" x14ac:dyDescent="0.35">
      <c r="U69" s="21"/>
    </row>
    <row r="70" spans="21:21" x14ac:dyDescent="0.35">
      <c r="U70" s="21"/>
    </row>
    <row r="71" spans="21:21" x14ac:dyDescent="0.35">
      <c r="U71" s="21"/>
    </row>
    <row r="72" spans="21:21" x14ac:dyDescent="0.35">
      <c r="U72" s="21"/>
    </row>
    <row r="73" spans="21:21" x14ac:dyDescent="0.35">
      <c r="U73" s="21"/>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V73">
    <sortCondition ref="S9:S73"/>
  </sortState>
  <hyperlinks>
    <hyperlink ref="N12" r:id="rId2" display="mailto:Crystal.Floyd@acxiom.com" xr:uid="{11DF45D6-55B9-4A94-83AD-086D71DE6F58}"/>
    <hyperlink ref="N39" r:id="rId3" display="mailto:michellemallett@ottinsurance.com" xr:uid="{F3660E41-C159-40C1-BD35-54DB11A65FEE}"/>
    <hyperlink ref="N42" r:id="rId4" display="mailto:jay.bernard.l8if@statefarm.com" xr:uid="{56D43773-BD4B-4DED-8874-0939F21FEED5}"/>
    <hyperlink ref="N43" r:id="rId5" display="mailto:jake.turpin@claytonhomes.com" xr:uid="{C12EFD13-FE6A-4329-BD46-17168BFCE1D6}"/>
    <hyperlink ref="N9" r:id="rId6" display="mailto:Lori.Melton@firstcommunity.net" xr:uid="{CBE422DF-3DC3-46B4-9B39-D534AD12C85D}"/>
    <hyperlink ref="N31" r:id="rId7" display="mailto:pmoon@meridiania.com" xr:uid="{EFCDA61E-5239-4FA0-BFCA-2C904FB9BE01}"/>
    <hyperlink ref="N25" r:id="rId8" display="mailto:ahorton@uca.edu" xr:uid="{CF67739B-358C-46EE-937A-8E2C2BD71C78}"/>
    <hyperlink ref="N17" r:id="rId9" xr:uid="{9AFCF5FA-8D3F-4A62-B257-DC1E73031724}"/>
    <hyperlink ref="N49" r:id="rId10" xr:uid="{8761BE35-20CE-45E0-A6FD-B87C6BF2E518}"/>
    <hyperlink ref="N50" r:id="rId11" display="mailto:heather.finch@staleyelectric.com" xr:uid="{C84D728D-CB4A-446C-9D88-48B187151FB8}"/>
    <hyperlink ref="N20" r:id="rId12" display="mailto:sotees@hotmail.com" xr:uid="{F7CF087A-151A-4329-AE2B-897E8D56C505}"/>
    <hyperlink ref="N45" r:id="rId13" display="mailto:dgoforth@afcu.org" xr:uid="{79F6C248-68D6-414C-AB35-32A70C70A36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DC9E3-5522-4CD0-B1C3-8C70377E7609}">
  <dimension ref="A1:V317"/>
  <sheetViews>
    <sheetView workbookViewId="0">
      <pane ySplit="8" topLeftCell="A38" activePane="bottomLeft" state="frozen"/>
      <selection pane="bottomLeft" activeCell="J58" sqref="J58"/>
    </sheetView>
  </sheetViews>
  <sheetFormatPr defaultColWidth="9.1796875" defaultRowHeight="14.5" x14ac:dyDescent="0.35"/>
  <cols>
    <col min="1" max="1" width="37.7265625" style="23" bestFit="1" customWidth="1"/>
    <col min="2" max="2" width="33" style="23" bestFit="1" customWidth="1"/>
    <col min="3" max="3" width="9.1796875" style="23" bestFit="1" customWidth="1"/>
    <col min="4" max="4" width="15.81640625" style="23" bestFit="1" customWidth="1"/>
    <col min="5" max="5" width="8.7265625" style="23" bestFit="1" customWidth="1"/>
    <col min="6" max="6" width="11.1796875" style="210" bestFit="1" customWidth="1"/>
    <col min="7" max="7" width="35.81640625" style="23" customWidth="1"/>
    <col min="8" max="8" width="16.26953125" style="23" bestFit="1" customWidth="1"/>
    <col min="9" max="9" width="12" style="23" customWidth="1"/>
    <col min="10" max="10" width="11" style="23" bestFit="1" customWidth="1"/>
    <col min="11" max="11" width="14.453125" style="23" bestFit="1" customWidth="1"/>
    <col min="12" max="12" width="29.453125" style="23" customWidth="1"/>
    <col min="13" max="13" width="22.54296875" style="23" customWidth="1"/>
    <col min="14" max="14" width="37.453125" style="23" bestFit="1" customWidth="1"/>
    <col min="15" max="15" width="9.1796875" style="23"/>
    <col min="16" max="16" width="11" style="23" bestFit="1" customWidth="1"/>
    <col min="17" max="17" width="9.7265625" style="23" bestFit="1" customWidth="1"/>
    <col min="18" max="18" width="9.1796875" style="23"/>
    <col min="19" max="19" width="38.54296875" style="23" bestFit="1" customWidth="1"/>
    <col min="20" max="20" width="21.7265625" style="23" bestFit="1" customWidth="1"/>
    <col min="21" max="21" width="15.81640625" style="23" bestFit="1" customWidth="1"/>
    <col min="22" max="22" width="8.7265625" style="23" bestFit="1" customWidth="1"/>
    <col min="23" max="16384" width="9.1796875" style="23"/>
  </cols>
  <sheetData>
    <row r="1" spans="1:22" x14ac:dyDescent="0.35">
      <c r="A1" s="22" t="s">
        <v>2187</v>
      </c>
      <c r="B1" s="4">
        <v>2025</v>
      </c>
      <c r="S1" s="22" t="s">
        <v>2188</v>
      </c>
      <c r="T1" s="22">
        <v>2024</v>
      </c>
    </row>
    <row r="2" spans="1:22" x14ac:dyDescent="0.35">
      <c r="A2" s="24" t="s">
        <v>1</v>
      </c>
      <c r="B2" s="24">
        <f>SUM(D9:D104)</f>
        <v>72555</v>
      </c>
      <c r="G2" s="24"/>
      <c r="K2" s="149" t="s">
        <v>2</v>
      </c>
      <c r="S2" s="24" t="s">
        <v>1</v>
      </c>
      <c r="T2" s="24">
        <f>SUM(U9:U91)</f>
        <v>56100</v>
      </c>
    </row>
    <row r="3" spans="1:22" ht="43.5" x14ac:dyDescent="0.35">
      <c r="A3" s="24" t="s">
        <v>3</v>
      </c>
      <c r="B3" s="24">
        <v>40000</v>
      </c>
      <c r="G3" s="25" t="s">
        <v>2189</v>
      </c>
      <c r="K3" s="7">
        <f>SUM(K105-B2)</f>
        <v>-9000</v>
      </c>
      <c r="S3" s="24" t="s">
        <v>3</v>
      </c>
      <c r="T3" s="24">
        <v>38000</v>
      </c>
    </row>
    <row r="4" spans="1:22" x14ac:dyDescent="0.35">
      <c r="A4" s="24" t="s">
        <v>4</v>
      </c>
      <c r="B4" s="24">
        <f>MIN(B2-B3)</f>
        <v>32555</v>
      </c>
      <c r="K4" s="42">
        <f>K105/B2</f>
        <v>0.87595617118048374</v>
      </c>
      <c r="S4" s="24" t="s">
        <v>4</v>
      </c>
      <c r="T4" s="24">
        <f>MIN(T2-T3)</f>
        <v>18100</v>
      </c>
    </row>
    <row r="5" spans="1:22" x14ac:dyDescent="0.35">
      <c r="A5" s="24" t="s">
        <v>5</v>
      </c>
      <c r="B5" s="24">
        <v>60000</v>
      </c>
      <c r="S5" s="24" t="s">
        <v>5</v>
      </c>
      <c r="T5" s="24">
        <v>55000</v>
      </c>
    </row>
    <row r="6" spans="1:22" x14ac:dyDescent="0.35">
      <c r="A6" s="24" t="s">
        <v>4</v>
      </c>
      <c r="B6" s="24">
        <f>MIN(B2-B5)</f>
        <v>12555</v>
      </c>
      <c r="S6" s="24" t="s">
        <v>4</v>
      </c>
      <c r="T6" s="24">
        <f>MIN(T2-T5)</f>
        <v>1100</v>
      </c>
    </row>
    <row r="8" spans="1:22" x14ac:dyDescent="0.35">
      <c r="A8" s="150" t="s">
        <v>6</v>
      </c>
      <c r="B8" s="150" t="s">
        <v>7</v>
      </c>
      <c r="C8" s="150" t="s">
        <v>8</v>
      </c>
      <c r="D8" s="150" t="s">
        <v>9</v>
      </c>
      <c r="E8" s="150" t="s">
        <v>10</v>
      </c>
      <c r="F8" s="211" t="s">
        <v>11</v>
      </c>
      <c r="G8" s="150" t="s">
        <v>12</v>
      </c>
      <c r="H8" s="149" t="s">
        <v>13</v>
      </c>
      <c r="I8" s="150" t="s">
        <v>14</v>
      </c>
      <c r="J8" s="150" t="s">
        <v>15</v>
      </c>
      <c r="K8" s="150" t="s">
        <v>16</v>
      </c>
      <c r="L8" s="150" t="s">
        <v>17</v>
      </c>
      <c r="M8" s="150" t="s">
        <v>18</v>
      </c>
      <c r="N8" s="150" t="s">
        <v>19</v>
      </c>
      <c r="P8" s="152" t="s">
        <v>10</v>
      </c>
      <c r="Q8" s="152" t="s">
        <v>20</v>
      </c>
      <c r="S8" s="26" t="s">
        <v>6</v>
      </c>
      <c r="T8" s="26" t="s">
        <v>21</v>
      </c>
      <c r="U8" s="26" t="s">
        <v>9</v>
      </c>
      <c r="V8" s="26" t="s">
        <v>10</v>
      </c>
    </row>
    <row r="9" spans="1:22" x14ac:dyDescent="0.35">
      <c r="A9" s="27" t="s">
        <v>141</v>
      </c>
      <c r="B9" s="27" t="s">
        <v>23</v>
      </c>
      <c r="C9" s="10">
        <v>7500</v>
      </c>
      <c r="D9" s="10">
        <v>5000</v>
      </c>
      <c r="E9" s="27" t="s">
        <v>86</v>
      </c>
      <c r="F9" s="156" t="s">
        <v>142</v>
      </c>
      <c r="G9" s="27"/>
      <c r="H9" s="27"/>
      <c r="I9" s="27" t="s">
        <v>2190</v>
      </c>
      <c r="J9" s="195">
        <v>45891</v>
      </c>
      <c r="K9" s="27">
        <v>5000</v>
      </c>
      <c r="L9" s="27" t="s">
        <v>144</v>
      </c>
      <c r="M9" s="27"/>
      <c r="N9" s="27"/>
      <c r="P9" s="156" t="s">
        <v>24</v>
      </c>
      <c r="Q9" s="27">
        <v>11050</v>
      </c>
      <c r="S9" s="27" t="s">
        <v>730</v>
      </c>
      <c r="T9" s="27" t="s">
        <v>2191</v>
      </c>
      <c r="U9" s="27">
        <v>450</v>
      </c>
      <c r="V9" s="27" t="s">
        <v>76</v>
      </c>
    </row>
    <row r="10" spans="1:22" x14ac:dyDescent="0.35">
      <c r="A10" s="27" t="s">
        <v>187</v>
      </c>
      <c r="B10" s="27" t="s">
        <v>32</v>
      </c>
      <c r="C10" s="10">
        <v>5000</v>
      </c>
      <c r="D10" s="10">
        <v>2500</v>
      </c>
      <c r="E10" s="27" t="s">
        <v>24</v>
      </c>
      <c r="F10" s="156" t="s">
        <v>189</v>
      </c>
      <c r="G10" s="27"/>
      <c r="H10" s="157" t="s">
        <v>27</v>
      </c>
      <c r="I10" s="27"/>
      <c r="J10" s="27" t="s">
        <v>172</v>
      </c>
      <c r="K10" s="27">
        <v>2500</v>
      </c>
      <c r="L10" s="27" t="s">
        <v>190</v>
      </c>
      <c r="M10" s="27"/>
      <c r="N10" s="27" t="s">
        <v>191</v>
      </c>
      <c r="P10" s="156" t="s">
        <v>37</v>
      </c>
      <c r="Q10" s="27">
        <v>8455</v>
      </c>
      <c r="S10" s="83" t="s">
        <v>2115</v>
      </c>
      <c r="T10" s="83" t="s">
        <v>2191</v>
      </c>
      <c r="U10" s="83">
        <v>0</v>
      </c>
      <c r="V10" s="27"/>
    </row>
    <row r="11" spans="1:22" x14ac:dyDescent="0.35">
      <c r="A11" s="27" t="s">
        <v>727</v>
      </c>
      <c r="B11" s="27" t="s">
        <v>32</v>
      </c>
      <c r="C11" s="10">
        <v>5000</v>
      </c>
      <c r="D11" s="10">
        <v>4500</v>
      </c>
      <c r="E11" s="27" t="s">
        <v>86</v>
      </c>
      <c r="F11" s="156" t="s">
        <v>206</v>
      </c>
      <c r="G11" s="27"/>
      <c r="H11" s="27"/>
      <c r="I11" s="27" t="s">
        <v>2190</v>
      </c>
      <c r="J11" s="27"/>
      <c r="K11" s="27"/>
      <c r="L11" s="27" t="s">
        <v>728</v>
      </c>
      <c r="M11" s="27"/>
      <c r="N11" s="158" t="s">
        <v>729</v>
      </c>
      <c r="P11" s="156" t="s">
        <v>47</v>
      </c>
      <c r="Q11" s="27"/>
      <c r="S11" s="202" t="s">
        <v>748</v>
      </c>
      <c r="T11" s="202" t="s">
        <v>2191</v>
      </c>
      <c r="U11" s="202">
        <v>0</v>
      </c>
      <c r="V11" s="202"/>
    </row>
    <row r="12" spans="1:22" ht="101.5" x14ac:dyDescent="0.35">
      <c r="A12" s="27" t="s">
        <v>204</v>
      </c>
      <c r="B12" s="27" t="s">
        <v>32</v>
      </c>
      <c r="C12" s="10">
        <v>5000</v>
      </c>
      <c r="D12" s="10">
        <v>3955</v>
      </c>
      <c r="E12" s="27" t="s">
        <v>37</v>
      </c>
      <c r="F12" s="156" t="s">
        <v>206</v>
      </c>
      <c r="G12" s="27" t="s">
        <v>2192</v>
      </c>
      <c r="H12" s="154"/>
      <c r="I12" s="27" t="s">
        <v>2190</v>
      </c>
      <c r="J12" s="27">
        <v>45981</v>
      </c>
      <c r="K12" s="27">
        <v>3955</v>
      </c>
      <c r="L12" s="27" t="s">
        <v>209</v>
      </c>
      <c r="M12" s="205" t="s">
        <v>210</v>
      </c>
      <c r="N12" s="27" t="s">
        <v>211</v>
      </c>
      <c r="P12" s="156" t="s">
        <v>50</v>
      </c>
      <c r="Q12" s="27"/>
      <c r="S12" s="83" t="s">
        <v>114</v>
      </c>
      <c r="T12" s="83" t="s">
        <v>2191</v>
      </c>
      <c r="U12" s="83">
        <v>450</v>
      </c>
      <c r="V12" s="83" t="s">
        <v>96</v>
      </c>
    </row>
    <row r="13" spans="1:22" x14ac:dyDescent="0.35">
      <c r="A13" s="27" t="s">
        <v>48</v>
      </c>
      <c r="B13" s="27" t="s">
        <v>2193</v>
      </c>
      <c r="C13" s="10">
        <v>2500</v>
      </c>
      <c r="D13" s="10">
        <v>2500</v>
      </c>
      <c r="E13" s="27" t="s">
        <v>24</v>
      </c>
      <c r="F13" s="156" t="s">
        <v>64</v>
      </c>
      <c r="G13" s="27"/>
      <c r="H13" s="27"/>
      <c r="I13" s="27" t="s">
        <v>2190</v>
      </c>
      <c r="J13" s="27" t="s">
        <v>2194</v>
      </c>
      <c r="K13" s="27">
        <v>2500</v>
      </c>
      <c r="L13" s="27" t="s">
        <v>66</v>
      </c>
      <c r="M13" s="27"/>
      <c r="N13" s="27" t="s">
        <v>67</v>
      </c>
      <c r="P13" s="156" t="s">
        <v>56</v>
      </c>
      <c r="Q13" s="27"/>
      <c r="S13" s="202" t="s">
        <v>754</v>
      </c>
      <c r="T13" s="202" t="s">
        <v>131</v>
      </c>
      <c r="U13" s="202">
        <v>1000</v>
      </c>
      <c r="V13" s="202" t="s">
        <v>68</v>
      </c>
    </row>
    <row r="14" spans="1:22" x14ac:dyDescent="0.35">
      <c r="A14" s="27" t="s">
        <v>352</v>
      </c>
      <c r="B14" s="27" t="s">
        <v>2193</v>
      </c>
      <c r="C14" s="10">
        <v>2500</v>
      </c>
      <c r="D14" s="10">
        <v>2500</v>
      </c>
      <c r="E14" s="27" t="s">
        <v>92</v>
      </c>
      <c r="F14" s="156" t="s">
        <v>353</v>
      </c>
      <c r="G14" s="27"/>
      <c r="H14" s="27"/>
      <c r="I14" s="27" t="s">
        <v>2190</v>
      </c>
      <c r="J14" s="195">
        <v>45884</v>
      </c>
      <c r="K14" s="27">
        <v>2500</v>
      </c>
      <c r="L14" s="27" t="s">
        <v>354</v>
      </c>
      <c r="M14" s="27"/>
      <c r="N14" s="155" t="s">
        <v>355</v>
      </c>
      <c r="P14" s="156" t="s">
        <v>62</v>
      </c>
      <c r="Q14" s="27"/>
      <c r="S14" s="83" t="s">
        <v>531</v>
      </c>
      <c r="T14" s="83" t="s">
        <v>2191</v>
      </c>
      <c r="U14" s="83">
        <v>450</v>
      </c>
      <c r="V14" s="83" t="s">
        <v>96</v>
      </c>
    </row>
    <row r="15" spans="1:22" x14ac:dyDescent="0.35">
      <c r="A15" s="27" t="s">
        <v>831</v>
      </c>
      <c r="B15" s="27" t="s">
        <v>2193</v>
      </c>
      <c r="C15" s="10">
        <v>2500</v>
      </c>
      <c r="D15" s="10">
        <v>2000</v>
      </c>
      <c r="E15" s="27" t="s">
        <v>90</v>
      </c>
      <c r="F15" s="156" t="s">
        <v>270</v>
      </c>
      <c r="G15" s="27" t="s">
        <v>2195</v>
      </c>
      <c r="H15" s="27"/>
      <c r="I15" s="27" t="s">
        <v>2190</v>
      </c>
      <c r="J15" s="195">
        <v>46006</v>
      </c>
      <c r="K15" s="27">
        <v>2000</v>
      </c>
      <c r="L15" s="27" t="s">
        <v>832</v>
      </c>
      <c r="M15" s="27"/>
      <c r="N15" s="155" t="s">
        <v>833</v>
      </c>
      <c r="P15" s="156" t="s">
        <v>68</v>
      </c>
      <c r="Q15" s="27">
        <v>650</v>
      </c>
      <c r="S15" s="83" t="s">
        <v>759</v>
      </c>
      <c r="T15" s="83" t="s">
        <v>32</v>
      </c>
      <c r="U15" s="83">
        <v>5000</v>
      </c>
      <c r="V15" s="83" t="s">
        <v>86</v>
      </c>
    </row>
    <row r="16" spans="1:22" x14ac:dyDescent="0.35">
      <c r="A16" s="27" t="s">
        <v>549</v>
      </c>
      <c r="B16" s="27" t="s">
        <v>2193</v>
      </c>
      <c r="C16" s="10">
        <v>2500</v>
      </c>
      <c r="D16" s="10">
        <v>0</v>
      </c>
      <c r="E16" s="27" t="s">
        <v>95</v>
      </c>
      <c r="F16" s="156" t="s">
        <v>439</v>
      </c>
      <c r="G16" s="27" t="s">
        <v>2196</v>
      </c>
      <c r="H16" s="27"/>
      <c r="I16" s="27">
        <v>0</v>
      </c>
      <c r="J16" s="27"/>
      <c r="K16" s="27"/>
      <c r="L16" s="27" t="s">
        <v>550</v>
      </c>
      <c r="M16" s="27"/>
      <c r="N16" s="155" t="s">
        <v>551</v>
      </c>
      <c r="P16" s="156" t="s">
        <v>76</v>
      </c>
      <c r="Q16" s="27">
        <v>16300</v>
      </c>
      <c r="S16" s="83" t="s">
        <v>2197</v>
      </c>
      <c r="T16" s="83" t="s">
        <v>39</v>
      </c>
      <c r="U16" s="83">
        <v>650</v>
      </c>
      <c r="V16" s="83"/>
    </row>
    <row r="17" spans="1:22" x14ac:dyDescent="0.35">
      <c r="A17" s="27" t="s">
        <v>87</v>
      </c>
      <c r="B17" s="27" t="s">
        <v>2193</v>
      </c>
      <c r="C17" s="10">
        <v>2500</v>
      </c>
      <c r="D17" s="10">
        <v>2000</v>
      </c>
      <c r="E17" s="27" t="s">
        <v>24</v>
      </c>
      <c r="F17" s="156" t="s">
        <v>768</v>
      </c>
      <c r="G17" s="27"/>
      <c r="H17" s="27"/>
      <c r="I17" s="27" t="s">
        <v>2190</v>
      </c>
      <c r="J17" s="195">
        <v>45903</v>
      </c>
      <c r="K17" s="27">
        <v>2000</v>
      </c>
      <c r="L17" s="27" t="s">
        <v>769</v>
      </c>
      <c r="M17" s="27"/>
      <c r="N17" s="27" t="s">
        <v>770</v>
      </c>
      <c r="P17" s="156" t="s">
        <v>81</v>
      </c>
      <c r="Q17" s="27">
        <v>450</v>
      </c>
      <c r="S17" s="219" t="s">
        <v>2198</v>
      </c>
      <c r="T17" s="219" t="s">
        <v>2191</v>
      </c>
      <c r="U17" s="219">
        <v>450</v>
      </c>
      <c r="V17" s="219" t="s">
        <v>93</v>
      </c>
    </row>
    <row r="18" spans="1:22" x14ac:dyDescent="0.35">
      <c r="A18" s="27" t="s">
        <v>165</v>
      </c>
      <c r="B18" s="27" t="s">
        <v>2193</v>
      </c>
      <c r="C18" s="10">
        <v>2500</v>
      </c>
      <c r="D18" s="10">
        <v>0</v>
      </c>
      <c r="E18" s="27" t="s">
        <v>95</v>
      </c>
      <c r="F18" s="156" t="s">
        <v>59</v>
      </c>
      <c r="G18" s="27" t="s">
        <v>2199</v>
      </c>
      <c r="H18" s="27"/>
      <c r="I18" s="27">
        <v>0</v>
      </c>
      <c r="J18" s="195"/>
      <c r="K18" s="27"/>
      <c r="L18" s="27" t="s">
        <v>2200</v>
      </c>
      <c r="M18" s="27" t="s">
        <v>2201</v>
      </c>
      <c r="N18" s="27"/>
      <c r="P18" s="156" t="s">
        <v>86</v>
      </c>
      <c r="Q18" s="27">
        <v>9500</v>
      </c>
      <c r="S18" s="83" t="s">
        <v>634</v>
      </c>
      <c r="T18" s="83" t="s">
        <v>2191</v>
      </c>
      <c r="U18" s="83">
        <v>450</v>
      </c>
      <c r="V18" s="83" t="s">
        <v>93</v>
      </c>
    </row>
    <row r="19" spans="1:22" x14ac:dyDescent="0.35">
      <c r="A19" s="27"/>
      <c r="B19" s="27" t="s">
        <v>2202</v>
      </c>
      <c r="C19" s="10">
        <v>2500</v>
      </c>
      <c r="D19" s="10"/>
      <c r="E19" s="27"/>
      <c r="F19" s="156"/>
      <c r="G19" s="27"/>
      <c r="H19" s="27"/>
      <c r="I19" s="27"/>
      <c r="J19" s="195"/>
      <c r="K19" s="27"/>
      <c r="L19" s="27"/>
      <c r="M19" s="27"/>
      <c r="N19" s="27"/>
      <c r="P19" s="156" t="s">
        <v>90</v>
      </c>
      <c r="Q19" s="27">
        <v>2450</v>
      </c>
      <c r="S19" s="83" t="s">
        <v>135</v>
      </c>
      <c r="T19" s="83" t="s">
        <v>23</v>
      </c>
      <c r="U19" s="83">
        <v>5000</v>
      </c>
      <c r="V19" s="83" t="s">
        <v>86</v>
      </c>
    </row>
    <row r="20" spans="1:22" ht="29" x14ac:dyDescent="0.35">
      <c r="A20" s="27" t="s">
        <v>212</v>
      </c>
      <c r="B20" s="27" t="s">
        <v>2203</v>
      </c>
      <c r="C20" s="10">
        <v>2500</v>
      </c>
      <c r="D20" s="10">
        <v>2500</v>
      </c>
      <c r="E20" s="27" t="s">
        <v>76</v>
      </c>
      <c r="F20" s="156" t="s">
        <v>206</v>
      </c>
      <c r="G20" s="27" t="s">
        <v>2204</v>
      </c>
      <c r="H20" s="157" t="s">
        <v>27</v>
      </c>
      <c r="I20" s="27"/>
      <c r="J20" s="195" t="s">
        <v>215</v>
      </c>
      <c r="K20" s="27">
        <v>2500</v>
      </c>
      <c r="L20" s="27"/>
      <c r="M20" s="27"/>
      <c r="N20" s="27" t="s">
        <v>2128</v>
      </c>
      <c r="P20" s="156" t="s">
        <v>91</v>
      </c>
      <c r="Q20" s="27"/>
      <c r="S20" s="83" t="s">
        <v>490</v>
      </c>
      <c r="T20" s="83" t="s">
        <v>39</v>
      </c>
      <c r="U20" s="83">
        <v>650</v>
      </c>
      <c r="V20" s="83" t="s">
        <v>93</v>
      </c>
    </row>
    <row r="21" spans="1:22" x14ac:dyDescent="0.35">
      <c r="A21" s="27" t="s">
        <v>764</v>
      </c>
      <c r="B21" s="27" t="s">
        <v>2205</v>
      </c>
      <c r="C21" s="10">
        <v>2500</v>
      </c>
      <c r="D21" s="10">
        <v>1000</v>
      </c>
      <c r="E21" s="27" t="s">
        <v>92</v>
      </c>
      <c r="F21" s="156" t="s">
        <v>253</v>
      </c>
      <c r="G21" s="27"/>
      <c r="H21" s="27"/>
      <c r="I21" s="27" t="s">
        <v>2190</v>
      </c>
      <c r="J21" s="195">
        <v>45895</v>
      </c>
      <c r="K21" s="27">
        <v>1000</v>
      </c>
      <c r="L21" s="27" t="s">
        <v>765</v>
      </c>
      <c r="M21" s="27"/>
      <c r="N21" s="155" t="s">
        <v>766</v>
      </c>
      <c r="P21" s="156" t="s">
        <v>92</v>
      </c>
      <c r="Q21" s="27">
        <v>10300</v>
      </c>
      <c r="S21" s="202" t="s">
        <v>781</v>
      </c>
      <c r="T21" s="202" t="s">
        <v>2191</v>
      </c>
      <c r="U21" s="202">
        <v>0</v>
      </c>
      <c r="V21" s="202"/>
    </row>
    <row r="22" spans="1:22" x14ac:dyDescent="0.35">
      <c r="A22" s="27" t="s">
        <v>1348</v>
      </c>
      <c r="B22" s="27" t="s">
        <v>2205</v>
      </c>
      <c r="C22" s="10">
        <v>2500</v>
      </c>
      <c r="D22" s="10">
        <v>2500</v>
      </c>
      <c r="E22" s="27" t="s">
        <v>24</v>
      </c>
      <c r="F22" s="156" t="s">
        <v>25</v>
      </c>
      <c r="G22" s="27"/>
      <c r="H22" s="27"/>
      <c r="I22" s="27" t="s">
        <v>2190</v>
      </c>
      <c r="J22" s="195" t="s">
        <v>664</v>
      </c>
      <c r="K22" s="27">
        <v>2500</v>
      </c>
      <c r="L22" s="27" t="s">
        <v>1350</v>
      </c>
      <c r="M22" s="27"/>
      <c r="N22" s="27" t="s">
        <v>1351</v>
      </c>
      <c r="P22" s="156" t="s">
        <v>93</v>
      </c>
      <c r="Q22" s="27">
        <v>6900</v>
      </c>
      <c r="S22" s="83" t="s">
        <v>1348</v>
      </c>
      <c r="T22" s="83" t="s">
        <v>2205</v>
      </c>
      <c r="U22" s="83">
        <v>2500</v>
      </c>
      <c r="V22" s="83" t="s">
        <v>24</v>
      </c>
    </row>
    <row r="23" spans="1:22" x14ac:dyDescent="0.35">
      <c r="A23" s="27" t="s">
        <v>1348</v>
      </c>
      <c r="B23" s="27" t="s">
        <v>2206</v>
      </c>
      <c r="C23" s="10">
        <v>1250</v>
      </c>
      <c r="D23" s="10">
        <v>0</v>
      </c>
      <c r="E23" s="27" t="s">
        <v>24</v>
      </c>
      <c r="F23" s="156" t="s">
        <v>25</v>
      </c>
      <c r="G23" s="27" t="s">
        <v>2135</v>
      </c>
      <c r="H23" s="27"/>
      <c r="I23" s="27">
        <v>0</v>
      </c>
      <c r="J23" s="195"/>
      <c r="K23" s="27">
        <v>0</v>
      </c>
      <c r="L23" s="27" t="s">
        <v>1350</v>
      </c>
      <c r="M23" s="27"/>
      <c r="N23" s="155" t="s">
        <v>1351</v>
      </c>
      <c r="P23" s="156" t="s">
        <v>94</v>
      </c>
      <c r="Q23" s="27"/>
      <c r="S23" s="83" t="s">
        <v>1348</v>
      </c>
      <c r="T23" s="83" t="s">
        <v>2206</v>
      </c>
      <c r="U23" s="83">
        <v>0</v>
      </c>
      <c r="V23" s="83" t="s">
        <v>24</v>
      </c>
    </row>
    <row r="24" spans="1:22" ht="43.5" x14ac:dyDescent="0.35">
      <c r="A24" s="27" t="s">
        <v>52</v>
      </c>
      <c r="B24" s="27" t="s">
        <v>2207</v>
      </c>
      <c r="C24" s="10">
        <v>2000</v>
      </c>
      <c r="D24" s="10">
        <v>4000</v>
      </c>
      <c r="E24" s="27" t="s">
        <v>37</v>
      </c>
      <c r="F24" s="156" t="s">
        <v>53</v>
      </c>
      <c r="G24" s="27" t="s">
        <v>2208</v>
      </c>
      <c r="H24" s="157" t="s">
        <v>27</v>
      </c>
      <c r="I24" s="27"/>
      <c r="J24" s="195">
        <v>45908</v>
      </c>
      <c r="K24" s="27">
        <v>4000</v>
      </c>
      <c r="L24" s="27" t="s">
        <v>54</v>
      </c>
      <c r="M24" s="27"/>
      <c r="N24" s="27" t="s">
        <v>55</v>
      </c>
      <c r="P24" s="156" t="s">
        <v>95</v>
      </c>
      <c r="Q24" s="27">
        <v>2250</v>
      </c>
      <c r="S24" s="27" t="s">
        <v>2209</v>
      </c>
      <c r="T24" s="27" t="s">
        <v>2191</v>
      </c>
      <c r="U24" s="27">
        <v>450</v>
      </c>
      <c r="V24" s="27" t="s">
        <v>76</v>
      </c>
    </row>
    <row r="25" spans="1:22" x14ac:dyDescent="0.35">
      <c r="A25" s="82" t="s">
        <v>1753</v>
      </c>
      <c r="B25" s="82" t="s">
        <v>1742</v>
      </c>
      <c r="C25" s="20">
        <v>2000</v>
      </c>
      <c r="D25" s="20">
        <v>2000</v>
      </c>
      <c r="E25" s="82" t="s">
        <v>97</v>
      </c>
      <c r="F25" s="213" t="s">
        <v>44</v>
      </c>
      <c r="G25" s="82"/>
      <c r="H25" s="82"/>
      <c r="I25" s="82" t="s">
        <v>2210</v>
      </c>
      <c r="J25" s="256" t="s">
        <v>2047</v>
      </c>
      <c r="K25" s="82">
        <v>2000</v>
      </c>
      <c r="L25" s="82" t="s">
        <v>1371</v>
      </c>
      <c r="M25" s="82"/>
      <c r="N25" s="86" t="s">
        <v>2211</v>
      </c>
      <c r="P25" s="156" t="s">
        <v>96</v>
      </c>
      <c r="Q25" s="27">
        <v>450</v>
      </c>
      <c r="S25" s="83" t="s">
        <v>368</v>
      </c>
      <c r="T25" s="83" t="s">
        <v>131</v>
      </c>
      <c r="U25" s="83">
        <v>1000</v>
      </c>
      <c r="V25" s="83" t="s">
        <v>93</v>
      </c>
    </row>
    <row r="26" spans="1:22" x14ac:dyDescent="0.35">
      <c r="A26" s="27" t="s">
        <v>368</v>
      </c>
      <c r="B26" s="27" t="s">
        <v>2212</v>
      </c>
      <c r="C26" s="10">
        <v>2000</v>
      </c>
      <c r="D26" s="10">
        <v>2000</v>
      </c>
      <c r="E26" s="27" t="s">
        <v>93</v>
      </c>
      <c r="F26" s="156" t="s">
        <v>771</v>
      </c>
      <c r="G26" s="27" t="s">
        <v>2213</v>
      </c>
      <c r="H26" s="27"/>
      <c r="I26" s="27" t="s">
        <v>2214</v>
      </c>
      <c r="J26" s="195">
        <v>45877</v>
      </c>
      <c r="K26" s="27">
        <v>2000</v>
      </c>
      <c r="L26" s="27"/>
      <c r="M26" s="27"/>
      <c r="N26" s="27"/>
      <c r="P26" s="156" t="s">
        <v>97</v>
      </c>
      <c r="Q26" s="27">
        <v>2000</v>
      </c>
      <c r="S26" s="83" t="s">
        <v>140</v>
      </c>
      <c r="T26" s="83" t="s">
        <v>1742</v>
      </c>
      <c r="U26" s="83">
        <v>2000</v>
      </c>
      <c r="V26" s="83" t="s">
        <v>24</v>
      </c>
    </row>
    <row r="27" spans="1:22" ht="43.5" x14ac:dyDescent="0.35">
      <c r="A27" s="27" t="s">
        <v>872</v>
      </c>
      <c r="B27" s="27" t="s">
        <v>2215</v>
      </c>
      <c r="C27" s="10">
        <v>2000</v>
      </c>
      <c r="D27" s="10">
        <v>2000</v>
      </c>
      <c r="E27" s="27" t="s">
        <v>76</v>
      </c>
      <c r="F27" s="156" t="s">
        <v>514</v>
      </c>
      <c r="G27" s="27" t="s">
        <v>2216</v>
      </c>
      <c r="H27" s="27"/>
      <c r="I27" s="27" t="s">
        <v>2217</v>
      </c>
      <c r="J27" s="195">
        <v>45902</v>
      </c>
      <c r="K27" s="27">
        <v>2000</v>
      </c>
      <c r="L27" s="27"/>
      <c r="M27" s="27"/>
      <c r="N27" s="27"/>
      <c r="P27" s="156" t="s">
        <v>98</v>
      </c>
      <c r="Q27" s="27">
        <v>1800</v>
      </c>
      <c r="S27" s="83" t="s">
        <v>338</v>
      </c>
      <c r="T27" s="83" t="s">
        <v>2191</v>
      </c>
      <c r="U27" s="83">
        <v>450</v>
      </c>
      <c r="V27" s="83" t="s">
        <v>95</v>
      </c>
    </row>
    <row r="28" spans="1:22" x14ac:dyDescent="0.35">
      <c r="A28" s="27" t="s">
        <v>2218</v>
      </c>
      <c r="B28" s="27" t="s">
        <v>131</v>
      </c>
      <c r="C28" s="10">
        <v>1000</v>
      </c>
      <c r="D28" s="10">
        <v>1250</v>
      </c>
      <c r="E28" s="27" t="s">
        <v>76</v>
      </c>
      <c r="F28" s="156" t="s">
        <v>1162</v>
      </c>
      <c r="G28" s="27" t="s">
        <v>2219</v>
      </c>
      <c r="H28" s="27"/>
      <c r="I28" s="27" t="s">
        <v>2220</v>
      </c>
      <c r="J28" s="195" t="s">
        <v>703</v>
      </c>
      <c r="K28" s="27">
        <v>1250</v>
      </c>
      <c r="L28" s="27" t="s">
        <v>2221</v>
      </c>
      <c r="M28" s="27"/>
      <c r="N28" s="155" t="s">
        <v>2222</v>
      </c>
      <c r="P28" s="159" t="s">
        <v>99</v>
      </c>
      <c r="Q28" s="152">
        <v>72555</v>
      </c>
      <c r="S28" s="202" t="s">
        <v>151</v>
      </c>
      <c r="T28" s="202" t="s">
        <v>2191</v>
      </c>
      <c r="U28" s="202">
        <v>400</v>
      </c>
      <c r="V28" s="202" t="s">
        <v>95</v>
      </c>
    </row>
    <row r="29" spans="1:22" x14ac:dyDescent="0.35">
      <c r="A29" s="27" t="s">
        <v>822</v>
      </c>
      <c r="B29" s="27" t="s">
        <v>131</v>
      </c>
      <c r="C29" s="10">
        <v>1000</v>
      </c>
      <c r="D29" s="10">
        <v>1000</v>
      </c>
      <c r="E29" s="27" t="s">
        <v>92</v>
      </c>
      <c r="F29" s="156" t="s">
        <v>111</v>
      </c>
      <c r="G29" s="27"/>
      <c r="H29" s="27"/>
      <c r="I29" s="27" t="s">
        <v>2220</v>
      </c>
      <c r="J29" s="195">
        <v>45925</v>
      </c>
      <c r="K29" s="27">
        <v>1000</v>
      </c>
      <c r="L29" s="27" t="s">
        <v>823</v>
      </c>
      <c r="M29" s="27"/>
      <c r="N29" s="155" t="s">
        <v>824</v>
      </c>
      <c r="S29" s="83" t="s">
        <v>800</v>
      </c>
      <c r="T29" s="83" t="s">
        <v>2191</v>
      </c>
      <c r="U29" s="83">
        <v>450</v>
      </c>
      <c r="V29" s="83" t="s">
        <v>93</v>
      </c>
    </row>
    <row r="30" spans="1:22" x14ac:dyDescent="0.35">
      <c r="A30" s="27" t="s">
        <v>2223</v>
      </c>
      <c r="B30" s="27" t="s">
        <v>131</v>
      </c>
      <c r="C30" s="10">
        <v>1000</v>
      </c>
      <c r="D30" s="10">
        <v>1000</v>
      </c>
      <c r="E30" s="27" t="s">
        <v>92</v>
      </c>
      <c r="F30" s="156" t="s">
        <v>34</v>
      </c>
      <c r="G30" s="27"/>
      <c r="H30" s="27"/>
      <c r="I30" s="27" t="s">
        <v>2220</v>
      </c>
      <c r="J30" s="195"/>
      <c r="K30" s="27"/>
      <c r="L30" s="27" t="s">
        <v>2224</v>
      </c>
      <c r="M30" s="27"/>
      <c r="N30" s="155" t="s">
        <v>2225</v>
      </c>
      <c r="S30" s="83" t="s">
        <v>157</v>
      </c>
      <c r="T30" s="83" t="s">
        <v>2191</v>
      </c>
      <c r="U30" s="83">
        <v>450</v>
      </c>
      <c r="V30" s="83" t="s">
        <v>92</v>
      </c>
    </row>
    <row r="31" spans="1:22" x14ac:dyDescent="0.35">
      <c r="A31" s="27"/>
      <c r="B31" s="27" t="s">
        <v>131</v>
      </c>
      <c r="C31" s="10">
        <v>1000</v>
      </c>
      <c r="D31" s="10"/>
      <c r="E31" s="27"/>
      <c r="F31" s="156"/>
      <c r="G31" s="27"/>
      <c r="H31" s="27"/>
      <c r="I31" s="27"/>
      <c r="J31" s="195"/>
      <c r="K31" s="27"/>
      <c r="L31" s="27"/>
      <c r="M31" s="27"/>
      <c r="N31" s="155"/>
      <c r="S31" s="83" t="s">
        <v>808</v>
      </c>
      <c r="T31" s="83" t="s">
        <v>2191</v>
      </c>
      <c r="U31" s="83">
        <v>0</v>
      </c>
      <c r="V31" s="83"/>
    </row>
    <row r="32" spans="1:22" x14ac:dyDescent="0.35">
      <c r="A32" s="27" t="s">
        <v>2226</v>
      </c>
      <c r="B32" s="27" t="s">
        <v>131</v>
      </c>
      <c r="C32" s="10">
        <v>1000</v>
      </c>
      <c r="D32" s="10">
        <v>1000</v>
      </c>
      <c r="E32" s="27" t="s">
        <v>92</v>
      </c>
      <c r="F32" s="156" t="s">
        <v>930</v>
      </c>
      <c r="G32" s="27"/>
      <c r="H32" s="27"/>
      <c r="I32" s="27" t="s">
        <v>2227</v>
      </c>
      <c r="J32" s="195"/>
      <c r="K32" s="27"/>
      <c r="L32" s="27" t="s">
        <v>2228</v>
      </c>
      <c r="M32" s="27"/>
      <c r="N32" s="119" t="s">
        <v>2229</v>
      </c>
      <c r="S32" s="83" t="s">
        <v>165</v>
      </c>
      <c r="T32" s="83" t="s">
        <v>2193</v>
      </c>
      <c r="U32" s="83">
        <v>0</v>
      </c>
      <c r="V32" s="83" t="s">
        <v>95</v>
      </c>
    </row>
    <row r="33" spans="1:22" x14ac:dyDescent="0.35">
      <c r="A33" s="27"/>
      <c r="B33" s="27" t="s">
        <v>131</v>
      </c>
      <c r="C33" s="10">
        <v>1000</v>
      </c>
      <c r="D33" s="10"/>
      <c r="E33" s="27"/>
      <c r="F33" s="156"/>
      <c r="G33" s="27"/>
      <c r="H33" s="27"/>
      <c r="I33" s="27"/>
      <c r="J33" s="195"/>
      <c r="K33" s="27"/>
      <c r="L33" s="27"/>
      <c r="M33" s="27"/>
      <c r="N33" s="27"/>
      <c r="S33" s="83" t="s">
        <v>170</v>
      </c>
      <c r="T33" s="83" t="s">
        <v>39</v>
      </c>
      <c r="U33" s="83">
        <v>0</v>
      </c>
      <c r="V33" s="83" t="s">
        <v>24</v>
      </c>
    </row>
    <row r="34" spans="1:22" x14ac:dyDescent="0.35">
      <c r="A34" s="27"/>
      <c r="B34" s="27" t="s">
        <v>131</v>
      </c>
      <c r="C34" s="10">
        <v>1000</v>
      </c>
      <c r="D34" s="10"/>
      <c r="E34" s="27"/>
      <c r="F34" s="156"/>
      <c r="G34" s="27"/>
      <c r="H34" s="27"/>
      <c r="I34" s="27"/>
      <c r="J34" s="195"/>
      <c r="K34" s="27"/>
      <c r="L34" s="27"/>
      <c r="M34" s="27"/>
      <c r="N34" s="27"/>
      <c r="S34" s="83" t="s">
        <v>2230</v>
      </c>
      <c r="T34" s="83" t="s">
        <v>2191</v>
      </c>
      <c r="U34" s="83">
        <v>450</v>
      </c>
      <c r="V34" s="83" t="s">
        <v>93</v>
      </c>
    </row>
    <row r="35" spans="1:22" x14ac:dyDescent="0.35">
      <c r="A35" s="27"/>
      <c r="B35" s="27" t="s">
        <v>131</v>
      </c>
      <c r="C35" s="10">
        <v>1000</v>
      </c>
      <c r="D35" s="10"/>
      <c r="E35" s="27"/>
      <c r="F35" s="156"/>
      <c r="G35" s="27"/>
      <c r="H35" s="27"/>
      <c r="I35" s="27"/>
      <c r="J35" s="195"/>
      <c r="K35" s="27"/>
      <c r="L35" s="27"/>
      <c r="M35" s="27"/>
      <c r="N35" s="27"/>
      <c r="S35" s="83" t="s">
        <v>2223</v>
      </c>
      <c r="T35" s="83" t="s">
        <v>131</v>
      </c>
      <c r="U35" s="83">
        <v>1000</v>
      </c>
      <c r="V35" s="83" t="s">
        <v>92</v>
      </c>
    </row>
    <row r="36" spans="1:22" ht="43.5" x14ac:dyDescent="0.35">
      <c r="A36" s="27" t="s">
        <v>170</v>
      </c>
      <c r="B36" s="27" t="s">
        <v>39</v>
      </c>
      <c r="C36" s="10">
        <v>650</v>
      </c>
      <c r="D36" s="10">
        <v>0</v>
      </c>
      <c r="E36" s="27" t="s">
        <v>24</v>
      </c>
      <c r="F36" s="156" t="s">
        <v>227</v>
      </c>
      <c r="G36" s="27" t="s">
        <v>228</v>
      </c>
      <c r="H36" s="27"/>
      <c r="I36" s="27">
        <v>0</v>
      </c>
      <c r="J36" s="195"/>
      <c r="K36" s="27"/>
      <c r="L36" s="27" t="s">
        <v>230</v>
      </c>
      <c r="M36" s="27"/>
      <c r="N36" s="27" t="s">
        <v>231</v>
      </c>
      <c r="S36" s="83" t="s">
        <v>38</v>
      </c>
      <c r="T36" s="83" t="s">
        <v>32</v>
      </c>
      <c r="U36" s="83">
        <v>2500</v>
      </c>
      <c r="V36" s="83" t="s">
        <v>24</v>
      </c>
    </row>
    <row r="37" spans="1:22" ht="29" x14ac:dyDescent="0.35">
      <c r="A37" s="27" t="s">
        <v>248</v>
      </c>
      <c r="B37" s="27" t="s">
        <v>39</v>
      </c>
      <c r="C37" s="10">
        <v>650</v>
      </c>
      <c r="D37" s="10">
        <v>650</v>
      </c>
      <c r="E37" s="27" t="s">
        <v>24</v>
      </c>
      <c r="F37" s="156" t="s">
        <v>147</v>
      </c>
      <c r="G37" s="27"/>
      <c r="H37" s="27"/>
      <c r="I37" s="27" t="s">
        <v>2220</v>
      </c>
      <c r="J37" s="195" t="s">
        <v>2231</v>
      </c>
      <c r="K37" s="27">
        <v>650</v>
      </c>
      <c r="L37" s="27" t="s">
        <v>249</v>
      </c>
      <c r="M37" s="27"/>
      <c r="N37" s="27" t="s">
        <v>250</v>
      </c>
      <c r="S37" s="202" t="s">
        <v>2232</v>
      </c>
      <c r="T37" s="202" t="s">
        <v>2191</v>
      </c>
      <c r="U37" s="202">
        <v>450</v>
      </c>
      <c r="V37" s="202" t="s">
        <v>76</v>
      </c>
    </row>
    <row r="38" spans="1:22" x14ac:dyDescent="0.35">
      <c r="A38" s="27" t="s">
        <v>815</v>
      </c>
      <c r="B38" s="27" t="s">
        <v>39</v>
      </c>
      <c r="C38" s="10">
        <v>650</v>
      </c>
      <c r="D38" s="10">
        <v>650</v>
      </c>
      <c r="E38" s="27" t="s">
        <v>93</v>
      </c>
      <c r="F38" s="156" t="s">
        <v>353</v>
      </c>
      <c r="G38" s="27"/>
      <c r="H38" s="27"/>
      <c r="I38" s="27" t="s">
        <v>2220</v>
      </c>
      <c r="J38" s="195"/>
      <c r="K38" s="27"/>
      <c r="L38" s="27" t="s">
        <v>816</v>
      </c>
      <c r="M38" s="27"/>
      <c r="N38" s="155" t="s">
        <v>817</v>
      </c>
      <c r="S38" s="83" t="s">
        <v>2233</v>
      </c>
      <c r="T38" s="83" t="s">
        <v>39</v>
      </c>
      <c r="U38" s="83">
        <v>650</v>
      </c>
      <c r="V38" s="83"/>
    </row>
    <row r="39" spans="1:22" ht="29" x14ac:dyDescent="0.35">
      <c r="A39" s="27" t="s">
        <v>819</v>
      </c>
      <c r="B39" s="27" t="s">
        <v>39</v>
      </c>
      <c r="C39" s="10">
        <v>650</v>
      </c>
      <c r="D39" s="10">
        <v>650</v>
      </c>
      <c r="E39" s="27" t="s">
        <v>93</v>
      </c>
      <c r="F39" s="156" t="s">
        <v>353</v>
      </c>
      <c r="G39" s="27"/>
      <c r="H39" s="27"/>
      <c r="I39" s="27" t="s">
        <v>2220</v>
      </c>
      <c r="J39" s="195" t="s">
        <v>630</v>
      </c>
      <c r="K39" s="27">
        <v>650</v>
      </c>
      <c r="L39" s="27" t="s">
        <v>365</v>
      </c>
      <c r="M39" s="27"/>
      <c r="N39" s="155" t="s">
        <v>366</v>
      </c>
      <c r="S39" s="83" t="s">
        <v>2234</v>
      </c>
      <c r="T39" s="83" t="s">
        <v>2191</v>
      </c>
      <c r="U39" s="83">
        <v>450</v>
      </c>
      <c r="V39" s="83" t="s">
        <v>96</v>
      </c>
    </row>
    <row r="40" spans="1:22" x14ac:dyDescent="0.35">
      <c r="A40" s="27" t="s">
        <v>572</v>
      </c>
      <c r="B40" s="27" t="s">
        <v>39</v>
      </c>
      <c r="C40" s="10">
        <v>650</v>
      </c>
      <c r="D40" s="10">
        <v>650</v>
      </c>
      <c r="E40" s="27" t="s">
        <v>93</v>
      </c>
      <c r="F40" s="156" t="s">
        <v>167</v>
      </c>
      <c r="G40" s="27"/>
      <c r="H40" s="27"/>
      <c r="I40" s="27" t="s">
        <v>2220</v>
      </c>
      <c r="J40" s="195">
        <v>45875</v>
      </c>
      <c r="K40" s="27">
        <v>650</v>
      </c>
      <c r="L40" s="27" t="s">
        <v>2235</v>
      </c>
      <c r="M40" s="27"/>
      <c r="N40" s="155" t="s">
        <v>2236</v>
      </c>
      <c r="S40" s="83" t="s">
        <v>2237</v>
      </c>
      <c r="T40" s="83" t="s">
        <v>2191</v>
      </c>
      <c r="U40" s="83">
        <v>450</v>
      </c>
      <c r="V40" s="83" t="s">
        <v>76</v>
      </c>
    </row>
    <row r="41" spans="1:22" x14ac:dyDescent="0.35">
      <c r="A41" s="27" t="s">
        <v>22</v>
      </c>
      <c r="B41" s="27" t="s">
        <v>39</v>
      </c>
      <c r="C41" s="10">
        <v>650</v>
      </c>
      <c r="D41" s="10">
        <v>500</v>
      </c>
      <c r="E41" s="27" t="s">
        <v>37</v>
      </c>
      <c r="F41" s="156" t="s">
        <v>25</v>
      </c>
      <c r="G41" s="27"/>
      <c r="H41" s="157" t="s">
        <v>27</v>
      </c>
      <c r="I41" s="27"/>
      <c r="J41" s="27" t="s">
        <v>28</v>
      </c>
      <c r="K41" s="27">
        <v>500</v>
      </c>
      <c r="L41" s="27" t="s">
        <v>29</v>
      </c>
      <c r="M41" s="27"/>
      <c r="N41" s="155" t="s">
        <v>30</v>
      </c>
      <c r="S41" s="83" t="s">
        <v>48</v>
      </c>
      <c r="T41" s="83" t="s">
        <v>2193</v>
      </c>
      <c r="U41" s="83">
        <v>2500</v>
      </c>
      <c r="V41" s="83" t="s">
        <v>37</v>
      </c>
    </row>
    <row r="42" spans="1:22" ht="29" x14ac:dyDescent="0.35">
      <c r="A42" s="27" t="s">
        <v>490</v>
      </c>
      <c r="B42" s="27" t="s">
        <v>39</v>
      </c>
      <c r="C42" s="10">
        <v>650</v>
      </c>
      <c r="D42" s="10">
        <v>650</v>
      </c>
      <c r="E42" s="27" t="s">
        <v>92</v>
      </c>
      <c r="F42" s="156" t="s">
        <v>28</v>
      </c>
      <c r="G42" s="27"/>
      <c r="H42" s="163" t="s">
        <v>27</v>
      </c>
      <c r="I42" s="27" t="s">
        <v>2220</v>
      </c>
      <c r="J42" s="27" t="s">
        <v>158</v>
      </c>
      <c r="K42" s="27">
        <v>650</v>
      </c>
      <c r="L42" s="27" t="s">
        <v>516</v>
      </c>
      <c r="M42" s="27"/>
      <c r="N42" s="27" t="s">
        <v>517</v>
      </c>
      <c r="S42" s="202" t="s">
        <v>218</v>
      </c>
      <c r="T42" s="202" t="s">
        <v>2191</v>
      </c>
      <c r="U42" s="202">
        <v>450</v>
      </c>
      <c r="V42" s="202" t="s">
        <v>37</v>
      </c>
    </row>
    <row r="43" spans="1:22" x14ac:dyDescent="0.35">
      <c r="A43" s="27" t="s">
        <v>526</v>
      </c>
      <c r="B43" s="27" t="s">
        <v>39</v>
      </c>
      <c r="C43" s="10">
        <v>650</v>
      </c>
      <c r="D43" s="10">
        <v>650</v>
      </c>
      <c r="E43" s="27" t="s">
        <v>93</v>
      </c>
      <c r="F43" s="156" t="s">
        <v>527</v>
      </c>
      <c r="G43" s="27"/>
      <c r="H43" s="27"/>
      <c r="I43" s="27" t="s">
        <v>2220</v>
      </c>
      <c r="J43" s="27" t="s">
        <v>2238</v>
      </c>
      <c r="K43" s="27">
        <v>650</v>
      </c>
      <c r="L43" s="27" t="s">
        <v>528</v>
      </c>
      <c r="M43" s="27"/>
      <c r="N43" s="155" t="s">
        <v>529</v>
      </c>
      <c r="S43" s="27" t="s">
        <v>2239</v>
      </c>
      <c r="T43" s="27" t="s">
        <v>131</v>
      </c>
      <c r="U43" s="27">
        <v>0</v>
      </c>
      <c r="V43" s="27"/>
    </row>
    <row r="44" spans="1:22" x14ac:dyDescent="0.35">
      <c r="A44" s="27" t="s">
        <v>2240</v>
      </c>
      <c r="B44" s="27" t="s">
        <v>39</v>
      </c>
      <c r="C44" s="10">
        <v>650</v>
      </c>
      <c r="D44" s="10">
        <v>650</v>
      </c>
      <c r="E44" s="27" t="s">
        <v>76</v>
      </c>
      <c r="F44" s="156" t="s">
        <v>745</v>
      </c>
      <c r="G44" s="27"/>
      <c r="H44" s="27"/>
      <c r="I44" s="27" t="s">
        <v>2241</v>
      </c>
      <c r="J44" s="195">
        <v>45939</v>
      </c>
      <c r="K44" s="27">
        <v>650</v>
      </c>
      <c r="L44" s="27" t="s">
        <v>525</v>
      </c>
      <c r="M44" s="27"/>
      <c r="N44" s="87" t="s">
        <v>2242</v>
      </c>
      <c r="S44" s="83" t="s">
        <v>2122</v>
      </c>
      <c r="T44" s="83" t="s">
        <v>2191</v>
      </c>
      <c r="U44" s="83">
        <v>0</v>
      </c>
      <c r="V44" s="83"/>
    </row>
    <row r="45" spans="1:22" x14ac:dyDescent="0.35">
      <c r="A45" s="27" t="s">
        <v>2243</v>
      </c>
      <c r="B45" s="27" t="s">
        <v>39</v>
      </c>
      <c r="C45" s="10">
        <v>650</v>
      </c>
      <c r="D45" s="10">
        <v>650</v>
      </c>
      <c r="E45" s="27" t="s">
        <v>68</v>
      </c>
      <c r="F45" s="156" t="s">
        <v>2244</v>
      </c>
      <c r="G45" s="27"/>
      <c r="H45" s="27"/>
      <c r="I45" s="27" t="s">
        <v>2210</v>
      </c>
      <c r="J45" s="195">
        <v>45896</v>
      </c>
      <c r="K45" s="27">
        <v>650</v>
      </c>
      <c r="L45" s="27" t="s">
        <v>2245</v>
      </c>
      <c r="M45" s="27"/>
      <c r="N45" s="87" t="s">
        <v>2246</v>
      </c>
      <c r="S45" s="27" t="s">
        <v>2122</v>
      </c>
      <c r="T45" s="27" t="s">
        <v>2247</v>
      </c>
      <c r="U45" s="27">
        <v>0</v>
      </c>
      <c r="V45" s="27"/>
    </row>
    <row r="46" spans="1:22" x14ac:dyDescent="0.35">
      <c r="A46" s="27"/>
      <c r="B46" s="27" t="s">
        <v>39</v>
      </c>
      <c r="C46" s="10">
        <v>650</v>
      </c>
      <c r="D46" s="10"/>
      <c r="E46" s="27"/>
      <c r="F46" s="156"/>
      <c r="G46" s="27"/>
      <c r="H46" s="27"/>
      <c r="I46" s="27"/>
      <c r="J46" s="195"/>
      <c r="K46" s="27"/>
      <c r="L46" s="27"/>
      <c r="M46" s="27"/>
      <c r="N46" s="86"/>
      <c r="S46" s="202" t="s">
        <v>247</v>
      </c>
      <c r="T46" s="202" t="s">
        <v>39</v>
      </c>
      <c r="U46" s="202">
        <v>650</v>
      </c>
      <c r="V46" s="202" t="s">
        <v>93</v>
      </c>
    </row>
    <row r="47" spans="1:22" x14ac:dyDescent="0.35">
      <c r="A47" s="27"/>
      <c r="B47" s="27" t="s">
        <v>39</v>
      </c>
      <c r="C47" s="10">
        <v>650</v>
      </c>
      <c r="D47" s="10"/>
      <c r="E47" s="27"/>
      <c r="F47" s="156"/>
      <c r="G47" s="27"/>
      <c r="H47" s="27"/>
      <c r="I47" s="27"/>
      <c r="J47" s="195"/>
      <c r="K47" s="27"/>
      <c r="L47" s="27"/>
      <c r="M47" s="27"/>
      <c r="N47" s="27"/>
      <c r="S47" s="83" t="s">
        <v>2248</v>
      </c>
      <c r="T47" s="83" t="s">
        <v>2191</v>
      </c>
      <c r="U47" s="83">
        <v>450</v>
      </c>
      <c r="V47" s="83"/>
    </row>
    <row r="48" spans="1:22" x14ac:dyDescent="0.35">
      <c r="A48" s="27"/>
      <c r="B48" s="27" t="s">
        <v>39</v>
      </c>
      <c r="C48" s="10">
        <v>650</v>
      </c>
      <c r="D48" s="10"/>
      <c r="E48" s="27"/>
      <c r="F48" s="156"/>
      <c r="G48" s="27"/>
      <c r="H48" s="27"/>
      <c r="I48" s="27"/>
      <c r="J48" s="195"/>
      <c r="K48" s="27"/>
      <c r="L48" s="27"/>
      <c r="M48" s="27"/>
      <c r="N48" s="27"/>
      <c r="S48" s="83" t="s">
        <v>2249</v>
      </c>
      <c r="T48" s="83" t="s">
        <v>2191</v>
      </c>
      <c r="U48" s="83">
        <v>450</v>
      </c>
      <c r="V48" s="83"/>
    </row>
    <row r="49" spans="1:22" x14ac:dyDescent="0.35">
      <c r="A49" s="27" t="s">
        <v>57</v>
      </c>
      <c r="B49" s="27" t="s">
        <v>39</v>
      </c>
      <c r="C49" s="10">
        <v>650</v>
      </c>
      <c r="D49" s="10">
        <v>500</v>
      </c>
      <c r="E49" s="27" t="s">
        <v>24</v>
      </c>
      <c r="F49" s="156"/>
      <c r="G49" s="27"/>
      <c r="H49" s="157" t="s">
        <v>27</v>
      </c>
      <c r="I49" s="27"/>
      <c r="J49" s="195">
        <v>45903</v>
      </c>
      <c r="K49" s="27">
        <v>500</v>
      </c>
      <c r="L49" s="27" t="s">
        <v>60</v>
      </c>
      <c r="M49" s="27"/>
      <c r="N49" s="27" t="s">
        <v>61</v>
      </c>
      <c r="S49" s="83" t="s">
        <v>285</v>
      </c>
      <c r="T49" s="83" t="s">
        <v>131</v>
      </c>
      <c r="U49" s="83">
        <v>0</v>
      </c>
      <c r="V49" s="83" t="s">
        <v>95</v>
      </c>
    </row>
    <row r="50" spans="1:22" x14ac:dyDescent="0.35">
      <c r="A50" s="27"/>
      <c r="B50" s="27" t="s">
        <v>39</v>
      </c>
      <c r="C50" s="10">
        <v>650</v>
      </c>
      <c r="D50" s="10"/>
      <c r="E50" s="27"/>
      <c r="F50" s="156"/>
      <c r="G50" s="27"/>
      <c r="H50" s="27"/>
      <c r="I50" s="27"/>
      <c r="J50" s="195"/>
      <c r="K50" s="27"/>
      <c r="L50" s="27"/>
      <c r="M50" s="27"/>
      <c r="N50" s="27"/>
      <c r="S50" s="83" t="s">
        <v>515</v>
      </c>
      <c r="T50" s="83" t="s">
        <v>2191</v>
      </c>
      <c r="U50" s="83">
        <v>400</v>
      </c>
      <c r="V50" s="83" t="s">
        <v>24</v>
      </c>
    </row>
    <row r="51" spans="1:22" x14ac:dyDescent="0.35">
      <c r="A51" s="27"/>
      <c r="B51" s="27" t="s">
        <v>39</v>
      </c>
      <c r="C51" s="10">
        <v>650</v>
      </c>
      <c r="D51" s="10"/>
      <c r="E51" s="27"/>
      <c r="F51" s="156"/>
      <c r="G51" s="27"/>
      <c r="H51" s="27"/>
      <c r="I51" s="27"/>
      <c r="J51" s="195"/>
      <c r="K51" s="27"/>
      <c r="L51" s="27"/>
      <c r="M51" s="27"/>
      <c r="N51" s="27"/>
      <c r="S51" s="83" t="s">
        <v>248</v>
      </c>
      <c r="T51" s="83" t="s">
        <v>39</v>
      </c>
      <c r="U51" s="83">
        <v>650</v>
      </c>
      <c r="V51" s="83" t="s">
        <v>37</v>
      </c>
    </row>
    <row r="52" spans="1:22" x14ac:dyDescent="0.35">
      <c r="A52" s="27"/>
      <c r="B52" s="27" t="s">
        <v>39</v>
      </c>
      <c r="C52" s="10">
        <v>650</v>
      </c>
      <c r="D52" s="10"/>
      <c r="E52" s="27"/>
      <c r="F52" s="156"/>
      <c r="G52" s="27"/>
      <c r="H52" s="27"/>
      <c r="I52" s="27"/>
      <c r="J52" s="195"/>
      <c r="K52" s="27"/>
      <c r="L52" s="27"/>
      <c r="M52" s="27"/>
      <c r="N52" s="27"/>
      <c r="S52" s="83" t="s">
        <v>2243</v>
      </c>
      <c r="T52" s="83" t="s">
        <v>39</v>
      </c>
      <c r="U52" s="83">
        <v>650</v>
      </c>
      <c r="V52" s="83" t="s">
        <v>76</v>
      </c>
    </row>
    <row r="53" spans="1:22" x14ac:dyDescent="0.35">
      <c r="A53" s="27"/>
      <c r="B53" s="27" t="s">
        <v>39</v>
      </c>
      <c r="C53" s="10">
        <v>650</v>
      </c>
      <c r="D53" s="10"/>
      <c r="E53" s="27"/>
      <c r="F53" s="156"/>
      <c r="G53" s="27"/>
      <c r="H53" s="27"/>
      <c r="I53" s="27"/>
      <c r="J53" s="195"/>
      <c r="K53" s="27"/>
      <c r="L53" s="27"/>
      <c r="M53" s="27"/>
      <c r="N53" s="27"/>
      <c r="S53" s="83" t="s">
        <v>57</v>
      </c>
      <c r="T53" s="83" t="s">
        <v>39</v>
      </c>
      <c r="U53" s="83">
        <v>500</v>
      </c>
      <c r="V53" s="83" t="s">
        <v>24</v>
      </c>
    </row>
    <row r="54" spans="1:22" x14ac:dyDescent="0.35">
      <c r="A54" s="27"/>
      <c r="B54" s="27" t="s">
        <v>39</v>
      </c>
      <c r="C54" s="10">
        <v>650</v>
      </c>
      <c r="D54" s="10"/>
      <c r="E54" s="27"/>
      <c r="F54" s="156"/>
      <c r="G54" s="27"/>
      <c r="H54" s="27"/>
      <c r="I54" s="27"/>
      <c r="J54" s="195"/>
      <c r="K54" s="27"/>
      <c r="L54" s="27"/>
      <c r="M54" s="27"/>
      <c r="N54" s="27"/>
      <c r="S54" s="202" t="s">
        <v>2250</v>
      </c>
      <c r="T54" s="202" t="s">
        <v>2191</v>
      </c>
      <c r="U54" s="202">
        <v>450</v>
      </c>
      <c r="V54" s="202" t="s">
        <v>93</v>
      </c>
    </row>
    <row r="55" spans="1:22" x14ac:dyDescent="0.35">
      <c r="A55" s="27"/>
      <c r="B55" s="27" t="s">
        <v>39</v>
      </c>
      <c r="C55" s="10">
        <v>650</v>
      </c>
      <c r="D55" s="10"/>
      <c r="E55" s="27"/>
      <c r="F55" s="156"/>
      <c r="G55" s="27"/>
      <c r="H55" s="27"/>
      <c r="I55" s="27"/>
      <c r="J55" s="195"/>
      <c r="K55" s="27"/>
      <c r="L55" s="27"/>
      <c r="M55" s="27"/>
      <c r="N55" s="27"/>
      <c r="S55" s="83" t="s">
        <v>2251</v>
      </c>
      <c r="T55" s="83" t="s">
        <v>2191</v>
      </c>
      <c r="U55" s="83">
        <v>450</v>
      </c>
      <c r="V55" s="83" t="s">
        <v>92</v>
      </c>
    </row>
    <row r="56" spans="1:22" x14ac:dyDescent="0.35">
      <c r="A56" s="27"/>
      <c r="B56" s="27" t="s">
        <v>2191</v>
      </c>
      <c r="C56" s="10">
        <v>450</v>
      </c>
      <c r="D56" s="10"/>
      <c r="E56" s="27"/>
      <c r="F56" s="156"/>
      <c r="G56" s="27"/>
      <c r="H56" s="27"/>
      <c r="I56" s="27"/>
      <c r="J56" s="27"/>
      <c r="K56" s="27"/>
      <c r="L56" s="27"/>
      <c r="M56" s="27"/>
      <c r="N56" s="155"/>
      <c r="S56" s="202" t="s">
        <v>2252</v>
      </c>
      <c r="T56" s="202" t="s">
        <v>2191</v>
      </c>
      <c r="U56" s="202">
        <v>450</v>
      </c>
      <c r="V56" s="202" t="s">
        <v>93</v>
      </c>
    </row>
    <row r="57" spans="1:22" ht="43.5" x14ac:dyDescent="0.35">
      <c r="A57" s="27" t="s">
        <v>537</v>
      </c>
      <c r="B57" s="27" t="s">
        <v>2191</v>
      </c>
      <c r="C57" s="10">
        <v>450</v>
      </c>
      <c r="D57" s="10">
        <v>0</v>
      </c>
      <c r="E57" s="27" t="s">
        <v>96</v>
      </c>
      <c r="F57" s="237">
        <v>45620</v>
      </c>
      <c r="G57" s="27"/>
      <c r="H57" s="27"/>
      <c r="I57" s="27">
        <v>0</v>
      </c>
      <c r="J57" s="27"/>
      <c r="K57" s="27"/>
      <c r="L57" s="27" t="s">
        <v>539</v>
      </c>
      <c r="M57" s="27"/>
      <c r="N57" s="155" t="s">
        <v>540</v>
      </c>
      <c r="S57" s="83" t="s">
        <v>2253</v>
      </c>
      <c r="T57" s="83" t="s">
        <v>2191</v>
      </c>
      <c r="U57" s="83">
        <v>450</v>
      </c>
      <c r="V57" s="83"/>
    </row>
    <row r="58" spans="1:22" x14ac:dyDescent="0.35">
      <c r="A58" s="27" t="s">
        <v>811</v>
      </c>
      <c r="B58" s="27" t="s">
        <v>2191</v>
      </c>
      <c r="C58" s="10">
        <v>450</v>
      </c>
      <c r="D58" s="10">
        <v>500</v>
      </c>
      <c r="E58" s="27" t="s">
        <v>76</v>
      </c>
      <c r="F58" s="156" t="s">
        <v>812</v>
      </c>
      <c r="G58" s="27"/>
      <c r="H58" s="27"/>
      <c r="I58" s="27" t="s">
        <v>2220</v>
      </c>
      <c r="J58" s="195">
        <v>46009</v>
      </c>
      <c r="K58" s="27">
        <v>500</v>
      </c>
      <c r="L58" s="27" t="s">
        <v>813</v>
      </c>
      <c r="M58" s="27"/>
      <c r="N58" s="155" t="s">
        <v>814</v>
      </c>
      <c r="S58" s="83" t="s">
        <v>2254</v>
      </c>
      <c r="T58" s="83" t="s">
        <v>2191</v>
      </c>
      <c r="U58" s="83">
        <v>450</v>
      </c>
      <c r="V58" s="83" t="s">
        <v>96</v>
      </c>
    </row>
    <row r="59" spans="1:22" ht="29" x14ac:dyDescent="0.35">
      <c r="A59" s="27" t="s">
        <v>338</v>
      </c>
      <c r="B59" s="27" t="s">
        <v>2191</v>
      </c>
      <c r="C59" s="10">
        <v>450</v>
      </c>
      <c r="D59" s="10">
        <v>450</v>
      </c>
      <c r="E59" s="27" t="s">
        <v>95</v>
      </c>
      <c r="F59" s="156" t="s">
        <v>103</v>
      </c>
      <c r="G59" s="27"/>
      <c r="H59" s="27"/>
      <c r="I59" s="27" t="s">
        <v>2220</v>
      </c>
      <c r="J59" s="195">
        <v>45895</v>
      </c>
      <c r="K59" s="27">
        <v>450</v>
      </c>
      <c r="L59" s="27" t="s">
        <v>339</v>
      </c>
      <c r="M59" s="27"/>
      <c r="N59" s="155" t="s">
        <v>340</v>
      </c>
      <c r="S59" s="83" t="s">
        <v>2255</v>
      </c>
      <c r="T59" s="83" t="s">
        <v>2191</v>
      </c>
      <c r="U59" s="83">
        <v>500</v>
      </c>
      <c r="V59" s="83" t="s">
        <v>76</v>
      </c>
    </row>
    <row r="60" spans="1:22" x14ac:dyDescent="0.35">
      <c r="A60" s="27" t="s">
        <v>157</v>
      </c>
      <c r="B60" s="27" t="s">
        <v>2191</v>
      </c>
      <c r="C60" s="10">
        <v>450</v>
      </c>
      <c r="D60" s="10">
        <v>450</v>
      </c>
      <c r="E60" s="27" t="s">
        <v>92</v>
      </c>
      <c r="F60" s="156" t="s">
        <v>384</v>
      </c>
      <c r="G60" s="27"/>
      <c r="H60" s="27"/>
      <c r="I60" s="27" t="s">
        <v>2220</v>
      </c>
      <c r="J60" s="27" t="s">
        <v>638</v>
      </c>
      <c r="K60" s="27">
        <v>450</v>
      </c>
      <c r="L60" s="27" t="s">
        <v>455</v>
      </c>
      <c r="M60" s="27"/>
      <c r="N60" s="155" t="s">
        <v>456</v>
      </c>
      <c r="S60" s="83" t="s">
        <v>945</v>
      </c>
      <c r="T60" s="83" t="s">
        <v>2256</v>
      </c>
      <c r="U60" s="83">
        <v>1000</v>
      </c>
      <c r="V60" s="83" t="s">
        <v>92</v>
      </c>
    </row>
    <row r="61" spans="1:22" ht="29" x14ac:dyDescent="0.35">
      <c r="A61" s="202" t="s">
        <v>218</v>
      </c>
      <c r="B61" s="27" t="s">
        <v>2191</v>
      </c>
      <c r="C61" s="10">
        <v>450</v>
      </c>
      <c r="D61" s="10">
        <v>0</v>
      </c>
      <c r="E61" s="27" t="s">
        <v>24</v>
      </c>
      <c r="F61" s="156" t="s">
        <v>162</v>
      </c>
      <c r="G61" s="27"/>
      <c r="H61" s="157" t="s">
        <v>27</v>
      </c>
      <c r="I61" s="27"/>
      <c r="J61" s="195">
        <v>45895</v>
      </c>
      <c r="K61" s="27">
        <v>450</v>
      </c>
      <c r="L61" s="27" t="s">
        <v>422</v>
      </c>
      <c r="M61" s="27"/>
      <c r="N61" s="27" t="s">
        <v>423</v>
      </c>
      <c r="S61" s="83" t="s">
        <v>2257</v>
      </c>
      <c r="T61" s="83" t="s">
        <v>2191</v>
      </c>
      <c r="U61" s="83">
        <v>450</v>
      </c>
      <c r="V61" s="83" t="s">
        <v>2258</v>
      </c>
    </row>
    <row r="62" spans="1:22" ht="29" x14ac:dyDescent="0.35">
      <c r="A62" s="27" t="s">
        <v>114</v>
      </c>
      <c r="B62" s="27" t="s">
        <v>2191</v>
      </c>
      <c r="C62" s="10">
        <v>450</v>
      </c>
      <c r="D62" s="10">
        <v>450</v>
      </c>
      <c r="E62" s="27" t="s">
        <v>95</v>
      </c>
      <c r="F62" s="156" t="s">
        <v>88</v>
      </c>
      <c r="G62" s="27"/>
      <c r="H62" s="27"/>
      <c r="I62" s="27" t="s">
        <v>2220</v>
      </c>
      <c r="J62" s="27"/>
      <c r="K62" s="27"/>
      <c r="L62" s="27" t="s">
        <v>1052</v>
      </c>
      <c r="M62" s="27"/>
      <c r="N62" s="27" t="s">
        <v>1053</v>
      </c>
      <c r="S62" s="83" t="s">
        <v>87</v>
      </c>
      <c r="T62" s="83" t="s">
        <v>2193</v>
      </c>
      <c r="U62" s="83">
        <v>2000</v>
      </c>
      <c r="V62" s="83" t="s">
        <v>24</v>
      </c>
    </row>
    <row r="63" spans="1:22" x14ac:dyDescent="0.35">
      <c r="A63" s="27"/>
      <c r="B63" s="27" t="s">
        <v>2191</v>
      </c>
      <c r="C63" s="10">
        <v>450</v>
      </c>
      <c r="D63" s="10"/>
      <c r="E63" s="27"/>
      <c r="F63" s="156"/>
      <c r="G63" s="27"/>
      <c r="H63" s="27"/>
      <c r="I63" s="27"/>
      <c r="J63" s="27"/>
      <c r="K63" s="27"/>
      <c r="L63" s="27"/>
      <c r="M63" s="27"/>
      <c r="N63" s="155"/>
      <c r="S63" s="238" t="s">
        <v>2259</v>
      </c>
      <c r="T63" s="238" t="s">
        <v>131</v>
      </c>
      <c r="U63" s="238">
        <v>450</v>
      </c>
      <c r="V63" s="238" t="s">
        <v>93</v>
      </c>
    </row>
    <row r="64" spans="1:22" x14ac:dyDescent="0.35">
      <c r="A64" s="27" t="s">
        <v>515</v>
      </c>
      <c r="B64" s="27" t="s">
        <v>2191</v>
      </c>
      <c r="C64" s="10">
        <v>450</v>
      </c>
      <c r="D64" s="10">
        <v>400</v>
      </c>
      <c r="E64" s="27" t="s">
        <v>24</v>
      </c>
      <c r="F64" s="156" t="s">
        <v>28</v>
      </c>
      <c r="G64" s="27"/>
      <c r="H64" s="27"/>
      <c r="I64" s="27" t="s">
        <v>2220</v>
      </c>
      <c r="J64" s="195">
        <v>45884</v>
      </c>
      <c r="K64" s="27">
        <v>400</v>
      </c>
      <c r="L64" s="27" t="s">
        <v>518</v>
      </c>
      <c r="M64" s="27"/>
      <c r="N64" s="27" t="s">
        <v>519</v>
      </c>
      <c r="S64" s="27" t="s">
        <v>688</v>
      </c>
      <c r="T64" s="27" t="s">
        <v>2191</v>
      </c>
      <c r="U64" s="27">
        <v>0</v>
      </c>
      <c r="V64" s="27"/>
    </row>
    <row r="65" spans="1:22" ht="43.5" x14ac:dyDescent="0.35">
      <c r="A65" s="27" t="s">
        <v>2260</v>
      </c>
      <c r="B65" s="27" t="s">
        <v>2191</v>
      </c>
      <c r="C65" s="10">
        <v>450</v>
      </c>
      <c r="D65" s="10">
        <v>450</v>
      </c>
      <c r="E65" s="27" t="s">
        <v>93</v>
      </c>
      <c r="F65" s="156" t="s">
        <v>256</v>
      </c>
      <c r="G65" s="27" t="s">
        <v>2261</v>
      </c>
      <c r="H65" s="27"/>
      <c r="I65" s="27" t="s">
        <v>2220</v>
      </c>
      <c r="J65" s="195">
        <v>45869</v>
      </c>
      <c r="K65" s="27">
        <v>450</v>
      </c>
      <c r="L65" s="27" t="s">
        <v>453</v>
      </c>
      <c r="M65" s="27"/>
      <c r="N65" s="155" t="s">
        <v>454</v>
      </c>
      <c r="S65" s="83" t="s">
        <v>2262</v>
      </c>
      <c r="T65" s="83" t="s">
        <v>2191</v>
      </c>
      <c r="U65" s="83">
        <v>0</v>
      </c>
      <c r="V65" s="83"/>
    </row>
    <row r="66" spans="1:22" x14ac:dyDescent="0.35">
      <c r="A66" s="27" t="s">
        <v>2263</v>
      </c>
      <c r="B66" s="27" t="s">
        <v>2191</v>
      </c>
      <c r="C66" s="10">
        <v>450</v>
      </c>
      <c r="D66" s="10">
        <v>450</v>
      </c>
      <c r="E66" s="27" t="s">
        <v>92</v>
      </c>
      <c r="F66" s="156" t="s">
        <v>651</v>
      </c>
      <c r="G66" s="27"/>
      <c r="H66" s="27"/>
      <c r="I66" s="27" t="s">
        <v>2220</v>
      </c>
      <c r="J66" s="195">
        <v>45895</v>
      </c>
      <c r="K66" s="27">
        <v>450</v>
      </c>
      <c r="L66" s="27" t="s">
        <v>1619</v>
      </c>
      <c r="M66" s="27"/>
      <c r="N66" s="155" t="s">
        <v>577</v>
      </c>
      <c r="S66" s="27" t="s">
        <v>1013</v>
      </c>
      <c r="T66" s="27" t="s">
        <v>2191</v>
      </c>
      <c r="U66" s="27">
        <v>0</v>
      </c>
      <c r="V66" s="27"/>
    </row>
    <row r="67" spans="1:22" x14ac:dyDescent="0.35">
      <c r="A67" s="27" t="s">
        <v>479</v>
      </c>
      <c r="B67" s="27" t="s">
        <v>2191</v>
      </c>
      <c r="C67" s="10">
        <v>450</v>
      </c>
      <c r="D67" s="10">
        <v>450</v>
      </c>
      <c r="E67" s="27" t="s">
        <v>96</v>
      </c>
      <c r="F67" s="156" t="s">
        <v>642</v>
      </c>
      <c r="G67" s="27"/>
      <c r="H67" s="27"/>
      <c r="I67" s="27" t="s">
        <v>2220</v>
      </c>
      <c r="J67" s="27" t="s">
        <v>2244</v>
      </c>
      <c r="K67" s="27">
        <v>450</v>
      </c>
      <c r="L67" s="27" t="s">
        <v>910</v>
      </c>
      <c r="M67" s="27"/>
      <c r="N67" s="155" t="s">
        <v>911</v>
      </c>
      <c r="S67" s="83" t="s">
        <v>778</v>
      </c>
      <c r="T67" s="83" t="s">
        <v>2191</v>
      </c>
      <c r="U67" s="83">
        <v>450</v>
      </c>
      <c r="V67" s="83" t="s">
        <v>93</v>
      </c>
    </row>
    <row r="68" spans="1:22" x14ac:dyDescent="0.35">
      <c r="A68" s="27" t="s">
        <v>2264</v>
      </c>
      <c r="B68" s="27" t="s">
        <v>2191</v>
      </c>
      <c r="C68" s="10">
        <v>450</v>
      </c>
      <c r="D68" s="10">
        <v>500</v>
      </c>
      <c r="E68" s="27" t="s">
        <v>93</v>
      </c>
      <c r="F68" s="156" t="s">
        <v>642</v>
      </c>
      <c r="G68" s="27"/>
      <c r="H68" s="27"/>
      <c r="I68" s="27" t="s">
        <v>2220</v>
      </c>
      <c r="J68" s="27" t="s">
        <v>158</v>
      </c>
      <c r="K68" s="27">
        <v>500</v>
      </c>
      <c r="L68" s="27" t="s">
        <v>2265</v>
      </c>
      <c r="M68" s="27"/>
      <c r="N68" s="212" t="s">
        <v>2266</v>
      </c>
      <c r="S68" s="27" t="s">
        <v>2267</v>
      </c>
      <c r="T68" s="27" t="s">
        <v>2191</v>
      </c>
      <c r="U68" s="27">
        <v>450</v>
      </c>
      <c r="V68" s="27"/>
    </row>
    <row r="69" spans="1:22" x14ac:dyDescent="0.35">
      <c r="A69" s="27" t="s">
        <v>2253</v>
      </c>
      <c r="B69" s="27" t="s">
        <v>2191</v>
      </c>
      <c r="C69" s="10">
        <v>450</v>
      </c>
      <c r="D69" s="10">
        <v>450</v>
      </c>
      <c r="E69" s="27" t="s">
        <v>81</v>
      </c>
      <c r="F69" s="156" t="s">
        <v>649</v>
      </c>
      <c r="G69" s="27"/>
      <c r="H69" s="27"/>
      <c r="I69" s="27" t="s">
        <v>2268</v>
      </c>
      <c r="J69" s="27" t="s">
        <v>1477</v>
      </c>
      <c r="K69" s="27">
        <v>450</v>
      </c>
      <c r="L69" s="27" t="s">
        <v>2269</v>
      </c>
      <c r="M69" s="27"/>
      <c r="N69" s="155" t="s">
        <v>2270</v>
      </c>
      <c r="S69" s="83" t="s">
        <v>2226</v>
      </c>
      <c r="T69" s="83" t="s">
        <v>131</v>
      </c>
      <c r="U69" s="83">
        <v>1000</v>
      </c>
      <c r="V69" s="83" t="s">
        <v>93</v>
      </c>
    </row>
    <row r="70" spans="1:22" ht="29" x14ac:dyDescent="0.35">
      <c r="A70" s="27" t="s">
        <v>2234</v>
      </c>
      <c r="B70" s="27" t="s">
        <v>2191</v>
      </c>
      <c r="C70" s="10">
        <v>450</v>
      </c>
      <c r="D70" s="10">
        <v>450</v>
      </c>
      <c r="E70" s="27" t="s">
        <v>95</v>
      </c>
      <c r="F70" s="156" t="s">
        <v>717</v>
      </c>
      <c r="G70" s="27" t="s">
        <v>2271</v>
      </c>
      <c r="H70" s="27"/>
      <c r="I70" s="27" t="s">
        <v>2268</v>
      </c>
      <c r="J70" s="27" t="s">
        <v>1449</v>
      </c>
      <c r="K70" s="27">
        <v>450</v>
      </c>
      <c r="L70" s="27" t="s">
        <v>2272</v>
      </c>
      <c r="M70" s="27"/>
      <c r="N70" s="27" t="s">
        <v>2273</v>
      </c>
      <c r="S70" s="83" t="s">
        <v>1022</v>
      </c>
      <c r="T70" s="83" t="s">
        <v>2191</v>
      </c>
      <c r="U70" s="83">
        <v>450</v>
      </c>
      <c r="V70" s="83" t="s">
        <v>76</v>
      </c>
    </row>
    <row r="71" spans="1:22" ht="29" x14ac:dyDescent="0.35">
      <c r="A71" s="27" t="s">
        <v>2254</v>
      </c>
      <c r="B71" s="27" t="s">
        <v>2191</v>
      </c>
      <c r="C71" s="10">
        <v>450</v>
      </c>
      <c r="D71" s="10">
        <v>450</v>
      </c>
      <c r="E71" s="27" t="s">
        <v>95</v>
      </c>
      <c r="F71" s="156" t="s">
        <v>717</v>
      </c>
      <c r="G71" s="27"/>
      <c r="H71" s="27"/>
      <c r="I71" s="27" t="s">
        <v>2268</v>
      </c>
      <c r="J71" s="27" t="s">
        <v>2047</v>
      </c>
      <c r="K71" s="27">
        <v>450</v>
      </c>
      <c r="L71" s="27" t="s">
        <v>2274</v>
      </c>
      <c r="M71" s="27"/>
      <c r="N71" s="155" t="s">
        <v>2275</v>
      </c>
      <c r="S71" s="83" t="s">
        <v>352</v>
      </c>
      <c r="T71" s="83" t="s">
        <v>2193</v>
      </c>
      <c r="U71" s="83">
        <v>2500</v>
      </c>
      <c r="V71" s="83" t="s">
        <v>92</v>
      </c>
    </row>
    <row r="72" spans="1:22" x14ac:dyDescent="0.35">
      <c r="A72" s="27" t="s">
        <v>2276</v>
      </c>
      <c r="B72" s="27" t="s">
        <v>2191</v>
      </c>
      <c r="C72" s="10">
        <v>450</v>
      </c>
      <c r="D72" s="10">
        <v>450</v>
      </c>
      <c r="E72" s="27" t="s">
        <v>92</v>
      </c>
      <c r="F72" s="156" t="s">
        <v>1397</v>
      </c>
      <c r="G72" s="27"/>
      <c r="H72" s="27"/>
      <c r="I72" s="27" t="s">
        <v>2268</v>
      </c>
      <c r="J72" s="27"/>
      <c r="K72" s="27"/>
      <c r="L72" s="27" t="s">
        <v>2277</v>
      </c>
      <c r="M72" s="27"/>
      <c r="N72" s="27"/>
      <c r="S72" s="83" t="s">
        <v>2278</v>
      </c>
      <c r="T72" s="83" t="s">
        <v>2191</v>
      </c>
      <c r="U72" s="83">
        <v>450</v>
      </c>
      <c r="V72" s="83" t="s">
        <v>76</v>
      </c>
    </row>
    <row r="73" spans="1:22" x14ac:dyDescent="0.35">
      <c r="A73" s="27" t="s">
        <v>984</v>
      </c>
      <c r="B73" s="27" t="s">
        <v>2191</v>
      </c>
      <c r="C73" s="10">
        <v>450</v>
      </c>
      <c r="D73" s="10">
        <v>450</v>
      </c>
      <c r="E73" s="27"/>
      <c r="F73" s="156" t="s">
        <v>1397</v>
      </c>
      <c r="G73" s="27"/>
      <c r="H73" s="27"/>
      <c r="I73" s="27" t="s">
        <v>2268</v>
      </c>
      <c r="J73" s="27"/>
      <c r="K73" s="27"/>
      <c r="L73" s="27"/>
      <c r="M73" s="27"/>
      <c r="N73" s="27"/>
      <c r="S73" s="83" t="s">
        <v>1028</v>
      </c>
      <c r="T73" s="83" t="s">
        <v>131</v>
      </c>
      <c r="U73" s="83">
        <v>1000</v>
      </c>
      <c r="V73" s="83" t="s">
        <v>90</v>
      </c>
    </row>
    <row r="74" spans="1:22" x14ac:dyDescent="0.35">
      <c r="A74" s="27" t="s">
        <v>2230</v>
      </c>
      <c r="B74" s="27" t="s">
        <v>2191</v>
      </c>
      <c r="C74" s="10">
        <v>450</v>
      </c>
      <c r="D74" s="10">
        <v>450</v>
      </c>
      <c r="E74" s="27" t="s">
        <v>92</v>
      </c>
      <c r="F74" s="156" t="s">
        <v>638</v>
      </c>
      <c r="G74" s="27"/>
      <c r="H74" s="27"/>
      <c r="I74" s="27" t="s">
        <v>2268</v>
      </c>
      <c r="J74" s="27" t="s">
        <v>745</v>
      </c>
      <c r="K74" s="27">
        <v>450</v>
      </c>
      <c r="L74" s="27" t="s">
        <v>2279</v>
      </c>
      <c r="M74" s="27"/>
      <c r="N74" s="155" t="s">
        <v>2280</v>
      </c>
      <c r="S74" s="202" t="s">
        <v>485</v>
      </c>
      <c r="T74" s="202" t="s">
        <v>2191</v>
      </c>
      <c r="U74" s="202">
        <v>450</v>
      </c>
      <c r="V74" s="202" t="s">
        <v>93</v>
      </c>
    </row>
    <row r="75" spans="1:22" x14ac:dyDescent="0.35">
      <c r="A75" s="27" t="s">
        <v>2281</v>
      </c>
      <c r="B75" s="27" t="s">
        <v>2191</v>
      </c>
      <c r="C75" s="10">
        <v>450</v>
      </c>
      <c r="D75" s="10">
        <v>450</v>
      </c>
      <c r="E75" s="27" t="s">
        <v>93</v>
      </c>
      <c r="F75" s="156" t="s">
        <v>638</v>
      </c>
      <c r="G75" s="27"/>
      <c r="H75" s="27"/>
      <c r="I75" s="27" t="s">
        <v>2268</v>
      </c>
      <c r="J75" s="27" t="s">
        <v>630</v>
      </c>
      <c r="K75" s="27">
        <v>450</v>
      </c>
      <c r="L75" s="27" t="s">
        <v>2282</v>
      </c>
      <c r="M75" s="27"/>
      <c r="N75" s="155" t="s">
        <v>2283</v>
      </c>
      <c r="S75" s="83" t="s">
        <v>2218</v>
      </c>
      <c r="T75" s="83" t="s">
        <v>131</v>
      </c>
      <c r="U75" s="83">
        <v>1000</v>
      </c>
      <c r="V75" s="83" t="s">
        <v>76</v>
      </c>
    </row>
    <row r="76" spans="1:22" x14ac:dyDescent="0.35">
      <c r="A76" s="27" t="s">
        <v>2237</v>
      </c>
      <c r="B76" s="27" t="s">
        <v>2191</v>
      </c>
      <c r="C76" s="10">
        <v>450</v>
      </c>
      <c r="D76" s="10">
        <v>500</v>
      </c>
      <c r="E76" s="27" t="s">
        <v>76</v>
      </c>
      <c r="F76" s="156" t="s">
        <v>644</v>
      </c>
      <c r="G76" s="27"/>
      <c r="H76" s="27"/>
      <c r="I76" s="214" t="s">
        <v>2268</v>
      </c>
      <c r="J76" s="195">
        <v>45944</v>
      </c>
      <c r="K76" s="27">
        <v>500</v>
      </c>
      <c r="L76" s="27" t="s">
        <v>2284</v>
      </c>
      <c r="M76" s="27"/>
      <c r="N76" s="155" t="s">
        <v>2285</v>
      </c>
      <c r="S76" s="83" t="s">
        <v>549</v>
      </c>
      <c r="T76" s="83" t="s">
        <v>2193</v>
      </c>
      <c r="U76" s="83">
        <v>0</v>
      </c>
      <c r="V76" s="83" t="s">
        <v>95</v>
      </c>
    </row>
    <row r="77" spans="1:22" x14ac:dyDescent="0.35">
      <c r="A77" s="27" t="s">
        <v>2286</v>
      </c>
      <c r="B77" s="27" t="s">
        <v>2191</v>
      </c>
      <c r="C77" s="10">
        <v>450</v>
      </c>
      <c r="D77" s="10">
        <v>450</v>
      </c>
      <c r="E77" s="27" t="s">
        <v>76</v>
      </c>
      <c r="F77" s="156" t="s">
        <v>644</v>
      </c>
      <c r="G77" s="27"/>
      <c r="H77" s="27"/>
      <c r="I77" s="214" t="s">
        <v>2268</v>
      </c>
      <c r="J77" s="27" t="s">
        <v>2244</v>
      </c>
      <c r="K77" s="27">
        <v>450</v>
      </c>
      <c r="L77" s="27" t="s">
        <v>2287</v>
      </c>
      <c r="M77" s="27"/>
      <c r="N77" s="155" t="s">
        <v>2288</v>
      </c>
      <c r="S77" s="202" t="s">
        <v>401</v>
      </c>
      <c r="T77" s="202" t="s">
        <v>39</v>
      </c>
      <c r="U77" s="202">
        <v>500</v>
      </c>
      <c r="V77" s="202" t="s">
        <v>24</v>
      </c>
    </row>
    <row r="78" spans="1:22" x14ac:dyDescent="0.35">
      <c r="A78" s="27" t="s">
        <v>2278</v>
      </c>
      <c r="B78" s="27" t="s">
        <v>2191</v>
      </c>
      <c r="C78" s="10">
        <v>450</v>
      </c>
      <c r="D78" s="10">
        <v>500</v>
      </c>
      <c r="E78" s="27" t="s">
        <v>76</v>
      </c>
      <c r="F78" s="156" t="s">
        <v>2238</v>
      </c>
      <c r="G78" s="27"/>
      <c r="H78" s="27"/>
      <c r="I78" s="27" t="s">
        <v>2268</v>
      </c>
      <c r="J78" s="195">
        <v>45890</v>
      </c>
      <c r="K78" s="27">
        <v>500</v>
      </c>
      <c r="L78" s="27" t="s">
        <v>2289</v>
      </c>
      <c r="M78" s="27"/>
      <c r="N78" s="155" t="s">
        <v>2290</v>
      </c>
      <c r="S78" s="83" t="s">
        <v>2291</v>
      </c>
      <c r="T78" s="83" t="s">
        <v>2191</v>
      </c>
      <c r="U78" s="83">
        <v>450</v>
      </c>
      <c r="V78" s="83" t="s">
        <v>92</v>
      </c>
    </row>
    <row r="79" spans="1:22" x14ac:dyDescent="0.35">
      <c r="A79" s="27" t="s">
        <v>2248</v>
      </c>
      <c r="B79" s="27" t="s">
        <v>2191</v>
      </c>
      <c r="C79" s="10">
        <v>450</v>
      </c>
      <c r="D79" s="10">
        <v>500</v>
      </c>
      <c r="E79" s="27" t="s">
        <v>76</v>
      </c>
      <c r="F79" s="156" t="s">
        <v>664</v>
      </c>
      <c r="G79" s="27"/>
      <c r="H79" s="27"/>
      <c r="I79" s="27" t="s">
        <v>2241</v>
      </c>
      <c r="J79" s="195">
        <v>45873</v>
      </c>
      <c r="K79" s="27">
        <v>500</v>
      </c>
      <c r="L79" s="27" t="s">
        <v>2292</v>
      </c>
      <c r="M79" s="27"/>
      <c r="N79" s="155" t="s">
        <v>2293</v>
      </c>
      <c r="S79" s="83" t="s">
        <v>572</v>
      </c>
      <c r="T79" s="83" t="s">
        <v>2191</v>
      </c>
      <c r="U79" s="83">
        <v>450</v>
      </c>
      <c r="V79" s="83" t="s">
        <v>93</v>
      </c>
    </row>
    <row r="80" spans="1:22" x14ac:dyDescent="0.35">
      <c r="A80" s="27" t="s">
        <v>2294</v>
      </c>
      <c r="B80" s="27" t="s">
        <v>2191</v>
      </c>
      <c r="C80" s="10">
        <v>450</v>
      </c>
      <c r="D80" s="10">
        <v>500</v>
      </c>
      <c r="E80" s="27" t="s">
        <v>76</v>
      </c>
      <c r="F80" s="156" t="s">
        <v>664</v>
      </c>
      <c r="G80" s="27"/>
      <c r="H80" s="27"/>
      <c r="I80" s="27" t="s">
        <v>2241</v>
      </c>
      <c r="J80" s="195">
        <v>45925</v>
      </c>
      <c r="K80" s="27">
        <v>500</v>
      </c>
      <c r="L80" s="27" t="s">
        <v>2295</v>
      </c>
      <c r="M80" s="27"/>
      <c r="N80" s="155" t="s">
        <v>2296</v>
      </c>
      <c r="S80" s="83" t="s">
        <v>822</v>
      </c>
      <c r="T80" s="83" t="s">
        <v>131</v>
      </c>
      <c r="U80" s="83">
        <v>1000</v>
      </c>
      <c r="V80" s="83" t="s">
        <v>92</v>
      </c>
    </row>
    <row r="81" spans="1:22" ht="29" x14ac:dyDescent="0.35">
      <c r="A81" s="27" t="s">
        <v>2297</v>
      </c>
      <c r="B81" s="27" t="s">
        <v>2191</v>
      </c>
      <c r="C81" s="10">
        <v>450</v>
      </c>
      <c r="D81" s="10">
        <v>500</v>
      </c>
      <c r="E81" s="27" t="s">
        <v>76</v>
      </c>
      <c r="F81" s="156" t="s">
        <v>630</v>
      </c>
      <c r="G81" s="27" t="s">
        <v>2298</v>
      </c>
      <c r="H81" s="27"/>
      <c r="I81" s="27" t="s">
        <v>2241</v>
      </c>
      <c r="J81" s="27" t="s">
        <v>506</v>
      </c>
      <c r="K81" s="27">
        <v>500</v>
      </c>
      <c r="L81" s="27" t="s">
        <v>2299</v>
      </c>
      <c r="M81" s="27"/>
      <c r="N81" s="155" t="s">
        <v>2300</v>
      </c>
      <c r="S81" s="27" t="s">
        <v>1077</v>
      </c>
      <c r="T81" s="27" t="s">
        <v>2191</v>
      </c>
      <c r="U81" s="27">
        <v>0</v>
      </c>
      <c r="V81" s="27"/>
    </row>
    <row r="82" spans="1:22" x14ac:dyDescent="0.35">
      <c r="A82" s="27" t="s">
        <v>2301</v>
      </c>
      <c r="B82" s="27" t="s">
        <v>2191</v>
      </c>
      <c r="C82" s="10">
        <v>450</v>
      </c>
      <c r="D82" s="10">
        <v>450</v>
      </c>
      <c r="E82" s="27" t="s">
        <v>76</v>
      </c>
      <c r="F82" s="156" t="s">
        <v>1477</v>
      </c>
      <c r="G82" s="27"/>
      <c r="H82" s="27"/>
      <c r="I82" s="27" t="s">
        <v>2241</v>
      </c>
      <c r="J82" s="27" t="s">
        <v>1449</v>
      </c>
      <c r="K82" s="27">
        <v>450</v>
      </c>
      <c r="L82" s="27" t="s">
        <v>2302</v>
      </c>
      <c r="M82" s="27"/>
      <c r="N82" s="87" t="s">
        <v>2303</v>
      </c>
      <c r="S82" s="83" t="s">
        <v>2304</v>
      </c>
      <c r="T82" s="83" t="s">
        <v>2191</v>
      </c>
      <c r="U82" s="83">
        <v>450</v>
      </c>
      <c r="V82" s="83" t="s">
        <v>93</v>
      </c>
    </row>
    <row r="83" spans="1:22" ht="43.5" x14ac:dyDescent="0.35">
      <c r="A83" s="27" t="s">
        <v>747</v>
      </c>
      <c r="B83" s="27" t="s">
        <v>2191</v>
      </c>
      <c r="C83" s="10">
        <v>450</v>
      </c>
      <c r="D83" s="10">
        <v>450</v>
      </c>
      <c r="E83" s="27" t="s">
        <v>90</v>
      </c>
      <c r="F83" s="156" t="s">
        <v>557</v>
      </c>
      <c r="G83" s="27"/>
      <c r="H83" s="27"/>
      <c r="I83" s="27" t="s">
        <v>2241</v>
      </c>
      <c r="J83" s="27" t="s">
        <v>2305</v>
      </c>
      <c r="K83" s="27">
        <v>450</v>
      </c>
      <c r="L83" s="9" t="s">
        <v>559</v>
      </c>
      <c r="M83" s="9"/>
      <c r="N83" s="87" t="s">
        <v>560</v>
      </c>
      <c r="S83" s="83" t="s">
        <v>182</v>
      </c>
      <c r="T83" s="83" t="s">
        <v>131</v>
      </c>
      <c r="U83" s="83">
        <v>0</v>
      </c>
      <c r="V83" s="83"/>
    </row>
    <row r="84" spans="1:22" x14ac:dyDescent="0.35">
      <c r="A84" s="27" t="s">
        <v>531</v>
      </c>
      <c r="B84" s="27" t="s">
        <v>2191</v>
      </c>
      <c r="C84" s="10">
        <v>450</v>
      </c>
      <c r="D84" s="10">
        <v>450</v>
      </c>
      <c r="E84" s="27" t="s">
        <v>95</v>
      </c>
      <c r="F84" s="156" t="s">
        <v>44</v>
      </c>
      <c r="G84" s="27"/>
      <c r="H84" s="27"/>
      <c r="I84" s="27" t="s">
        <v>2241</v>
      </c>
      <c r="J84" s="27" t="s">
        <v>514</v>
      </c>
      <c r="K84" s="27">
        <v>450</v>
      </c>
      <c r="L84" s="27" t="s">
        <v>535</v>
      </c>
      <c r="M84" s="27"/>
      <c r="N84" s="87" t="s">
        <v>698</v>
      </c>
      <c r="S84" s="83" t="s">
        <v>1102</v>
      </c>
      <c r="T84" s="83" t="s">
        <v>39</v>
      </c>
      <c r="U84" s="83">
        <v>650</v>
      </c>
      <c r="V84" s="83" t="s">
        <v>76</v>
      </c>
    </row>
    <row r="85" spans="1:22" ht="14.25" customHeight="1" x14ac:dyDescent="0.35">
      <c r="A85" s="27" t="s">
        <v>778</v>
      </c>
      <c r="B85" s="27" t="s">
        <v>2191</v>
      </c>
      <c r="C85" s="10">
        <v>450</v>
      </c>
      <c r="D85" s="10">
        <v>450</v>
      </c>
      <c r="E85" s="27" t="s">
        <v>92</v>
      </c>
      <c r="F85" s="156" t="s">
        <v>771</v>
      </c>
      <c r="G85" s="27"/>
      <c r="H85" s="27"/>
      <c r="I85" s="27" t="s">
        <v>2210</v>
      </c>
      <c r="J85" s="195" t="s">
        <v>514</v>
      </c>
      <c r="K85" s="27">
        <v>450</v>
      </c>
      <c r="L85" s="9" t="s">
        <v>779</v>
      </c>
      <c r="M85" s="9"/>
      <c r="N85" s="81" t="s">
        <v>780</v>
      </c>
      <c r="S85" s="27" t="s">
        <v>2306</v>
      </c>
      <c r="T85" s="27" t="s">
        <v>2191</v>
      </c>
      <c r="U85" s="27">
        <v>450</v>
      </c>
      <c r="V85" s="27" t="s">
        <v>76</v>
      </c>
    </row>
    <row r="86" spans="1:22" x14ac:dyDescent="0.35">
      <c r="A86" s="27" t="s">
        <v>2307</v>
      </c>
      <c r="B86" s="27" t="s">
        <v>2191</v>
      </c>
      <c r="C86" s="10">
        <v>450</v>
      </c>
      <c r="D86" s="10">
        <v>450</v>
      </c>
      <c r="E86" s="27" t="s">
        <v>93</v>
      </c>
      <c r="F86" s="156" t="s">
        <v>2244</v>
      </c>
      <c r="G86" s="27"/>
      <c r="H86" s="27"/>
      <c r="I86" s="27" t="s">
        <v>2210</v>
      </c>
      <c r="J86" s="195" t="s">
        <v>2305</v>
      </c>
      <c r="K86" s="27">
        <v>450</v>
      </c>
      <c r="L86" s="27" t="s">
        <v>2308</v>
      </c>
      <c r="M86" s="27"/>
      <c r="N86" s="87" t="s">
        <v>2309</v>
      </c>
      <c r="S86" s="202" t="s">
        <v>424</v>
      </c>
      <c r="T86" s="202" t="s">
        <v>2191</v>
      </c>
      <c r="U86" s="202">
        <v>450</v>
      </c>
      <c r="V86" s="202" t="s">
        <v>90</v>
      </c>
    </row>
    <row r="87" spans="1:22" x14ac:dyDescent="0.35">
      <c r="A87" s="27" t="s">
        <v>2310</v>
      </c>
      <c r="B87" s="27" t="s">
        <v>2311</v>
      </c>
      <c r="C87" s="10">
        <v>750</v>
      </c>
      <c r="D87" s="10">
        <v>750</v>
      </c>
      <c r="E87" s="27" t="s">
        <v>76</v>
      </c>
      <c r="F87" s="156" t="s">
        <v>2244</v>
      </c>
      <c r="G87" s="27"/>
      <c r="H87" s="27"/>
      <c r="I87" s="27" t="s">
        <v>2214</v>
      </c>
      <c r="J87" s="195">
        <v>45888</v>
      </c>
      <c r="K87" s="27">
        <v>750</v>
      </c>
      <c r="L87" s="27" t="s">
        <v>2312</v>
      </c>
      <c r="M87" s="27"/>
      <c r="N87" s="87" t="s">
        <v>2313</v>
      </c>
      <c r="S87" s="202" t="s">
        <v>584</v>
      </c>
      <c r="T87" s="202" t="s">
        <v>2191</v>
      </c>
      <c r="U87" s="202">
        <v>0</v>
      </c>
      <c r="V87" s="202"/>
    </row>
    <row r="88" spans="1:22" x14ac:dyDescent="0.35">
      <c r="A88" s="27" t="s">
        <v>2314</v>
      </c>
      <c r="B88" s="27" t="s">
        <v>2191</v>
      </c>
      <c r="C88" s="10">
        <v>450</v>
      </c>
      <c r="D88" s="10">
        <v>450</v>
      </c>
      <c r="E88" s="27"/>
      <c r="F88" s="156" t="s">
        <v>2244</v>
      </c>
      <c r="G88" s="27"/>
      <c r="H88" s="27"/>
      <c r="I88" s="27" t="s">
        <v>2315</v>
      </c>
      <c r="J88" s="195" t="s">
        <v>2244</v>
      </c>
      <c r="K88" s="27">
        <v>450</v>
      </c>
      <c r="L88" s="27"/>
      <c r="M88" s="27"/>
      <c r="N88" s="27"/>
      <c r="S88" s="27" t="s">
        <v>374</v>
      </c>
      <c r="T88" s="27" t="s">
        <v>2191</v>
      </c>
      <c r="U88" s="27">
        <v>450</v>
      </c>
      <c r="V88" s="27" t="s">
        <v>76</v>
      </c>
    </row>
    <row r="89" spans="1:22" ht="29" x14ac:dyDescent="0.35">
      <c r="A89" s="27" t="s">
        <v>808</v>
      </c>
      <c r="B89" s="27" t="s">
        <v>2191</v>
      </c>
      <c r="C89" s="10">
        <v>450</v>
      </c>
      <c r="D89" s="10">
        <v>500</v>
      </c>
      <c r="E89" s="27" t="s">
        <v>76</v>
      </c>
      <c r="F89" s="156" t="s">
        <v>2244</v>
      </c>
      <c r="G89" s="27"/>
      <c r="H89" s="27"/>
      <c r="I89" s="27" t="s">
        <v>2210</v>
      </c>
      <c r="J89" s="195" t="s">
        <v>2316</v>
      </c>
      <c r="K89" s="27">
        <f>450+50</f>
        <v>500</v>
      </c>
      <c r="L89" s="27" t="s">
        <v>2317</v>
      </c>
      <c r="M89" s="27"/>
      <c r="N89" s="87" t="s">
        <v>2318</v>
      </c>
      <c r="S89" s="83" t="s">
        <v>52</v>
      </c>
      <c r="T89" s="83" t="s">
        <v>131</v>
      </c>
      <c r="U89" s="83">
        <v>1000</v>
      </c>
      <c r="V89" s="83" t="s">
        <v>24</v>
      </c>
    </row>
    <row r="90" spans="1:22" x14ac:dyDescent="0.35">
      <c r="A90" s="27" t="s">
        <v>2198</v>
      </c>
      <c r="B90" s="27" t="s">
        <v>2191</v>
      </c>
      <c r="C90" s="10">
        <v>450</v>
      </c>
      <c r="D90" s="10">
        <v>450</v>
      </c>
      <c r="E90" s="27" t="s">
        <v>92</v>
      </c>
      <c r="F90" s="156" t="s">
        <v>2244</v>
      </c>
      <c r="G90" s="27"/>
      <c r="H90" s="27"/>
      <c r="I90" s="27" t="s">
        <v>2210</v>
      </c>
      <c r="J90" s="195">
        <v>45887</v>
      </c>
      <c r="K90" s="27">
        <v>450</v>
      </c>
      <c r="L90" s="27" t="s">
        <v>2319</v>
      </c>
      <c r="M90" s="27"/>
      <c r="N90" s="87" t="s">
        <v>2320</v>
      </c>
      <c r="S90" s="83" t="s">
        <v>819</v>
      </c>
      <c r="T90" s="83" t="s">
        <v>2191</v>
      </c>
      <c r="U90" s="83">
        <v>350</v>
      </c>
      <c r="V90" s="83" t="s">
        <v>93</v>
      </c>
    </row>
    <row r="91" spans="1:22" x14ac:dyDescent="0.35">
      <c r="A91" s="27" t="s">
        <v>2321</v>
      </c>
      <c r="B91" s="27" t="s">
        <v>2191</v>
      </c>
      <c r="C91" s="10">
        <v>450</v>
      </c>
      <c r="D91" s="10">
        <v>450</v>
      </c>
      <c r="E91" s="27" t="s">
        <v>76</v>
      </c>
      <c r="F91" s="156" t="s">
        <v>2305</v>
      </c>
      <c r="G91" s="27"/>
      <c r="H91" s="27"/>
      <c r="I91" s="27" t="s">
        <v>2214</v>
      </c>
      <c r="J91" s="195">
        <v>45873</v>
      </c>
      <c r="K91" s="27">
        <v>450</v>
      </c>
      <c r="L91" s="27" t="s">
        <v>2322</v>
      </c>
      <c r="M91" s="27"/>
      <c r="N91" s="87" t="s">
        <v>2323</v>
      </c>
      <c r="S91" s="83" t="s">
        <v>657</v>
      </c>
      <c r="T91" s="83" t="s">
        <v>39</v>
      </c>
      <c r="U91" s="83">
        <v>600</v>
      </c>
      <c r="V91" s="83" t="s">
        <v>92</v>
      </c>
    </row>
    <row r="92" spans="1:22" x14ac:dyDescent="0.35">
      <c r="A92" s="27" t="s">
        <v>2324</v>
      </c>
      <c r="B92" s="27" t="s">
        <v>2191</v>
      </c>
      <c r="C92" s="10">
        <v>450</v>
      </c>
      <c r="D92" s="10">
        <v>450</v>
      </c>
      <c r="E92" s="27" t="s">
        <v>76</v>
      </c>
      <c r="F92" s="156" t="s">
        <v>1449</v>
      </c>
      <c r="G92" s="27"/>
      <c r="H92" s="27"/>
      <c r="I92" s="27" t="s">
        <v>2214</v>
      </c>
      <c r="J92" s="195">
        <v>45868</v>
      </c>
      <c r="K92" s="27">
        <v>450</v>
      </c>
      <c r="L92" s="27" t="s">
        <v>2325</v>
      </c>
      <c r="M92" s="27"/>
      <c r="N92" s="87" t="s">
        <v>2326</v>
      </c>
    </row>
    <row r="93" spans="1:22" x14ac:dyDescent="0.35">
      <c r="A93" s="27" t="s">
        <v>2327</v>
      </c>
      <c r="B93" s="27" t="s">
        <v>2191</v>
      </c>
      <c r="C93" s="10">
        <v>450</v>
      </c>
      <c r="D93" s="10">
        <v>450</v>
      </c>
      <c r="E93" s="27" t="s">
        <v>92</v>
      </c>
      <c r="F93" s="156" t="s">
        <v>703</v>
      </c>
      <c r="G93" s="27"/>
      <c r="H93" s="27"/>
      <c r="I93" s="27" t="s">
        <v>487</v>
      </c>
      <c r="J93" s="195">
        <v>45875</v>
      </c>
      <c r="K93" s="27">
        <v>450</v>
      </c>
      <c r="L93" s="27" t="s">
        <v>2328</v>
      </c>
      <c r="M93" s="27"/>
      <c r="N93" s="87" t="s">
        <v>2329</v>
      </c>
    </row>
    <row r="94" spans="1:22" x14ac:dyDescent="0.35">
      <c r="A94" s="27" t="s">
        <v>2197</v>
      </c>
      <c r="B94" s="27" t="s">
        <v>2311</v>
      </c>
      <c r="C94" s="10">
        <v>750</v>
      </c>
      <c r="D94" s="10">
        <v>750</v>
      </c>
      <c r="E94" s="27" t="s">
        <v>76</v>
      </c>
      <c r="F94" s="156" t="s">
        <v>2330</v>
      </c>
      <c r="G94" s="27"/>
      <c r="H94" s="27"/>
      <c r="I94" s="27" t="s">
        <v>2214</v>
      </c>
      <c r="J94" s="195" t="s">
        <v>703</v>
      </c>
      <c r="K94" s="27">
        <v>750</v>
      </c>
      <c r="L94" s="27" t="s">
        <v>2331</v>
      </c>
      <c r="M94" s="27"/>
      <c r="N94" s="87" t="s">
        <v>2332</v>
      </c>
    </row>
    <row r="95" spans="1:22" ht="29" x14ac:dyDescent="0.35">
      <c r="A95" s="27" t="s">
        <v>980</v>
      </c>
      <c r="B95" s="27" t="s">
        <v>2191</v>
      </c>
      <c r="C95" s="10">
        <v>450</v>
      </c>
      <c r="D95" s="10">
        <v>500</v>
      </c>
      <c r="E95" s="27" t="s">
        <v>76</v>
      </c>
      <c r="F95" s="156" t="s">
        <v>511</v>
      </c>
      <c r="G95" s="27"/>
      <c r="H95" s="27"/>
      <c r="I95" s="27" t="s">
        <v>2217</v>
      </c>
      <c r="J95" s="195" t="s">
        <v>930</v>
      </c>
      <c r="K95" s="27">
        <v>500</v>
      </c>
      <c r="L95" s="27" t="s">
        <v>2333</v>
      </c>
      <c r="M95" s="27"/>
      <c r="N95" s="87" t="s">
        <v>2334</v>
      </c>
    </row>
    <row r="96" spans="1:22" ht="43.5" x14ac:dyDescent="0.35">
      <c r="A96" s="27" t="s">
        <v>918</v>
      </c>
      <c r="B96" s="27" t="s">
        <v>2191</v>
      </c>
      <c r="C96" s="10">
        <v>450</v>
      </c>
      <c r="D96" s="10">
        <v>500</v>
      </c>
      <c r="E96" s="27" t="s">
        <v>76</v>
      </c>
      <c r="F96" s="156" t="s">
        <v>511</v>
      </c>
      <c r="G96" s="27"/>
      <c r="H96" s="94" t="s">
        <v>27</v>
      </c>
      <c r="I96" s="27" t="s">
        <v>2335</v>
      </c>
      <c r="J96" s="195"/>
      <c r="K96" s="27"/>
      <c r="L96" s="9" t="s">
        <v>920</v>
      </c>
      <c r="M96" s="9"/>
      <c r="N96" s="87" t="s">
        <v>921</v>
      </c>
    </row>
    <row r="97" spans="1:14" ht="43.5" x14ac:dyDescent="0.35">
      <c r="A97" s="27" t="s">
        <v>2336</v>
      </c>
      <c r="B97" s="27" t="s">
        <v>2191</v>
      </c>
      <c r="C97" s="10">
        <v>450</v>
      </c>
      <c r="D97" s="10">
        <v>450</v>
      </c>
      <c r="E97" s="27" t="s">
        <v>76</v>
      </c>
      <c r="F97" s="156" t="s">
        <v>514</v>
      </c>
      <c r="G97" s="27"/>
      <c r="H97" s="27"/>
      <c r="I97" s="27" t="s">
        <v>2140</v>
      </c>
      <c r="J97" s="195">
        <v>45880</v>
      </c>
      <c r="K97" s="27">
        <v>450</v>
      </c>
      <c r="L97" s="27" t="s">
        <v>2337</v>
      </c>
      <c r="M97" s="27"/>
      <c r="N97" s="87" t="s">
        <v>2338</v>
      </c>
    </row>
    <row r="98" spans="1:14" x14ac:dyDescent="0.35">
      <c r="A98" s="27" t="s">
        <v>1687</v>
      </c>
      <c r="B98" s="27" t="s">
        <v>2191</v>
      </c>
      <c r="C98" s="10">
        <v>450</v>
      </c>
      <c r="D98" s="10">
        <v>450</v>
      </c>
      <c r="E98" s="27" t="s">
        <v>76</v>
      </c>
      <c r="F98" s="156" t="s">
        <v>506</v>
      </c>
      <c r="G98" s="27"/>
      <c r="H98" s="94" t="s">
        <v>27</v>
      </c>
      <c r="I98" s="27"/>
      <c r="J98" s="195">
        <v>45887</v>
      </c>
      <c r="K98" s="27">
        <v>450</v>
      </c>
      <c r="L98" s="27" t="s">
        <v>1690</v>
      </c>
      <c r="M98" s="27"/>
      <c r="N98" s="92" t="s">
        <v>1691</v>
      </c>
    </row>
    <row r="99" spans="1:14" x14ac:dyDescent="0.35">
      <c r="A99" s="27" t="s">
        <v>2339</v>
      </c>
      <c r="B99" s="27" t="s">
        <v>2191</v>
      </c>
      <c r="C99" s="10">
        <v>450</v>
      </c>
      <c r="D99" s="10">
        <v>450</v>
      </c>
      <c r="E99" s="27" t="s">
        <v>76</v>
      </c>
      <c r="F99" s="156" t="s">
        <v>930</v>
      </c>
      <c r="G99" s="27"/>
      <c r="H99" s="27"/>
      <c r="I99" s="27" t="s">
        <v>2340</v>
      </c>
      <c r="J99" s="195">
        <v>45877</v>
      </c>
      <c r="K99" s="27">
        <v>450</v>
      </c>
      <c r="L99" s="27" t="s">
        <v>2341</v>
      </c>
      <c r="M99" s="27"/>
      <c r="N99" s="101" t="s">
        <v>2342</v>
      </c>
    </row>
    <row r="100" spans="1:14" x14ac:dyDescent="0.35">
      <c r="A100" s="27" t="s">
        <v>2343</v>
      </c>
      <c r="B100" s="27" t="s">
        <v>2311</v>
      </c>
      <c r="C100" s="10">
        <v>750</v>
      </c>
      <c r="D100" s="10">
        <v>750</v>
      </c>
      <c r="E100" s="27" t="s">
        <v>76</v>
      </c>
      <c r="F100" s="156" t="s">
        <v>2344</v>
      </c>
      <c r="G100" s="27"/>
      <c r="H100" s="27"/>
      <c r="I100" s="27" t="s">
        <v>2227</v>
      </c>
      <c r="J100" s="195">
        <v>45880</v>
      </c>
      <c r="K100" s="27">
        <v>750</v>
      </c>
      <c r="L100" s="27" t="s">
        <v>2345</v>
      </c>
      <c r="M100" s="27"/>
      <c r="N100" s="101" t="s">
        <v>2346</v>
      </c>
    </row>
    <row r="101" spans="1:14" x14ac:dyDescent="0.35">
      <c r="A101" s="27" t="s">
        <v>182</v>
      </c>
      <c r="B101" s="27" t="s">
        <v>2191</v>
      </c>
      <c r="C101" s="10">
        <v>450</v>
      </c>
      <c r="D101" s="10">
        <v>450</v>
      </c>
      <c r="E101" s="27"/>
      <c r="F101" s="156" t="s">
        <v>930</v>
      </c>
      <c r="G101" s="27"/>
      <c r="H101" s="27"/>
      <c r="I101" s="27" t="s">
        <v>2227</v>
      </c>
      <c r="J101" s="195">
        <v>45898</v>
      </c>
      <c r="K101" s="27">
        <v>450</v>
      </c>
      <c r="L101" s="27"/>
      <c r="M101" s="27"/>
      <c r="N101" s="27"/>
    </row>
    <row r="102" spans="1:14" x14ac:dyDescent="0.35">
      <c r="A102" s="27" t="s">
        <v>2347</v>
      </c>
      <c r="B102" s="27" t="s">
        <v>2191</v>
      </c>
      <c r="C102" s="10">
        <v>450</v>
      </c>
      <c r="D102" s="10">
        <v>450</v>
      </c>
      <c r="E102" s="27" t="s">
        <v>93</v>
      </c>
      <c r="F102" s="156" t="s">
        <v>929</v>
      </c>
      <c r="G102" s="27"/>
      <c r="H102" s="27"/>
      <c r="I102" s="27" t="s">
        <v>725</v>
      </c>
      <c r="J102" s="195"/>
      <c r="K102" s="27"/>
      <c r="L102" s="27" t="s">
        <v>2348</v>
      </c>
      <c r="M102" s="27"/>
      <c r="N102" s="101" t="s">
        <v>2349</v>
      </c>
    </row>
    <row r="103" spans="1:14" x14ac:dyDescent="0.35">
      <c r="A103" s="27" t="s">
        <v>2350</v>
      </c>
      <c r="B103" s="27" t="s">
        <v>2191</v>
      </c>
      <c r="C103" s="10">
        <v>450</v>
      </c>
      <c r="D103" s="10">
        <v>450</v>
      </c>
      <c r="E103" s="27"/>
      <c r="F103" s="156" t="s">
        <v>2041</v>
      </c>
      <c r="G103" s="27"/>
      <c r="H103" s="27"/>
      <c r="I103" s="27" t="s">
        <v>2340</v>
      </c>
      <c r="J103" s="195">
        <v>45883</v>
      </c>
      <c r="K103" s="27">
        <v>450</v>
      </c>
      <c r="L103" s="27" t="s">
        <v>2351</v>
      </c>
      <c r="M103" s="27"/>
      <c r="N103" s="92" t="s">
        <v>2352</v>
      </c>
    </row>
    <row r="104" spans="1:14" x14ac:dyDescent="0.35">
      <c r="A104" s="27" t="s">
        <v>285</v>
      </c>
      <c r="B104" s="27" t="s">
        <v>2191</v>
      </c>
      <c r="C104" s="27">
        <v>450</v>
      </c>
      <c r="D104" s="27">
        <v>0</v>
      </c>
      <c r="E104" s="27"/>
      <c r="F104" s="156" t="s">
        <v>938</v>
      </c>
      <c r="G104" s="27"/>
      <c r="H104" s="27" t="s">
        <v>2353</v>
      </c>
      <c r="I104" s="27">
        <v>0</v>
      </c>
      <c r="J104" s="27"/>
      <c r="K104" s="27"/>
      <c r="L104" s="27" t="s">
        <v>2098</v>
      </c>
      <c r="M104" s="27"/>
      <c r="N104" s="92" t="s">
        <v>2099</v>
      </c>
    </row>
    <row r="105" spans="1:14" x14ac:dyDescent="0.35">
      <c r="K105" s="25">
        <f>SUM(K9:K103)</f>
        <v>63555</v>
      </c>
    </row>
    <row r="108" spans="1:14" x14ac:dyDescent="0.35"/>
    <row r="300" spans="5:5" x14ac:dyDescent="0.35">
      <c r="E300" s="23" t="s">
        <v>47</v>
      </c>
    </row>
    <row r="301" spans="5:5" x14ac:dyDescent="0.35">
      <c r="E301" s="23" t="s">
        <v>37</v>
      </c>
    </row>
    <row r="302" spans="5:5" x14ac:dyDescent="0.35">
      <c r="E302" s="23" t="s">
        <v>24</v>
      </c>
    </row>
    <row r="303" spans="5:5" x14ac:dyDescent="0.35">
      <c r="E303" s="23" t="s">
        <v>62</v>
      </c>
    </row>
    <row r="304" spans="5:5" x14ac:dyDescent="0.35">
      <c r="E304" s="23" t="s">
        <v>56</v>
      </c>
    </row>
    <row r="305" spans="5:5" x14ac:dyDescent="0.35">
      <c r="E305" s="23" t="s">
        <v>50</v>
      </c>
    </row>
    <row r="306" spans="5:5" x14ac:dyDescent="0.35">
      <c r="E306" s="23" t="s">
        <v>91</v>
      </c>
    </row>
    <row r="307" spans="5:5" x14ac:dyDescent="0.35">
      <c r="E307" s="23" t="s">
        <v>90</v>
      </c>
    </row>
    <row r="308" spans="5:5" x14ac:dyDescent="0.35">
      <c r="E308" s="23" t="s">
        <v>86</v>
      </c>
    </row>
    <row r="309" spans="5:5" x14ac:dyDescent="0.35">
      <c r="E309" s="23" t="s">
        <v>81</v>
      </c>
    </row>
    <row r="310" spans="5:5" x14ac:dyDescent="0.35">
      <c r="E310" s="23" t="s">
        <v>76</v>
      </c>
    </row>
    <row r="311" spans="5:5" x14ac:dyDescent="0.35">
      <c r="E311" s="23" t="s">
        <v>68</v>
      </c>
    </row>
    <row r="312" spans="5:5" x14ac:dyDescent="0.35">
      <c r="E312" s="23" t="s">
        <v>94</v>
      </c>
    </row>
    <row r="313" spans="5:5" x14ac:dyDescent="0.35">
      <c r="E313" s="23" t="s">
        <v>93</v>
      </c>
    </row>
    <row r="314" spans="5:5" x14ac:dyDescent="0.35">
      <c r="E314" s="23" t="s">
        <v>92</v>
      </c>
    </row>
    <row r="315" spans="5:5" x14ac:dyDescent="0.35">
      <c r="E315" s="23" t="s">
        <v>97</v>
      </c>
    </row>
    <row r="316" spans="5:5" x14ac:dyDescent="0.35">
      <c r="E316" s="23" t="s">
        <v>96</v>
      </c>
    </row>
    <row r="317" spans="5:5" x14ac:dyDescent="0.35">
      <c r="E317" s="23" t="s">
        <v>95</v>
      </c>
    </row>
  </sheetData>
  <sortState xmlns:xlrd2="http://schemas.microsoft.com/office/spreadsheetml/2017/richdata2" ref="S9:V91">
    <sortCondition ref="S9:S91"/>
  </sortState>
  <hyperlinks>
    <hyperlink ref="N58" r:id="rId2" display="mailto:Brandon.pitcock@directauto.com" xr:uid="{4EB73A96-3364-4A0A-9F52-C276761B6034}"/>
    <hyperlink ref="N11" r:id="rId3" display="mailto:spencer.griffith@agfc.ar.gov" xr:uid="{17D3CC2E-D639-4DD5-955C-9C3F61D26113}"/>
    <hyperlink ref="N57" r:id="rId4" display="mailto:rhealana@rhealana.com" xr:uid="{C271998F-58F2-40F3-B8A0-8F6860B7CF2B}"/>
    <hyperlink ref="N59" r:id="rId5" display="mailto:jfaulkner@cbc.edu" xr:uid="{E5380228-447F-49F7-9045-BB4CBC032E21}"/>
    <hyperlink ref="N21" r:id="rId6" display="mailto:karenferguson501@gmail.com" xr:uid="{9A9926F1-A50F-4591-9150-7A37F04D6F8A}"/>
    <hyperlink ref="N14" r:id="rId7" display="mailto:emilywalterrealtor@gmail.com" xr:uid="{A93B308D-4CB4-4353-95F1-EE52B740A91D}"/>
    <hyperlink ref="N38" r:id="rId8" display="mailto:AThreats@leaffilter.com" xr:uid="{F2B93723-7374-4E1D-87D4-44F9555A7A97}"/>
    <hyperlink ref="N28" r:id="rId9" display="mailto:kayla.mckinney@rockdentalbrands.com" xr:uid="{1B7A55AD-4629-4810-A49D-D78ED890F932}"/>
    <hyperlink ref="N29" r:id="rId10" display="mailto:westhepestdetective@gmail.com" xr:uid="{80277B94-AD67-4010-8CF6-3E90B59A6087}"/>
    <hyperlink ref="N40" r:id="rId11" display="mailto:thebarkinglotconway@gmail.com" xr:uid="{93584D3C-22AF-4B5D-8085-F3B66D15DBF6}"/>
    <hyperlink ref="N60" r:id="rId12" display="mailto:ebarnes@chambers.bank" xr:uid="{CDFC8EAA-5E31-46C1-ACD8-01FA3D5A31D9}"/>
    <hyperlink ref="N23" r:id="rId13" xr:uid="{B4586F87-5E22-47E7-A6D8-4349A60F028D}"/>
    <hyperlink ref="N41" r:id="rId14" display="mailto:jay.bernard.l8if@statefarm.com" xr:uid="{675AA39E-B25F-4B72-9149-02A59B6495AB}"/>
    <hyperlink ref="N39" r:id="rId15" display="mailto:idismuke@wacotitle.com" xr:uid="{AB0CD483-EA30-42B1-AD04-ABB217864056}"/>
    <hyperlink ref="N15" r:id="rId16" display="mailto:ahorton@uca.edu" xr:uid="{16308D86-C313-4FDF-B794-13DD198DDCD7}"/>
    <hyperlink ref="N16" r:id="rId17" display="mailto:a0b0q84.s04749.us@samsclub.com" xr:uid="{5BA85C7F-B0A1-4412-A4A1-357E52770162}"/>
    <hyperlink ref="N43" r:id="rId18" display="mailto:bcardin@prolandtitle.com" xr:uid="{793F6CF9-51FC-4049-92CA-D68F94E9805F}"/>
    <hyperlink ref="N65" r:id="rId19" display="mailto:crosscreekcaitlin@gmail.com" xr:uid="{290FABBC-BC31-4B30-905C-7CB9E2B77326}"/>
    <hyperlink ref="N30" r:id="rId20" display="mailto:ccclinic@conwaycorp.net" xr:uid="{A2BE4A9E-8BB4-4C90-8295-CF5112A82186}"/>
    <hyperlink ref="N66" r:id="rId21" display="mailto:claire@homewardhomes.com" xr:uid="{710C5217-1869-4586-93C8-A181F8F97CBA}"/>
    <hyperlink ref="N67" r:id="rId22" display="mailto:Brandon@ciseandys.com" xr:uid="{6D739B63-77A7-429A-ABAB-5CC78B555577}"/>
    <hyperlink ref="N69" r:id="rId23" display="mailto:elissa@indliving.org" xr:uid="{D8FCAECE-D08A-430C-B782-03C42DDCFBFD}"/>
    <hyperlink ref="N74" r:id="rId24" display="mailto:jon@cpcarkansas.com" xr:uid="{782CA89F-56CF-4372-A2A4-A2F0F71279BC}"/>
    <hyperlink ref="N75" r:id="rId25" display="mailto:valaribristol@fnbconway.com" xr:uid="{33F56215-08B7-475F-872D-84F4A5FB8F56}"/>
    <hyperlink ref="N76" r:id="rId26" xr:uid="{4AE334E7-9D72-44F0-BD87-FEBF09D22D86}"/>
    <hyperlink ref="N77" r:id="rId27" display="mailto:airaconway@gmail.com" xr:uid="{7065CE6E-61BE-4C6A-BE12-EFB71BDC3805}"/>
    <hyperlink ref="N78" r:id="rId28" display="mailto:restorationwellnessar@gmail.com" xr:uid="{D43E7763-F768-4547-8159-4BF49F5A2267}"/>
    <hyperlink ref="N71" r:id="rId29" xr:uid="{C9AB15BC-671A-4276-BB4A-FF1B0E3AA9F3}"/>
    <hyperlink ref="N79" r:id="rId30" xr:uid="{6B7041F6-8C0A-4EED-8EFF-FFA619E43579}"/>
    <hyperlink ref="N80" r:id="rId31" display="mailto:destiny@powerchiroclinic.com" xr:uid="{A43EA33E-C853-4270-A69B-C9F90B4DC6A0}"/>
    <hyperlink ref="N81" r:id="rId32" xr:uid="{4C097226-9B0B-4475-8D96-07884F0D6B52}"/>
    <hyperlink ref="N44" r:id="rId33" display="mailto:jakob.henry@edwardjones.com" xr:uid="{4D4AE404-1D29-4E2B-A8F3-01D381C9853F}"/>
    <hyperlink ref="N82" r:id="rId34" xr:uid="{A6B28EBF-6307-4472-93DF-4FB437325E7F}"/>
    <hyperlink ref="N83" r:id="rId35" display="mailto:heather.finch@staleyelectric.com" xr:uid="{7D208F57-9794-4FDC-A667-A262334EEEA7}"/>
    <hyperlink ref="N84" r:id="rId36" display="mailto:dgoforth@AFCU.org" xr:uid="{47F90E44-7FB8-4B4A-BC29-C256B428486F}"/>
    <hyperlink ref="N25" r:id="rId37" xr:uid="{D004FB64-7B54-4ACB-BBF5-7F3946E421DA}"/>
    <hyperlink ref="N87" r:id="rId38" xr:uid="{87A75068-820F-4FE4-AB9F-57D8BFC6F952}"/>
    <hyperlink ref="N45" r:id="rId39" display="mailto:wendy.williams@fyzical.com" xr:uid="{2BA85FA6-225A-44FE-B84E-5362AB0F64B7}"/>
    <hyperlink ref="N86" r:id="rId40" xr:uid="{45D44ECC-461B-4390-A3F0-8B838616224F}"/>
    <hyperlink ref="N89" r:id="rId41" xr:uid="{A74EE4C7-4E10-41C3-A8B9-E73675979E9D}"/>
    <hyperlink ref="N90" r:id="rId42" xr:uid="{1C8D935E-B5A2-4152-9EFB-C30309F98B35}"/>
    <hyperlink ref="N91" r:id="rId43" xr:uid="{5B8CC57C-CA0D-4DFD-8902-232DEFBA342B}"/>
    <hyperlink ref="N92" r:id="rId44" display="mailto:mfgivens76@gmail.com" xr:uid="{DDD6003D-077D-4088-84FC-D3F60856E360}"/>
    <hyperlink ref="N94" r:id="rId45" display="mailto:jennifer@astapro.org" xr:uid="{7BC60A6E-F2B0-45B5-9299-717588948D73}"/>
    <hyperlink ref="N93" r:id="rId46" display="mailto:mchristen@thespaah.com" xr:uid="{33E30311-8F27-4BD6-8126-25AEEB97633F}"/>
    <hyperlink ref="N95" r:id="rId47" display="mailto:storemanager1358@gmail.com" xr:uid="{6875A5FF-818E-463A-825D-E4A8938D22AE}"/>
    <hyperlink ref="N96" r:id="rId48" display="mailto:Tevin.cherry@grifols.com" xr:uid="{7615AC83-1E22-44C8-B3B3-D8C625194FCB}"/>
    <hyperlink ref="N97" r:id="rId49" display="mailto:Brittney.miller@uhsinc.com" xr:uid="{E9A25236-328D-47F2-9878-01DFB4D95149}"/>
    <hyperlink ref="N98" r:id="rId50" display="mailto:frostyourcakestudio@gmail.com" xr:uid="{075BC008-F3CA-4853-BABA-7CF9028D7078}"/>
    <hyperlink ref="N100" r:id="rId51" xr:uid="{E62E63B2-49DF-4911-AF79-C6CAA4A1A9C9}"/>
    <hyperlink ref="N99" r:id="rId52" display="mailto:Broc.hart@thrivent.com" xr:uid="{76A2D37B-0B3B-4F65-9102-B41258BDF3BB}"/>
    <hyperlink ref="N32" r:id="rId53" display="mailto:nancy@pinnaclestructures.com" xr:uid="{025B1AAC-1C35-464C-8E9D-4BB90464170E}"/>
    <hyperlink ref="N102" r:id="rId54" display="mailto:trent@servproofconway.com" xr:uid="{7978D492-86C6-4074-8965-BF4CA6EB3242}"/>
    <hyperlink ref="N103" r:id="rId55" display="mailto:conwaysonic5@conwaycorp.net" xr:uid="{80FC99C5-7F70-4522-9F14-C36AFF6ECFE4}"/>
    <hyperlink ref="N104" r:id="rId56" display="mailto:jpint@fabandt.bank" xr:uid="{780E17B9-4F52-4523-A322-EFAF554DA463}"/>
    <hyperlink ref="N85" r:id="rId57" display="mailto:Traci.Byrd@orthoarkansas.com" xr:uid="{1315B324-07FE-4327-B7BA-8CF4499250F1}"/>
  </hyperlinks>
  <pageMargins left="0.7" right="0.7" top="0.75" bottom="0.75" header="0.3" footer="0.3"/>
  <legacyDrawing r:id="rId58"/>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C3B1B-1AC0-4F6E-899B-E02F8F5DBBC8}">
  <dimension ref="A1:V317"/>
  <sheetViews>
    <sheetView workbookViewId="0">
      <pane ySplit="8" topLeftCell="A56" activePane="bottomLeft" state="frozen"/>
      <selection pane="bottomLeft" activeCell="A37" sqref="A37"/>
    </sheetView>
  </sheetViews>
  <sheetFormatPr defaultColWidth="36.453125" defaultRowHeight="14.5" x14ac:dyDescent="0.35"/>
  <cols>
    <col min="1" max="1" width="35.1796875" style="5" bestFit="1" customWidth="1"/>
    <col min="2" max="2" width="25.26953125" style="5" bestFit="1" customWidth="1"/>
    <col min="3" max="3" width="10.1796875" style="5" bestFit="1" customWidth="1"/>
    <col min="4" max="4" width="15.81640625" style="5" bestFit="1" customWidth="1"/>
    <col min="5" max="5" width="8.7265625" style="5" bestFit="1" customWidth="1"/>
    <col min="6" max="6" width="11.1796875" style="5" bestFit="1" customWidth="1"/>
    <col min="7" max="7" width="65.54296875" style="5" customWidth="1"/>
    <col min="8" max="8" width="16.26953125" style="5" bestFit="1" customWidth="1"/>
    <col min="9" max="9" width="10.1796875" bestFit="1" customWidth="1"/>
    <col min="10" max="10" width="10.453125" style="5" bestFit="1" customWidth="1"/>
    <col min="11" max="11" width="14.453125" style="5" bestFit="1" customWidth="1"/>
    <col min="12" max="12" width="34.1796875" style="5" bestFit="1" customWidth="1"/>
    <col min="13" max="13" width="36.26953125" style="5" bestFit="1" customWidth="1"/>
    <col min="14" max="14" width="53.7265625" style="5" bestFit="1" customWidth="1"/>
    <col min="15" max="15" width="36.453125" style="5"/>
    <col min="16" max="16" width="11" style="5" bestFit="1" customWidth="1"/>
    <col min="17" max="17" width="11.1796875" style="5" bestFit="1" customWidth="1"/>
    <col min="18" max="18" width="36.453125" style="5"/>
    <col min="19" max="19" width="53.81640625" style="5" bestFit="1" customWidth="1"/>
    <col min="20" max="20" width="37" style="5" bestFit="1" customWidth="1"/>
    <col min="21" max="21" width="15.81640625" style="5" bestFit="1" customWidth="1"/>
    <col min="22" max="22" width="8.7265625" style="5" bestFit="1" customWidth="1"/>
    <col min="23" max="16384" width="36.453125" style="5"/>
  </cols>
  <sheetData>
    <row r="1" spans="1:22" x14ac:dyDescent="0.35">
      <c r="A1" s="4" t="s">
        <v>2354</v>
      </c>
      <c r="B1" s="4">
        <v>2025</v>
      </c>
      <c r="S1" s="30" t="s">
        <v>2354</v>
      </c>
      <c r="T1" s="14">
        <v>2024</v>
      </c>
      <c r="U1" s="21"/>
      <c r="V1" s="21"/>
    </row>
    <row r="2" spans="1:22" ht="29" x14ac:dyDescent="0.35">
      <c r="A2" s="6" t="s">
        <v>1</v>
      </c>
      <c r="B2" s="7">
        <f>SUM(D9:D90)</f>
        <v>462500</v>
      </c>
      <c r="G2" s="47" t="s">
        <v>2355</v>
      </c>
      <c r="K2" s="11" t="s">
        <v>2</v>
      </c>
      <c r="S2" s="7" t="s">
        <v>1</v>
      </c>
      <c r="T2" s="7">
        <f>SUM(U9:U70)</f>
        <v>429250</v>
      </c>
      <c r="U2" s="21"/>
      <c r="V2" s="21"/>
    </row>
    <row r="3" spans="1:22" ht="58" x14ac:dyDescent="0.35">
      <c r="A3" s="6" t="s">
        <v>3</v>
      </c>
      <c r="B3" s="7">
        <v>405000</v>
      </c>
      <c r="G3" s="47" t="s">
        <v>2356</v>
      </c>
      <c r="K3" s="7">
        <f>SUM(K93-B2)</f>
        <v>-29500</v>
      </c>
      <c r="S3" s="7" t="s">
        <v>3</v>
      </c>
      <c r="T3" s="7">
        <v>411000</v>
      </c>
      <c r="U3" s="21"/>
      <c r="V3" s="21"/>
    </row>
    <row r="4" spans="1:22" x14ac:dyDescent="0.35">
      <c r="A4" s="6" t="s">
        <v>4</v>
      </c>
      <c r="B4" s="7">
        <f>MIN(B2-B3)</f>
        <v>57500</v>
      </c>
      <c r="K4" s="42">
        <f>K93/B2</f>
        <v>0.9362162162162162</v>
      </c>
      <c r="S4" s="7" t="s">
        <v>4</v>
      </c>
      <c r="T4" s="7">
        <f>MIN(T2-T3)</f>
        <v>18250</v>
      </c>
      <c r="U4" s="21"/>
      <c r="V4" s="21"/>
    </row>
    <row r="5" spans="1:22" x14ac:dyDescent="0.35">
      <c r="A5" s="6" t="s">
        <v>5</v>
      </c>
      <c r="B5" s="7">
        <v>430000</v>
      </c>
      <c r="S5" s="7" t="s">
        <v>5</v>
      </c>
      <c r="T5" s="7">
        <v>427000</v>
      </c>
      <c r="U5" s="21"/>
      <c r="V5" s="21"/>
    </row>
    <row r="6" spans="1:22" x14ac:dyDescent="0.35">
      <c r="A6" s="6" t="s">
        <v>4</v>
      </c>
      <c r="B6" s="7">
        <f>MIN(B2-B5)</f>
        <v>32500</v>
      </c>
      <c r="S6" s="7" t="s">
        <v>4</v>
      </c>
      <c r="T6" s="7">
        <f>MIN(T2-T5)</f>
        <v>2250</v>
      </c>
      <c r="U6" s="21"/>
      <c r="V6" s="21"/>
    </row>
    <row r="7" spans="1:22" x14ac:dyDescent="0.35">
      <c r="S7" s="21"/>
      <c r="T7" s="21"/>
      <c r="U7" s="21"/>
      <c r="V7" s="21"/>
    </row>
    <row r="8" spans="1:22"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c r="S8" s="31" t="s">
        <v>6</v>
      </c>
      <c r="T8" s="31" t="s">
        <v>21</v>
      </c>
      <c r="U8" s="31" t="s">
        <v>9</v>
      </c>
      <c r="V8" s="31" t="s">
        <v>10</v>
      </c>
    </row>
    <row r="9" spans="1:22" ht="29" x14ac:dyDescent="0.35">
      <c r="A9" s="48" t="s">
        <v>170</v>
      </c>
      <c r="B9" s="9" t="s">
        <v>32</v>
      </c>
      <c r="C9" s="10">
        <v>50000</v>
      </c>
      <c r="D9" s="10">
        <v>25000</v>
      </c>
      <c r="E9" s="9" t="s">
        <v>24</v>
      </c>
      <c r="F9" s="9" t="s">
        <v>227</v>
      </c>
      <c r="G9" s="9" t="s">
        <v>228</v>
      </c>
      <c r="H9" s="165"/>
      <c r="I9" s="34"/>
      <c r="J9" s="9"/>
      <c r="K9" s="10"/>
      <c r="L9" s="9" t="s">
        <v>230</v>
      </c>
      <c r="M9" s="9"/>
      <c r="N9" s="9" t="s">
        <v>231</v>
      </c>
      <c r="P9" s="39" t="s">
        <v>24</v>
      </c>
      <c r="Q9" s="10">
        <v>176000</v>
      </c>
      <c r="S9" s="55" t="s">
        <v>31</v>
      </c>
      <c r="T9" s="55" t="s">
        <v>2357</v>
      </c>
      <c r="U9" s="55">
        <v>25000</v>
      </c>
      <c r="V9" s="55" t="s">
        <v>24</v>
      </c>
    </row>
    <row r="10" spans="1:22" x14ac:dyDescent="0.35">
      <c r="A10" s="48" t="s">
        <v>141</v>
      </c>
      <c r="B10" s="9" t="s">
        <v>32</v>
      </c>
      <c r="C10" s="10">
        <v>50000</v>
      </c>
      <c r="D10" s="10">
        <v>30000</v>
      </c>
      <c r="E10" s="9" t="s">
        <v>86</v>
      </c>
      <c r="F10" s="9" t="s">
        <v>142</v>
      </c>
      <c r="G10" s="9"/>
      <c r="H10" s="165"/>
      <c r="I10" s="34"/>
      <c r="J10" s="9" t="s">
        <v>208</v>
      </c>
      <c r="K10" s="10">
        <v>30000</v>
      </c>
      <c r="L10" s="9" t="s">
        <v>144</v>
      </c>
      <c r="M10" s="9"/>
      <c r="N10" s="9"/>
      <c r="P10" s="39" t="s">
        <v>37</v>
      </c>
      <c r="Q10" s="10">
        <v>35000</v>
      </c>
      <c r="S10" s="55" t="s">
        <v>2358</v>
      </c>
      <c r="T10" s="55" t="s">
        <v>2359</v>
      </c>
      <c r="U10" s="55">
        <v>7500</v>
      </c>
      <c r="V10" s="55" t="s">
        <v>24</v>
      </c>
    </row>
    <row r="11" spans="1:22" x14ac:dyDescent="0.35">
      <c r="A11" s="48" t="s">
        <v>52</v>
      </c>
      <c r="B11" s="9" t="s">
        <v>2360</v>
      </c>
      <c r="C11" s="10">
        <v>7500</v>
      </c>
      <c r="D11" s="10">
        <v>3500</v>
      </c>
      <c r="E11" s="9" t="s">
        <v>24</v>
      </c>
      <c r="F11" s="9" t="s">
        <v>53</v>
      </c>
      <c r="G11" s="9" t="s">
        <v>2361</v>
      </c>
      <c r="H11" s="163" t="s">
        <v>27</v>
      </c>
      <c r="I11" s="34"/>
      <c r="J11" s="195">
        <v>45902</v>
      </c>
      <c r="K11" s="10">
        <v>3500</v>
      </c>
      <c r="L11" s="9" t="s">
        <v>54</v>
      </c>
      <c r="M11" s="9"/>
      <c r="N11" s="9" t="s">
        <v>55</v>
      </c>
      <c r="P11" s="39" t="s">
        <v>47</v>
      </c>
      <c r="Q11" s="10"/>
      <c r="S11" s="55" t="s">
        <v>531</v>
      </c>
      <c r="T11" s="55" t="s">
        <v>2362</v>
      </c>
      <c r="U11" s="55">
        <v>3500</v>
      </c>
      <c r="V11" s="55" t="s">
        <v>95</v>
      </c>
    </row>
    <row r="12" spans="1:22" x14ac:dyDescent="0.35">
      <c r="A12" s="48" t="s">
        <v>51</v>
      </c>
      <c r="B12" s="9" t="s">
        <v>2360</v>
      </c>
      <c r="C12" s="10">
        <v>7500</v>
      </c>
      <c r="D12" s="10">
        <v>5000</v>
      </c>
      <c r="E12" s="9" t="s">
        <v>37</v>
      </c>
      <c r="F12" s="9" t="s">
        <v>78</v>
      </c>
      <c r="G12" s="9"/>
      <c r="H12" s="163" t="s">
        <v>27</v>
      </c>
      <c r="I12" s="34"/>
      <c r="J12" s="9" t="s">
        <v>651</v>
      </c>
      <c r="K12" s="10">
        <v>5000</v>
      </c>
      <c r="L12" s="9" t="s">
        <v>79</v>
      </c>
      <c r="M12" s="9"/>
      <c r="N12" s="9" t="s">
        <v>80</v>
      </c>
      <c r="P12" s="39" t="s">
        <v>50</v>
      </c>
      <c r="Q12" s="10">
        <v>10000</v>
      </c>
      <c r="S12" s="55" t="s">
        <v>129</v>
      </c>
      <c r="T12" s="55" t="s">
        <v>2363</v>
      </c>
      <c r="U12" s="55">
        <v>7500</v>
      </c>
      <c r="V12" s="55" t="s">
        <v>90</v>
      </c>
    </row>
    <row r="13" spans="1:22" x14ac:dyDescent="0.35">
      <c r="A13" s="48" t="s">
        <v>298</v>
      </c>
      <c r="B13" s="9" t="s">
        <v>2360</v>
      </c>
      <c r="C13" s="10">
        <v>7500</v>
      </c>
      <c r="D13" s="10">
        <v>7500</v>
      </c>
      <c r="E13" s="9" t="s">
        <v>24</v>
      </c>
      <c r="F13" s="9" t="s">
        <v>25</v>
      </c>
      <c r="G13" s="9"/>
      <c r="H13" s="163" t="s">
        <v>27</v>
      </c>
      <c r="I13" s="257"/>
      <c r="J13" s="257">
        <v>45908</v>
      </c>
      <c r="K13" s="9">
        <v>7500</v>
      </c>
      <c r="L13" s="9" t="s">
        <v>461</v>
      </c>
      <c r="M13" s="9"/>
      <c r="N13" s="9" t="s">
        <v>462</v>
      </c>
      <c r="P13" s="39" t="s">
        <v>56</v>
      </c>
      <c r="Q13" s="10">
        <v>19500</v>
      </c>
      <c r="S13" s="55" t="s">
        <v>1807</v>
      </c>
      <c r="T13" s="55" t="s">
        <v>2364</v>
      </c>
      <c r="U13" s="55">
        <v>30000</v>
      </c>
      <c r="V13" s="55" t="s">
        <v>86</v>
      </c>
    </row>
    <row r="14" spans="1:22" x14ac:dyDescent="0.35">
      <c r="A14" s="48" t="s">
        <v>181</v>
      </c>
      <c r="B14" s="9" t="s">
        <v>2360</v>
      </c>
      <c r="C14" s="10">
        <v>7500</v>
      </c>
      <c r="D14" s="10">
        <v>0</v>
      </c>
      <c r="E14" s="9"/>
      <c r="F14" s="9"/>
      <c r="G14" s="9"/>
      <c r="H14" s="165"/>
      <c r="I14" s="34"/>
      <c r="J14" s="9"/>
      <c r="K14" s="10"/>
      <c r="L14" s="9"/>
      <c r="M14" s="9"/>
      <c r="N14" s="9"/>
      <c r="P14" s="39" t="s">
        <v>62</v>
      </c>
      <c r="Q14" s="10"/>
      <c r="S14" s="113" t="s">
        <v>774</v>
      </c>
      <c r="T14" s="113" t="s">
        <v>2362</v>
      </c>
      <c r="U14" s="113">
        <v>3500</v>
      </c>
      <c r="V14" s="113" t="s">
        <v>95</v>
      </c>
    </row>
    <row r="15" spans="1:22" ht="58" x14ac:dyDescent="0.35">
      <c r="A15" s="48" t="s">
        <v>176</v>
      </c>
      <c r="B15" s="9" t="s">
        <v>2360</v>
      </c>
      <c r="C15" s="10">
        <v>7500</v>
      </c>
      <c r="D15" s="10">
        <v>7500</v>
      </c>
      <c r="E15" s="9" t="s">
        <v>56</v>
      </c>
      <c r="F15" s="9" t="s">
        <v>25</v>
      </c>
      <c r="G15" s="9" t="s">
        <v>177</v>
      </c>
      <c r="H15" s="165"/>
      <c r="I15" s="34"/>
      <c r="J15" s="9" t="s">
        <v>336</v>
      </c>
      <c r="K15" s="10">
        <v>7500</v>
      </c>
      <c r="L15" s="9" t="s">
        <v>1303</v>
      </c>
      <c r="M15" s="9"/>
      <c r="N15" s="87" t="s">
        <v>179</v>
      </c>
      <c r="P15" s="39" t="s">
        <v>68</v>
      </c>
      <c r="Q15" s="10"/>
      <c r="S15" s="113" t="s">
        <v>2365</v>
      </c>
      <c r="T15" s="113" t="s">
        <v>2366</v>
      </c>
      <c r="U15" s="113">
        <v>5000</v>
      </c>
      <c r="V15" s="113" t="s">
        <v>95</v>
      </c>
    </row>
    <row r="16" spans="1:22" x14ac:dyDescent="0.35">
      <c r="A16" s="48" t="s">
        <v>2367</v>
      </c>
      <c r="B16" s="9" t="s">
        <v>2360</v>
      </c>
      <c r="C16" s="10">
        <v>7500</v>
      </c>
      <c r="D16" s="10">
        <v>5000</v>
      </c>
      <c r="E16" s="9"/>
      <c r="F16" s="9" t="s">
        <v>224</v>
      </c>
      <c r="G16" s="9"/>
      <c r="H16" s="165"/>
      <c r="I16" s="34"/>
      <c r="J16" s="9" t="s">
        <v>407</v>
      </c>
      <c r="K16" s="10">
        <v>5000</v>
      </c>
      <c r="L16" s="9"/>
      <c r="M16" s="9"/>
      <c r="N16" s="9"/>
      <c r="P16" s="39" t="s">
        <v>76</v>
      </c>
      <c r="Q16" s="10">
        <v>12500</v>
      </c>
      <c r="S16" s="55" t="s">
        <v>596</v>
      </c>
      <c r="T16" s="55" t="s">
        <v>2368</v>
      </c>
      <c r="U16" s="55">
        <v>9000</v>
      </c>
      <c r="V16" s="55" t="s">
        <v>86</v>
      </c>
    </row>
    <row r="17" spans="1:22" x14ac:dyDescent="0.35">
      <c r="A17" s="48" t="s">
        <v>2369</v>
      </c>
      <c r="B17" s="9" t="s">
        <v>2360</v>
      </c>
      <c r="C17" s="10">
        <v>7500</v>
      </c>
      <c r="D17" s="10">
        <v>0</v>
      </c>
      <c r="E17" s="9" t="s">
        <v>92</v>
      </c>
      <c r="F17" s="9" t="s">
        <v>148</v>
      </c>
      <c r="G17" s="9" t="s">
        <v>2370</v>
      </c>
      <c r="H17" s="165"/>
      <c r="I17" s="34"/>
      <c r="J17" s="9"/>
      <c r="K17" s="10"/>
      <c r="L17" s="9"/>
      <c r="M17" s="9"/>
      <c r="N17" s="9"/>
      <c r="P17" s="39" t="s">
        <v>81</v>
      </c>
      <c r="Q17" s="10"/>
      <c r="S17" s="55" t="s">
        <v>1064</v>
      </c>
      <c r="T17" s="55" t="s">
        <v>2371</v>
      </c>
      <c r="U17" s="55">
        <v>10000</v>
      </c>
      <c r="V17" s="55" t="s">
        <v>24</v>
      </c>
    </row>
    <row r="18" spans="1:22" x14ac:dyDescent="0.35">
      <c r="A18" s="48" t="s">
        <v>1193</v>
      </c>
      <c r="B18" s="9" t="s">
        <v>2360</v>
      </c>
      <c r="C18" s="10">
        <v>7500</v>
      </c>
      <c r="D18" s="10">
        <v>5000</v>
      </c>
      <c r="E18" s="9" t="s">
        <v>24</v>
      </c>
      <c r="F18" s="9" t="s">
        <v>287</v>
      </c>
      <c r="G18" s="9"/>
      <c r="H18" s="165"/>
      <c r="I18" s="34"/>
      <c r="J18" s="9" t="s">
        <v>651</v>
      </c>
      <c r="K18" s="10">
        <v>5000</v>
      </c>
      <c r="L18" s="9" t="s">
        <v>2372</v>
      </c>
      <c r="M18" s="9"/>
      <c r="N18" s="9" t="s">
        <v>770</v>
      </c>
      <c r="P18" s="39" t="s">
        <v>86</v>
      </c>
      <c r="Q18" s="10">
        <v>50000</v>
      </c>
      <c r="S18" s="55" t="s">
        <v>140</v>
      </c>
      <c r="T18" s="55" t="s">
        <v>2373</v>
      </c>
      <c r="U18" s="55">
        <v>7500</v>
      </c>
      <c r="V18" s="55" t="s">
        <v>24</v>
      </c>
    </row>
    <row r="19" spans="1:22" x14ac:dyDescent="0.35">
      <c r="A19" s="48" t="s">
        <v>286</v>
      </c>
      <c r="B19" s="9" t="s">
        <v>2374</v>
      </c>
      <c r="C19" s="10">
        <v>50000</v>
      </c>
      <c r="D19" s="10">
        <v>0</v>
      </c>
      <c r="E19" s="9" t="s">
        <v>24</v>
      </c>
      <c r="F19" s="9"/>
      <c r="G19" s="9" t="s">
        <v>2375</v>
      </c>
      <c r="H19" s="165"/>
      <c r="I19" s="34"/>
      <c r="J19" s="9"/>
      <c r="K19" s="9"/>
      <c r="L19" s="9"/>
      <c r="M19" s="9"/>
      <c r="N19" s="9"/>
      <c r="P19" s="39" t="s">
        <v>90</v>
      </c>
      <c r="Q19" s="10">
        <v>4500</v>
      </c>
      <c r="S19" s="55" t="s">
        <v>159</v>
      </c>
      <c r="T19" s="55" t="s">
        <v>2376</v>
      </c>
      <c r="U19" s="55">
        <v>25000</v>
      </c>
      <c r="V19" s="55" t="s">
        <v>95</v>
      </c>
    </row>
    <row r="20" spans="1:22" x14ac:dyDescent="0.35">
      <c r="A20" s="48" t="s">
        <v>1207</v>
      </c>
      <c r="B20" s="9" t="s">
        <v>2360</v>
      </c>
      <c r="C20" s="10">
        <v>7500</v>
      </c>
      <c r="D20" s="10">
        <v>7500</v>
      </c>
      <c r="E20" s="9" t="s">
        <v>95</v>
      </c>
      <c r="F20" s="9" t="s">
        <v>2377</v>
      </c>
      <c r="G20" s="9"/>
      <c r="H20" s="9"/>
      <c r="I20" s="34"/>
      <c r="J20" s="9" t="s">
        <v>2378</v>
      </c>
      <c r="K20" s="10">
        <v>7500</v>
      </c>
      <c r="L20" s="9" t="s">
        <v>2087</v>
      </c>
      <c r="M20" s="9"/>
      <c r="N20" s="87" t="s">
        <v>2088</v>
      </c>
      <c r="P20" s="39" t="s">
        <v>91</v>
      </c>
      <c r="Q20" s="10"/>
      <c r="S20" s="55" t="s">
        <v>170</v>
      </c>
      <c r="T20" s="55" t="s">
        <v>2364</v>
      </c>
      <c r="U20" s="55">
        <v>25000</v>
      </c>
      <c r="V20" s="55" t="s">
        <v>24</v>
      </c>
    </row>
    <row r="21" spans="1:22" x14ac:dyDescent="0.35">
      <c r="A21" s="48" t="s">
        <v>541</v>
      </c>
      <c r="B21" s="9" t="s">
        <v>2360</v>
      </c>
      <c r="C21" s="10">
        <v>7500</v>
      </c>
      <c r="D21" s="10">
        <v>10000</v>
      </c>
      <c r="E21" s="9" t="s">
        <v>95</v>
      </c>
      <c r="F21" s="9" t="s">
        <v>2377</v>
      </c>
      <c r="G21" s="9"/>
      <c r="H21" s="9"/>
      <c r="I21" s="34"/>
      <c r="J21" s="9" t="s">
        <v>624</v>
      </c>
      <c r="K21" s="10">
        <v>10000</v>
      </c>
      <c r="L21" s="9" t="s">
        <v>1849</v>
      </c>
      <c r="M21" s="9"/>
      <c r="N21" s="9" t="s">
        <v>2379</v>
      </c>
      <c r="P21" s="39" t="s">
        <v>92</v>
      </c>
      <c r="Q21" s="10">
        <v>13000</v>
      </c>
      <c r="S21" s="55" t="s">
        <v>175</v>
      </c>
      <c r="T21" s="55" t="s">
        <v>2380</v>
      </c>
      <c r="U21" s="55">
        <v>10000</v>
      </c>
      <c r="V21" s="55" t="s">
        <v>95</v>
      </c>
    </row>
    <row r="22" spans="1:22" x14ac:dyDescent="0.35">
      <c r="A22" s="48" t="s">
        <v>232</v>
      </c>
      <c r="B22" s="9" t="s">
        <v>2362</v>
      </c>
      <c r="C22" s="10">
        <v>3500</v>
      </c>
      <c r="D22" s="10">
        <v>3000</v>
      </c>
      <c r="E22" s="9" t="s">
        <v>24</v>
      </c>
      <c r="F22" s="9" t="s">
        <v>42</v>
      </c>
      <c r="G22" s="9"/>
      <c r="H22" s="165"/>
      <c r="I22" s="34"/>
      <c r="J22" s="9" t="s">
        <v>25</v>
      </c>
      <c r="K22" s="10">
        <v>3000</v>
      </c>
      <c r="L22" s="9" t="s">
        <v>233</v>
      </c>
      <c r="M22" s="9"/>
      <c r="N22" s="9" t="s">
        <v>234</v>
      </c>
      <c r="P22" s="39" t="s">
        <v>93</v>
      </c>
      <c r="Q22" s="10">
        <v>8500</v>
      </c>
      <c r="S22" s="55" t="s">
        <v>181</v>
      </c>
      <c r="T22" s="55" t="s">
        <v>2360</v>
      </c>
      <c r="U22" s="55">
        <v>0</v>
      </c>
      <c r="V22" s="55"/>
    </row>
    <row r="23" spans="1:22" x14ac:dyDescent="0.35">
      <c r="A23" s="48" t="s">
        <v>815</v>
      </c>
      <c r="B23" s="9" t="s">
        <v>2362</v>
      </c>
      <c r="C23" s="10">
        <v>3500</v>
      </c>
      <c r="D23" s="10">
        <v>3500</v>
      </c>
      <c r="E23" s="9" t="s">
        <v>92</v>
      </c>
      <c r="F23" s="9" t="s">
        <v>353</v>
      </c>
      <c r="G23" s="9"/>
      <c r="H23" s="165"/>
      <c r="I23" s="34"/>
      <c r="J23" s="9" t="s">
        <v>1224</v>
      </c>
      <c r="K23" s="10">
        <v>3500</v>
      </c>
      <c r="L23" s="9" t="s">
        <v>816</v>
      </c>
      <c r="M23" s="9"/>
      <c r="N23" s="87" t="s">
        <v>817</v>
      </c>
      <c r="P23" s="39" t="s">
        <v>94</v>
      </c>
      <c r="Q23" s="10"/>
      <c r="S23" s="55" t="s">
        <v>199</v>
      </c>
      <c r="T23" s="55" t="s">
        <v>2381</v>
      </c>
      <c r="U23" s="55">
        <v>7500</v>
      </c>
      <c r="V23" s="55" t="s">
        <v>96</v>
      </c>
    </row>
    <row r="24" spans="1:22" x14ac:dyDescent="0.35">
      <c r="A24" s="48" t="s">
        <v>2382</v>
      </c>
      <c r="B24" s="9" t="s">
        <v>2362</v>
      </c>
      <c r="C24" s="10">
        <v>3500</v>
      </c>
      <c r="D24" s="10">
        <v>3500</v>
      </c>
      <c r="E24" s="9" t="s">
        <v>95</v>
      </c>
      <c r="F24" s="9" t="s">
        <v>2383</v>
      </c>
      <c r="G24" s="9"/>
      <c r="H24" s="165"/>
      <c r="I24" s="34"/>
      <c r="J24" s="9" t="s">
        <v>121</v>
      </c>
      <c r="K24" s="10">
        <v>3500</v>
      </c>
      <c r="L24" s="9" t="s">
        <v>2384</v>
      </c>
      <c r="M24" s="9"/>
      <c r="N24" s="87" t="s">
        <v>2385</v>
      </c>
      <c r="P24" s="39" t="s">
        <v>95</v>
      </c>
      <c r="Q24" s="10">
        <v>72000</v>
      </c>
      <c r="S24" s="55" t="s">
        <v>38</v>
      </c>
      <c r="T24" s="55" t="s">
        <v>2386</v>
      </c>
      <c r="U24" s="55">
        <v>10000</v>
      </c>
      <c r="V24" s="55" t="s">
        <v>24</v>
      </c>
    </row>
    <row r="25" spans="1:22" ht="29" x14ac:dyDescent="0.35">
      <c r="A25" s="48" t="s">
        <v>531</v>
      </c>
      <c r="B25" s="9" t="s">
        <v>2362</v>
      </c>
      <c r="C25" s="10">
        <v>3500</v>
      </c>
      <c r="D25" s="10">
        <v>3500</v>
      </c>
      <c r="E25" s="9" t="s">
        <v>95</v>
      </c>
      <c r="F25" s="9" t="s">
        <v>277</v>
      </c>
      <c r="G25" s="9" t="s">
        <v>2387</v>
      </c>
      <c r="H25" s="165"/>
      <c r="I25" s="34"/>
      <c r="J25" s="9" t="s">
        <v>421</v>
      </c>
      <c r="K25" s="10">
        <v>3500</v>
      </c>
      <c r="L25" s="9" t="s">
        <v>535</v>
      </c>
      <c r="M25" s="9"/>
      <c r="N25" s="87" t="s">
        <v>698</v>
      </c>
      <c r="P25" s="39" t="s">
        <v>96</v>
      </c>
      <c r="Q25" s="10">
        <v>41500</v>
      </c>
      <c r="S25" s="55" t="s">
        <v>2388</v>
      </c>
      <c r="T25" s="55" t="s">
        <v>2371</v>
      </c>
      <c r="U25" s="55">
        <v>10000</v>
      </c>
      <c r="V25" s="55" t="s">
        <v>37</v>
      </c>
    </row>
    <row r="26" spans="1:22" ht="43.5" x14ac:dyDescent="0.35">
      <c r="A26" s="48" t="s">
        <v>2389</v>
      </c>
      <c r="B26" s="9" t="s">
        <v>2362</v>
      </c>
      <c r="C26" s="10">
        <v>3500</v>
      </c>
      <c r="D26" s="10">
        <v>3500</v>
      </c>
      <c r="E26" s="9" t="s">
        <v>96</v>
      </c>
      <c r="F26" s="9" t="s">
        <v>277</v>
      </c>
      <c r="G26" s="9" t="s">
        <v>2390</v>
      </c>
      <c r="H26" s="165"/>
      <c r="I26" s="34"/>
      <c r="J26" s="9" t="s">
        <v>407</v>
      </c>
      <c r="K26" s="10">
        <v>3500</v>
      </c>
      <c r="L26" s="9" t="s">
        <v>2391</v>
      </c>
      <c r="M26" s="9"/>
      <c r="N26" s="9" t="s">
        <v>2392</v>
      </c>
      <c r="P26" s="39" t="s">
        <v>97</v>
      </c>
      <c r="Q26" s="10"/>
      <c r="S26" s="55" t="s">
        <v>48</v>
      </c>
      <c r="T26" s="55" t="s">
        <v>2393</v>
      </c>
      <c r="U26" s="55">
        <v>5000</v>
      </c>
      <c r="V26" s="55" t="s">
        <v>24</v>
      </c>
    </row>
    <row r="27" spans="1:22" x14ac:dyDescent="0.35">
      <c r="A27" s="48" t="s">
        <v>718</v>
      </c>
      <c r="B27" s="9" t="s">
        <v>2362</v>
      </c>
      <c r="C27" s="10">
        <v>3500</v>
      </c>
      <c r="D27" s="10">
        <v>3500</v>
      </c>
      <c r="E27" s="9" t="s">
        <v>86</v>
      </c>
      <c r="F27" s="9" t="s">
        <v>1078</v>
      </c>
      <c r="G27" s="9" t="s">
        <v>2394</v>
      </c>
      <c r="H27" s="165"/>
      <c r="I27" s="34"/>
      <c r="J27" s="9" t="s">
        <v>83</v>
      </c>
      <c r="K27" s="10">
        <v>3500</v>
      </c>
      <c r="L27" s="9"/>
      <c r="M27" s="9"/>
      <c r="N27" s="9"/>
      <c r="P27" s="39" t="s">
        <v>98</v>
      </c>
      <c r="Q27" s="10">
        <v>20000</v>
      </c>
      <c r="S27" s="113" t="s">
        <v>220</v>
      </c>
      <c r="T27" s="113" t="s">
        <v>2395</v>
      </c>
      <c r="U27" s="113">
        <v>5000</v>
      </c>
      <c r="V27" s="113" t="s">
        <v>37</v>
      </c>
    </row>
    <row r="28" spans="1:22" x14ac:dyDescent="0.35">
      <c r="A28" s="48" t="s">
        <v>2396</v>
      </c>
      <c r="B28" s="9" t="s">
        <v>2362</v>
      </c>
      <c r="C28" s="10">
        <v>3500</v>
      </c>
      <c r="D28" s="10">
        <v>3500</v>
      </c>
      <c r="E28" s="9" t="s">
        <v>92</v>
      </c>
      <c r="F28" s="9" t="s">
        <v>65</v>
      </c>
      <c r="G28" s="9"/>
      <c r="H28" s="165"/>
      <c r="I28" s="34"/>
      <c r="J28" s="9" t="s">
        <v>768</v>
      </c>
      <c r="K28" s="10">
        <v>3500</v>
      </c>
      <c r="L28" s="9" t="s">
        <v>2397</v>
      </c>
      <c r="M28" s="9"/>
      <c r="N28" s="92" t="s">
        <v>2398</v>
      </c>
      <c r="P28" s="45" t="s">
        <v>99</v>
      </c>
      <c r="Q28" s="46">
        <v>462500</v>
      </c>
      <c r="S28" s="55" t="s">
        <v>204</v>
      </c>
      <c r="T28" s="55" t="s">
        <v>2399</v>
      </c>
      <c r="U28" s="55">
        <v>15000</v>
      </c>
      <c r="V28" s="55" t="s">
        <v>37</v>
      </c>
    </row>
    <row r="29" spans="1:22" x14ac:dyDescent="0.35">
      <c r="A29" s="48" t="s">
        <v>705</v>
      </c>
      <c r="B29" s="9" t="s">
        <v>2362</v>
      </c>
      <c r="C29" s="10">
        <v>3500</v>
      </c>
      <c r="D29" s="10">
        <v>3500</v>
      </c>
      <c r="E29" s="9" t="s">
        <v>93</v>
      </c>
      <c r="F29" s="9" t="s">
        <v>65</v>
      </c>
      <c r="G29" s="9"/>
      <c r="H29" s="165"/>
      <c r="I29" s="34"/>
      <c r="J29" s="9" t="s">
        <v>121</v>
      </c>
      <c r="K29" s="10">
        <v>3500</v>
      </c>
      <c r="L29" s="9" t="s">
        <v>2400</v>
      </c>
      <c r="M29" s="9"/>
      <c r="N29" s="101" t="s">
        <v>2401</v>
      </c>
      <c r="P29"/>
      <c r="Q29"/>
      <c r="S29" s="55" t="s">
        <v>260</v>
      </c>
      <c r="T29" s="55" t="s">
        <v>2402</v>
      </c>
      <c r="U29" s="55">
        <v>5000</v>
      </c>
      <c r="V29" s="55" t="s">
        <v>56</v>
      </c>
    </row>
    <row r="30" spans="1:22" x14ac:dyDescent="0.35">
      <c r="A30" s="48" t="s">
        <v>2403</v>
      </c>
      <c r="B30" s="9" t="s">
        <v>2362</v>
      </c>
      <c r="C30" s="10">
        <v>3500</v>
      </c>
      <c r="D30" s="10">
        <v>3500</v>
      </c>
      <c r="E30" s="9" t="s">
        <v>96</v>
      </c>
      <c r="F30" s="9" t="s">
        <v>768</v>
      </c>
      <c r="G30" s="9"/>
      <c r="H30" s="9"/>
      <c r="I30" s="34"/>
      <c r="J30" s="9" t="s">
        <v>34</v>
      </c>
      <c r="K30" s="10">
        <v>3500</v>
      </c>
      <c r="L30" s="9" t="s">
        <v>2404</v>
      </c>
      <c r="M30" s="9"/>
      <c r="N30" s="92" t="s">
        <v>2405</v>
      </c>
      <c r="S30" s="113" t="s">
        <v>255</v>
      </c>
      <c r="T30" s="113" t="s">
        <v>2406</v>
      </c>
      <c r="U30" s="113">
        <v>5000</v>
      </c>
      <c r="V30" s="113" t="s">
        <v>95</v>
      </c>
    </row>
    <row r="31" spans="1:22" x14ac:dyDescent="0.35">
      <c r="A31" s="48" t="s">
        <v>2407</v>
      </c>
      <c r="B31" s="9" t="s">
        <v>2362</v>
      </c>
      <c r="C31" s="10">
        <v>3500</v>
      </c>
      <c r="D31" s="10">
        <v>3500</v>
      </c>
      <c r="E31" s="9" t="s">
        <v>92</v>
      </c>
      <c r="F31" s="9" t="s">
        <v>128</v>
      </c>
      <c r="G31" s="9"/>
      <c r="H31" s="9"/>
      <c r="I31" s="34"/>
      <c r="J31" s="9" t="s">
        <v>2408</v>
      </c>
      <c r="K31" s="10">
        <v>2500</v>
      </c>
      <c r="L31" s="9" t="s">
        <v>2409</v>
      </c>
      <c r="M31" s="9"/>
      <c r="N31" s="92" t="s">
        <v>2410</v>
      </c>
      <c r="S31" s="113" t="s">
        <v>285</v>
      </c>
      <c r="T31" s="113" t="s">
        <v>2395</v>
      </c>
      <c r="U31" s="113">
        <v>5000</v>
      </c>
      <c r="V31" s="113" t="s">
        <v>95</v>
      </c>
    </row>
    <row r="32" spans="1:22" x14ac:dyDescent="0.35">
      <c r="A32" s="43"/>
      <c r="B32" s="43"/>
      <c r="C32" s="43"/>
      <c r="D32" s="43"/>
      <c r="E32" s="43"/>
      <c r="F32" s="43"/>
      <c r="G32" s="43"/>
      <c r="H32" s="43"/>
      <c r="I32" s="33"/>
      <c r="J32" s="5" t="s">
        <v>663</v>
      </c>
      <c r="K32" s="236">
        <v>1000</v>
      </c>
      <c r="L32" s="43"/>
      <c r="M32" s="43"/>
      <c r="N32" s="43"/>
      <c r="S32" s="113" t="s">
        <v>515</v>
      </c>
      <c r="T32" s="113" t="s">
        <v>2362</v>
      </c>
      <c r="U32" s="113">
        <v>2500</v>
      </c>
      <c r="V32" s="113" t="s">
        <v>24</v>
      </c>
    </row>
    <row r="33" spans="1:22" x14ac:dyDescent="0.35">
      <c r="A33" s="48" t="s">
        <v>2411</v>
      </c>
      <c r="B33" s="9" t="s">
        <v>2362</v>
      </c>
      <c r="C33" s="10">
        <v>3500</v>
      </c>
      <c r="D33" s="10">
        <v>3500</v>
      </c>
      <c r="E33" s="9" t="s">
        <v>96</v>
      </c>
      <c r="F33" s="9" t="s">
        <v>553</v>
      </c>
      <c r="G33" s="9"/>
      <c r="H33" s="9"/>
      <c r="I33" s="34"/>
      <c r="J33" s="9" t="s">
        <v>2412</v>
      </c>
      <c r="K33" s="10">
        <v>3500</v>
      </c>
      <c r="L33" s="9" t="s">
        <v>2413</v>
      </c>
      <c r="M33" s="9"/>
      <c r="N33" s="92" t="s">
        <v>2414</v>
      </c>
      <c r="S33" s="55" t="s">
        <v>298</v>
      </c>
      <c r="T33" s="55" t="s">
        <v>2360</v>
      </c>
      <c r="U33" s="55">
        <v>7500</v>
      </c>
      <c r="V33" s="55" t="s">
        <v>24</v>
      </c>
    </row>
    <row r="34" spans="1:22" x14ac:dyDescent="0.35">
      <c r="A34" s="48" t="s">
        <v>2415</v>
      </c>
      <c r="B34" s="9" t="s">
        <v>2362</v>
      </c>
      <c r="C34" s="10">
        <v>3500</v>
      </c>
      <c r="D34" s="10">
        <v>3500</v>
      </c>
      <c r="E34" s="9" t="s">
        <v>96</v>
      </c>
      <c r="F34" s="9" t="s">
        <v>837</v>
      </c>
      <c r="G34" s="9"/>
      <c r="H34" s="9"/>
      <c r="I34" s="34"/>
      <c r="J34" s="9" t="s">
        <v>125</v>
      </c>
      <c r="K34" s="10">
        <v>3500</v>
      </c>
      <c r="L34" s="9" t="s">
        <v>2416</v>
      </c>
      <c r="M34" s="9"/>
      <c r="N34" s="92" t="s">
        <v>2417</v>
      </c>
      <c r="S34" s="55" t="s">
        <v>57</v>
      </c>
      <c r="T34" s="55" t="s">
        <v>2371</v>
      </c>
      <c r="U34" s="55">
        <v>10000</v>
      </c>
      <c r="V34" s="55" t="s">
        <v>24</v>
      </c>
    </row>
    <row r="35" spans="1:22" x14ac:dyDescent="0.35">
      <c r="A35" s="48" t="s">
        <v>1373</v>
      </c>
      <c r="B35" s="9" t="s">
        <v>2399</v>
      </c>
      <c r="C35" s="10">
        <v>15000</v>
      </c>
      <c r="D35" s="10">
        <v>15000</v>
      </c>
      <c r="E35" s="9"/>
      <c r="F35" s="9" t="s">
        <v>319</v>
      </c>
      <c r="G35" s="9"/>
      <c r="H35" s="9"/>
      <c r="I35" s="34"/>
      <c r="J35" s="9" t="s">
        <v>638</v>
      </c>
      <c r="K35" s="10">
        <v>15000</v>
      </c>
      <c r="L35" s="9" t="s">
        <v>1374</v>
      </c>
      <c r="M35" s="9"/>
      <c r="N35" s="9"/>
      <c r="S35" s="55" t="s">
        <v>57</v>
      </c>
      <c r="T35" s="55" t="s">
        <v>2418</v>
      </c>
      <c r="U35" s="55">
        <v>2000</v>
      </c>
      <c r="V35" s="55" t="s">
        <v>24</v>
      </c>
    </row>
    <row r="36" spans="1:22" ht="72.5" x14ac:dyDescent="0.35">
      <c r="A36" s="48" t="s">
        <v>204</v>
      </c>
      <c r="B36" s="9" t="s">
        <v>2419</v>
      </c>
      <c r="C36" s="10">
        <v>10000</v>
      </c>
      <c r="D36" s="10">
        <v>15000</v>
      </c>
      <c r="E36" s="9" t="s">
        <v>24</v>
      </c>
      <c r="F36" s="9" t="s">
        <v>206</v>
      </c>
      <c r="G36" s="9" t="s">
        <v>2420</v>
      </c>
      <c r="H36" s="165"/>
      <c r="I36" s="34"/>
      <c r="J36" s="9" t="s">
        <v>256</v>
      </c>
      <c r="K36" s="10">
        <v>15000</v>
      </c>
      <c r="L36" s="9" t="s">
        <v>209</v>
      </c>
      <c r="M36" s="126" t="s">
        <v>210</v>
      </c>
      <c r="N36" s="9" t="s">
        <v>211</v>
      </c>
      <c r="S36" s="55" t="s">
        <v>2367</v>
      </c>
      <c r="T36" s="55" t="s">
        <v>2360</v>
      </c>
      <c r="U36" s="55">
        <v>5000</v>
      </c>
      <c r="V36" s="55"/>
    </row>
    <row r="37" spans="1:22" x14ac:dyDescent="0.35">
      <c r="A37" s="48" t="s">
        <v>260</v>
      </c>
      <c r="B37" s="9" t="s">
        <v>2421</v>
      </c>
      <c r="C37" s="10">
        <v>3500</v>
      </c>
      <c r="D37" s="10">
        <v>3500</v>
      </c>
      <c r="E37" s="9" t="s">
        <v>56</v>
      </c>
      <c r="F37" s="9" t="s">
        <v>261</v>
      </c>
      <c r="G37" s="9"/>
      <c r="H37" s="163" t="s">
        <v>27</v>
      </c>
      <c r="I37" s="34"/>
      <c r="J37" s="9" t="s">
        <v>638</v>
      </c>
      <c r="K37" s="10">
        <v>3500</v>
      </c>
      <c r="L37" s="9" t="s">
        <v>262</v>
      </c>
      <c r="M37" s="9"/>
      <c r="N37" s="9" t="s">
        <v>263</v>
      </c>
      <c r="S37" s="10" t="s">
        <v>2422</v>
      </c>
      <c r="T37" s="10" t="s">
        <v>2423</v>
      </c>
      <c r="U37" s="10">
        <v>1250</v>
      </c>
      <c r="V37" s="10" t="s">
        <v>90</v>
      </c>
    </row>
    <row r="38" spans="1:22" x14ac:dyDescent="0.35">
      <c r="A38" s="48" t="s">
        <v>2424</v>
      </c>
      <c r="B38" s="9" t="s">
        <v>2421</v>
      </c>
      <c r="C38" s="10">
        <v>3500</v>
      </c>
      <c r="D38" s="10">
        <v>3500</v>
      </c>
      <c r="E38" s="9" t="s">
        <v>56</v>
      </c>
      <c r="F38" s="9" t="s">
        <v>446</v>
      </c>
      <c r="G38" s="9" t="s">
        <v>2425</v>
      </c>
      <c r="H38" s="165"/>
      <c r="I38" s="34"/>
      <c r="J38" s="9" t="s">
        <v>1123</v>
      </c>
      <c r="K38" s="10">
        <v>3500</v>
      </c>
      <c r="L38" s="9" t="s">
        <v>2426</v>
      </c>
      <c r="M38" s="9"/>
      <c r="N38" s="81" t="s">
        <v>2427</v>
      </c>
      <c r="S38" s="55" t="s">
        <v>194</v>
      </c>
      <c r="T38" s="55" t="s">
        <v>2428</v>
      </c>
      <c r="U38" s="55">
        <v>5000</v>
      </c>
      <c r="V38" s="55" t="s">
        <v>50</v>
      </c>
    </row>
    <row r="39" spans="1:22" x14ac:dyDescent="0.35">
      <c r="A39" s="9"/>
      <c r="B39" s="9" t="s">
        <v>2429</v>
      </c>
      <c r="C39" s="10">
        <v>5000</v>
      </c>
      <c r="D39" s="10"/>
      <c r="E39" s="9"/>
      <c r="F39" s="9"/>
      <c r="G39" s="9"/>
      <c r="H39" s="165"/>
      <c r="I39" s="34"/>
      <c r="J39" s="9"/>
      <c r="K39" s="10"/>
      <c r="L39" s="9"/>
      <c r="M39" s="9"/>
      <c r="N39" s="9"/>
      <c r="S39" s="55" t="s">
        <v>2430</v>
      </c>
      <c r="T39" s="55" t="s">
        <v>2363</v>
      </c>
      <c r="U39" s="55">
        <v>0</v>
      </c>
      <c r="V39" s="55"/>
    </row>
    <row r="40" spans="1:22" x14ac:dyDescent="0.35">
      <c r="A40" s="9"/>
      <c r="B40" s="9" t="s">
        <v>2429</v>
      </c>
      <c r="C40" s="10">
        <v>5000</v>
      </c>
      <c r="D40" s="10"/>
      <c r="E40" s="9"/>
      <c r="F40" s="9"/>
      <c r="G40" s="9"/>
      <c r="H40" s="165"/>
      <c r="I40" s="34"/>
      <c r="J40" s="9"/>
      <c r="K40" s="10"/>
      <c r="L40" s="9"/>
      <c r="M40" s="9"/>
      <c r="N40" s="9"/>
      <c r="S40" s="55" t="s">
        <v>87</v>
      </c>
      <c r="T40" s="55" t="s">
        <v>2360</v>
      </c>
      <c r="U40" s="55">
        <v>5000</v>
      </c>
      <c r="V40" s="55" t="s">
        <v>24</v>
      </c>
    </row>
    <row r="41" spans="1:22" x14ac:dyDescent="0.35">
      <c r="A41" s="48" t="s">
        <v>2431</v>
      </c>
      <c r="B41" s="9" t="s">
        <v>2432</v>
      </c>
      <c r="C41" s="10">
        <v>5000</v>
      </c>
      <c r="D41" s="10">
        <v>5000</v>
      </c>
      <c r="E41" s="9" t="s">
        <v>93</v>
      </c>
      <c r="F41" s="9" t="s">
        <v>446</v>
      </c>
      <c r="G41" s="9" t="s">
        <v>2433</v>
      </c>
      <c r="H41" s="165"/>
      <c r="I41" s="34"/>
      <c r="J41" s="9" t="s">
        <v>2434</v>
      </c>
      <c r="K41" s="10">
        <v>5000</v>
      </c>
      <c r="L41" s="9" t="s">
        <v>779</v>
      </c>
      <c r="M41" s="9"/>
      <c r="N41" s="81" t="s">
        <v>780</v>
      </c>
      <c r="S41" s="113" t="s">
        <v>801</v>
      </c>
      <c r="T41" s="113" t="s">
        <v>2360</v>
      </c>
      <c r="U41" s="113">
        <v>5000</v>
      </c>
      <c r="V41" s="113" t="s">
        <v>24</v>
      </c>
    </row>
    <row r="42" spans="1:22" x14ac:dyDescent="0.35">
      <c r="A42" s="9"/>
      <c r="B42" s="9"/>
      <c r="C42" s="10"/>
      <c r="D42" s="10"/>
      <c r="E42" s="9"/>
      <c r="F42" s="9"/>
      <c r="G42" s="9"/>
      <c r="H42" s="165"/>
      <c r="I42" s="34"/>
      <c r="J42" s="9"/>
      <c r="K42" s="10"/>
      <c r="L42" s="9"/>
      <c r="M42" s="9"/>
      <c r="N42" s="9"/>
      <c r="S42" s="55" t="s">
        <v>815</v>
      </c>
      <c r="T42" s="55" t="s">
        <v>2362</v>
      </c>
      <c r="U42" s="55">
        <v>3500</v>
      </c>
      <c r="V42" s="55" t="s">
        <v>92</v>
      </c>
    </row>
    <row r="43" spans="1:22" x14ac:dyDescent="0.35">
      <c r="A43" s="183" t="s">
        <v>1433</v>
      </c>
      <c r="B43" s="9" t="s">
        <v>2359</v>
      </c>
      <c r="C43" s="10">
        <v>7500</v>
      </c>
      <c r="D43" s="10">
        <v>7500</v>
      </c>
      <c r="E43" s="9" t="s">
        <v>24</v>
      </c>
      <c r="F43" s="9" t="s">
        <v>2435</v>
      </c>
      <c r="G43" s="9"/>
      <c r="H43" s="165"/>
      <c r="I43" s="34"/>
      <c r="J43" s="9" t="s">
        <v>446</v>
      </c>
      <c r="K43" s="10">
        <v>7500</v>
      </c>
      <c r="L43" s="9" t="s">
        <v>1469</v>
      </c>
      <c r="M43" s="9"/>
      <c r="N43" s="81" t="s">
        <v>1470</v>
      </c>
      <c r="S43" s="113" t="s">
        <v>2436</v>
      </c>
      <c r="T43" s="113" t="s">
        <v>2437</v>
      </c>
      <c r="U43" s="113">
        <v>1250</v>
      </c>
      <c r="V43" s="113" t="s">
        <v>90</v>
      </c>
    </row>
    <row r="44" spans="1:22" x14ac:dyDescent="0.35">
      <c r="A44" s="48" t="s">
        <v>175</v>
      </c>
      <c r="B44" s="9" t="s">
        <v>2380</v>
      </c>
      <c r="C44" s="10">
        <v>10000</v>
      </c>
      <c r="D44" s="10">
        <v>10000</v>
      </c>
      <c r="E44" s="9" t="s">
        <v>95</v>
      </c>
      <c r="F44" s="9" t="s">
        <v>244</v>
      </c>
      <c r="G44" s="9"/>
      <c r="H44" s="165"/>
      <c r="I44" s="34"/>
      <c r="J44" s="9" t="s">
        <v>897</v>
      </c>
      <c r="K44" s="10">
        <v>10000</v>
      </c>
      <c r="L44" s="9" t="s">
        <v>1072</v>
      </c>
      <c r="M44" s="9"/>
      <c r="N44" s="9" t="s">
        <v>1073</v>
      </c>
      <c r="S44" s="113" t="s">
        <v>973</v>
      </c>
      <c r="T44" s="113" t="s">
        <v>2438</v>
      </c>
      <c r="U44" s="113">
        <v>2500</v>
      </c>
      <c r="V44" s="113" t="s">
        <v>76</v>
      </c>
    </row>
    <row r="45" spans="1:22" x14ac:dyDescent="0.35">
      <c r="A45" s="48" t="s">
        <v>187</v>
      </c>
      <c r="B45" s="9" t="s">
        <v>2386</v>
      </c>
      <c r="C45" s="10">
        <v>10000</v>
      </c>
      <c r="D45" s="10">
        <v>10000</v>
      </c>
      <c r="E45" s="9" t="s">
        <v>24</v>
      </c>
      <c r="F45" s="9" t="s">
        <v>189</v>
      </c>
      <c r="G45" s="9"/>
      <c r="H45" s="163" t="s">
        <v>27</v>
      </c>
      <c r="I45" s="34"/>
      <c r="J45" s="9" t="s">
        <v>172</v>
      </c>
      <c r="K45" s="10">
        <v>10000</v>
      </c>
      <c r="L45" s="9" t="s">
        <v>190</v>
      </c>
      <c r="M45" s="9"/>
      <c r="N45" s="9" t="s">
        <v>191</v>
      </c>
      <c r="S45" s="113" t="s">
        <v>2439</v>
      </c>
      <c r="T45" s="113" t="s">
        <v>2440</v>
      </c>
      <c r="U45" s="113">
        <v>3500</v>
      </c>
      <c r="V45" s="113" t="s">
        <v>76</v>
      </c>
    </row>
    <row r="46" spans="1:22" x14ac:dyDescent="0.35">
      <c r="A46" s="48" t="s">
        <v>48</v>
      </c>
      <c r="B46" s="9" t="s">
        <v>2441</v>
      </c>
      <c r="C46" s="10">
        <v>5000</v>
      </c>
      <c r="D46" s="10">
        <v>5000</v>
      </c>
      <c r="E46" s="9" t="s">
        <v>24</v>
      </c>
      <c r="F46" s="9" t="s">
        <v>64</v>
      </c>
      <c r="G46" s="9"/>
      <c r="H46" s="165"/>
      <c r="I46" s="34"/>
      <c r="J46" s="9" t="s">
        <v>527</v>
      </c>
      <c r="K46" s="10">
        <v>5000</v>
      </c>
      <c r="L46" s="9" t="s">
        <v>66</v>
      </c>
      <c r="M46" s="9"/>
      <c r="N46" s="9" t="s">
        <v>67</v>
      </c>
      <c r="S46" s="113" t="s">
        <v>2442</v>
      </c>
      <c r="T46" s="113" t="s">
        <v>2362</v>
      </c>
      <c r="U46" s="113">
        <v>0</v>
      </c>
      <c r="V46" s="113" t="s">
        <v>95</v>
      </c>
    </row>
    <row r="47" spans="1:22" x14ac:dyDescent="0.35">
      <c r="A47" s="9"/>
      <c r="B47" s="9" t="s">
        <v>2441</v>
      </c>
      <c r="C47" s="10">
        <v>5000</v>
      </c>
      <c r="D47" s="10"/>
      <c r="E47" s="9"/>
      <c r="F47" s="9"/>
      <c r="G47" s="9"/>
      <c r="H47" s="165"/>
      <c r="I47" s="34"/>
      <c r="J47" s="9"/>
      <c r="K47" s="10"/>
      <c r="L47" s="9"/>
      <c r="M47" s="9"/>
      <c r="N47" s="9"/>
      <c r="S47" s="55" t="s">
        <v>1207</v>
      </c>
      <c r="T47" s="55" t="s">
        <v>2443</v>
      </c>
      <c r="U47" s="55">
        <v>25000</v>
      </c>
      <c r="V47" s="55" t="s">
        <v>96</v>
      </c>
    </row>
    <row r="48" spans="1:22" x14ac:dyDescent="0.35">
      <c r="A48" s="48" t="s">
        <v>2444</v>
      </c>
      <c r="B48" s="9" t="s">
        <v>2376</v>
      </c>
      <c r="C48" s="10">
        <v>25000</v>
      </c>
      <c r="D48" s="10">
        <v>25000</v>
      </c>
      <c r="E48" s="9" t="s">
        <v>95</v>
      </c>
      <c r="F48" s="9" t="s">
        <v>308</v>
      </c>
      <c r="G48" s="9" t="s">
        <v>2445</v>
      </c>
      <c r="H48" s="165"/>
      <c r="I48" s="34"/>
      <c r="J48" s="9" t="s">
        <v>2446</v>
      </c>
      <c r="K48" s="10">
        <v>12500</v>
      </c>
      <c r="L48" s="9" t="s">
        <v>2447</v>
      </c>
      <c r="M48" s="9"/>
      <c r="N48" s="81" t="s">
        <v>2448</v>
      </c>
      <c r="S48" s="113" t="s">
        <v>1210</v>
      </c>
      <c r="T48" s="113" t="s">
        <v>2360</v>
      </c>
      <c r="U48" s="113">
        <v>5000</v>
      </c>
      <c r="V48" s="113" t="s">
        <v>96</v>
      </c>
    </row>
    <row r="49" spans="1:22" x14ac:dyDescent="0.35">
      <c r="A49" s="43"/>
      <c r="B49" s="43"/>
      <c r="C49" s="43"/>
      <c r="D49" s="43"/>
      <c r="E49" s="43"/>
      <c r="F49" s="43"/>
      <c r="G49" s="43"/>
      <c r="H49" s="43"/>
      <c r="I49" s="33"/>
      <c r="J49" s="5" t="s">
        <v>336</v>
      </c>
      <c r="K49" s="236">
        <v>12500</v>
      </c>
      <c r="L49" s="43"/>
      <c r="M49" s="43"/>
      <c r="N49" s="43"/>
      <c r="S49" s="55" t="s">
        <v>2382</v>
      </c>
      <c r="T49" s="55" t="s">
        <v>2362</v>
      </c>
      <c r="U49" s="55">
        <v>3500</v>
      </c>
      <c r="V49" s="55" t="s">
        <v>95</v>
      </c>
    </row>
    <row r="50" spans="1:22" x14ac:dyDescent="0.35">
      <c r="A50" s="48" t="s">
        <v>235</v>
      </c>
      <c r="B50" s="9" t="s">
        <v>2449</v>
      </c>
      <c r="C50" s="10">
        <v>15000</v>
      </c>
      <c r="D50" s="10">
        <v>15000</v>
      </c>
      <c r="E50" s="9" t="s">
        <v>37</v>
      </c>
      <c r="F50" s="9" t="s">
        <v>319</v>
      </c>
      <c r="G50" s="9"/>
      <c r="H50" s="165"/>
      <c r="I50" s="34"/>
      <c r="J50" s="9" t="s">
        <v>650</v>
      </c>
      <c r="K50" s="10">
        <v>15000</v>
      </c>
      <c r="L50" s="9"/>
      <c r="M50" s="9"/>
      <c r="N50" s="9"/>
      <c r="S50" s="55" t="s">
        <v>286</v>
      </c>
      <c r="T50" s="55" t="s">
        <v>2360</v>
      </c>
      <c r="U50" s="55">
        <v>0</v>
      </c>
      <c r="V50" s="55" t="s">
        <v>24</v>
      </c>
    </row>
    <row r="51" spans="1:22" ht="29" x14ac:dyDescent="0.35">
      <c r="A51" s="48" t="s">
        <v>57</v>
      </c>
      <c r="B51" s="9" t="s">
        <v>2371</v>
      </c>
      <c r="C51" s="10">
        <v>10000</v>
      </c>
      <c r="D51" s="10">
        <v>10000</v>
      </c>
      <c r="E51" s="9" t="s">
        <v>24</v>
      </c>
      <c r="F51" s="9" t="s">
        <v>58</v>
      </c>
      <c r="G51" s="9"/>
      <c r="H51" s="163" t="s">
        <v>27</v>
      </c>
      <c r="I51" s="34"/>
      <c r="J51" s="9" t="s">
        <v>2450</v>
      </c>
      <c r="K51" s="10">
        <f>3202.5+6797.5</f>
        <v>10000</v>
      </c>
      <c r="L51" s="9" t="s">
        <v>60</v>
      </c>
      <c r="M51" s="9"/>
      <c r="N51" s="9" t="s">
        <v>61</v>
      </c>
      <c r="S51" s="55" t="s">
        <v>541</v>
      </c>
      <c r="T51" s="55" t="s">
        <v>2451</v>
      </c>
      <c r="U51" s="55">
        <v>15000</v>
      </c>
      <c r="V51" s="55" t="s">
        <v>96</v>
      </c>
    </row>
    <row r="52" spans="1:22" ht="72.5" x14ac:dyDescent="0.35">
      <c r="A52" s="48" t="s">
        <v>457</v>
      </c>
      <c r="B52" s="9" t="s">
        <v>2371</v>
      </c>
      <c r="C52" s="10">
        <v>10000</v>
      </c>
      <c r="D52" s="10">
        <v>10000</v>
      </c>
      <c r="E52" s="9" t="s">
        <v>24</v>
      </c>
      <c r="F52" s="9" t="s">
        <v>25</v>
      </c>
      <c r="G52" s="9"/>
      <c r="H52" s="163" t="s">
        <v>27</v>
      </c>
      <c r="I52" s="34"/>
      <c r="J52" s="9" t="s">
        <v>2452</v>
      </c>
      <c r="K52" s="10">
        <f>500+2500+2500+2500+2000</f>
        <v>10000</v>
      </c>
      <c r="L52" s="9" t="s">
        <v>459</v>
      </c>
      <c r="M52" s="9"/>
      <c r="N52" s="9" t="s">
        <v>460</v>
      </c>
      <c r="S52" s="113" t="s">
        <v>2453</v>
      </c>
      <c r="T52" s="113" t="s">
        <v>2437</v>
      </c>
      <c r="U52" s="113">
        <v>1250</v>
      </c>
      <c r="V52" s="113" t="s">
        <v>90</v>
      </c>
    </row>
    <row r="53" spans="1:22" x14ac:dyDescent="0.35">
      <c r="A53" s="43"/>
      <c r="B53" s="43"/>
      <c r="C53" s="43"/>
      <c r="D53" s="43"/>
      <c r="E53" s="43"/>
      <c r="F53" s="43"/>
      <c r="G53" s="43"/>
      <c r="H53" s="43"/>
      <c r="I53" s="33"/>
      <c r="K53" s="21"/>
      <c r="L53" s="43"/>
      <c r="M53" s="43"/>
      <c r="N53" s="43"/>
      <c r="S53" s="55" t="s">
        <v>2454</v>
      </c>
      <c r="T53" s="55" t="s">
        <v>2440</v>
      </c>
      <c r="U53" s="55">
        <v>3500</v>
      </c>
      <c r="V53" s="55" t="s">
        <v>76</v>
      </c>
    </row>
    <row r="54" spans="1:22" x14ac:dyDescent="0.35">
      <c r="A54" s="43"/>
      <c r="B54" s="43"/>
      <c r="C54" s="43"/>
      <c r="D54" s="43"/>
      <c r="E54" s="43"/>
      <c r="F54" s="43"/>
      <c r="G54" s="43"/>
      <c r="H54" s="43"/>
      <c r="I54" s="33"/>
      <c r="K54" s="21"/>
      <c r="L54" s="43"/>
      <c r="M54" s="43"/>
      <c r="N54" s="43"/>
      <c r="S54" s="55" t="s">
        <v>2407</v>
      </c>
      <c r="T54" s="55" t="s">
        <v>2362</v>
      </c>
      <c r="U54" s="55">
        <v>3500</v>
      </c>
      <c r="V54" s="55" t="s">
        <v>92</v>
      </c>
    </row>
    <row r="55" spans="1:22" x14ac:dyDescent="0.35">
      <c r="A55" s="43"/>
      <c r="B55" s="43"/>
      <c r="C55" s="43"/>
      <c r="D55" s="43"/>
      <c r="E55" s="43"/>
      <c r="F55" s="43"/>
      <c r="G55" s="43"/>
      <c r="H55" s="43"/>
      <c r="I55" s="33"/>
      <c r="K55" s="21"/>
      <c r="L55" s="43"/>
      <c r="M55" s="43"/>
      <c r="N55" s="43"/>
      <c r="S55" s="55" t="s">
        <v>232</v>
      </c>
      <c r="T55" s="55" t="s">
        <v>2362</v>
      </c>
      <c r="U55" s="55">
        <v>3000</v>
      </c>
      <c r="V55" s="55" t="s">
        <v>24</v>
      </c>
    </row>
    <row r="56" spans="1:22" ht="29" x14ac:dyDescent="0.35">
      <c r="A56" s="48" t="s">
        <v>2388</v>
      </c>
      <c r="B56" s="9" t="s">
        <v>2455</v>
      </c>
      <c r="C56" s="10">
        <v>10000</v>
      </c>
      <c r="D56" s="10">
        <v>10000</v>
      </c>
      <c r="E56" s="9" t="s">
        <v>24</v>
      </c>
      <c r="F56" s="9" t="s">
        <v>2383</v>
      </c>
      <c r="G56" s="9" t="s">
        <v>2456</v>
      </c>
      <c r="H56" s="165"/>
      <c r="I56" s="34"/>
      <c r="J56" s="195">
        <v>45880</v>
      </c>
      <c r="K56" s="10">
        <v>10000</v>
      </c>
      <c r="L56" s="9" t="s">
        <v>1682</v>
      </c>
      <c r="M56" s="9"/>
      <c r="N56" s="9" t="s">
        <v>2457</v>
      </c>
      <c r="S56" s="113" t="s">
        <v>69</v>
      </c>
      <c r="T56" s="113" t="s">
        <v>2421</v>
      </c>
      <c r="U56" s="113">
        <v>4000</v>
      </c>
      <c r="V56" s="113" t="s">
        <v>37</v>
      </c>
    </row>
    <row r="57" spans="1:22" x14ac:dyDescent="0.35">
      <c r="A57" s="48" t="s">
        <v>596</v>
      </c>
      <c r="B57" s="9" t="s">
        <v>2368</v>
      </c>
      <c r="C57" s="10">
        <v>10000</v>
      </c>
      <c r="D57" s="10">
        <v>9000</v>
      </c>
      <c r="E57" s="9" t="s">
        <v>86</v>
      </c>
      <c r="F57" s="9" t="s">
        <v>597</v>
      </c>
      <c r="G57" s="9"/>
      <c r="H57" s="98"/>
      <c r="I57" s="34"/>
      <c r="J57" s="9" t="s">
        <v>59</v>
      </c>
      <c r="K57" s="10">
        <v>9000</v>
      </c>
      <c r="L57" s="9" t="s">
        <v>599</v>
      </c>
      <c r="M57" s="9"/>
      <c r="N57" s="87" t="s">
        <v>600</v>
      </c>
      <c r="S57" s="55" t="s">
        <v>2291</v>
      </c>
      <c r="T57" s="55" t="s">
        <v>2458</v>
      </c>
      <c r="U57" s="55">
        <v>2500</v>
      </c>
      <c r="V57" s="55" t="s">
        <v>92</v>
      </c>
    </row>
    <row r="58" spans="1:22" ht="29" x14ac:dyDescent="0.35">
      <c r="A58" s="48" t="s">
        <v>40</v>
      </c>
      <c r="B58" s="9" t="s">
        <v>2368</v>
      </c>
      <c r="C58" s="10">
        <v>10000</v>
      </c>
      <c r="D58" s="10">
        <v>10000</v>
      </c>
      <c r="E58" s="9" t="s">
        <v>37</v>
      </c>
      <c r="F58" s="9" t="s">
        <v>42</v>
      </c>
      <c r="G58" s="9" t="s">
        <v>2459</v>
      </c>
      <c r="H58" s="94" t="s">
        <v>27</v>
      </c>
      <c r="I58" s="34"/>
      <c r="J58" s="9" t="s">
        <v>44</v>
      </c>
      <c r="K58" s="10">
        <v>10000</v>
      </c>
      <c r="L58" s="9" t="s">
        <v>45</v>
      </c>
      <c r="M58" s="9"/>
      <c r="N58" s="9" t="s">
        <v>46</v>
      </c>
      <c r="S58" s="55" t="s">
        <v>2396</v>
      </c>
      <c r="T58" s="55" t="s">
        <v>2362</v>
      </c>
      <c r="U58" s="55">
        <v>3500</v>
      </c>
      <c r="V58" s="55" t="s">
        <v>92</v>
      </c>
    </row>
    <row r="59" spans="1:22" x14ac:dyDescent="0.35">
      <c r="A59" s="9"/>
      <c r="B59" s="9" t="s">
        <v>2460</v>
      </c>
      <c r="C59" s="10">
        <v>10000</v>
      </c>
      <c r="D59" s="10"/>
      <c r="E59" s="9"/>
      <c r="F59" s="9"/>
      <c r="G59" s="9"/>
      <c r="H59" s="9"/>
      <c r="I59" s="34"/>
      <c r="J59" s="9"/>
      <c r="K59" s="10"/>
      <c r="L59" s="9"/>
      <c r="M59" s="9"/>
      <c r="N59" s="9"/>
      <c r="S59" s="55" t="s">
        <v>2461</v>
      </c>
      <c r="T59" s="55" t="s">
        <v>2438</v>
      </c>
      <c r="U59" s="55">
        <v>2500</v>
      </c>
      <c r="V59" s="55" t="s">
        <v>37</v>
      </c>
    </row>
    <row r="60" spans="1:22" x14ac:dyDescent="0.35">
      <c r="A60" s="9"/>
      <c r="B60" s="9" t="s">
        <v>2460</v>
      </c>
      <c r="C60" s="10">
        <v>10000</v>
      </c>
      <c r="D60" s="10"/>
      <c r="E60" s="9"/>
      <c r="F60" s="9"/>
      <c r="G60" s="9"/>
      <c r="H60" s="9"/>
      <c r="I60" s="34"/>
      <c r="J60" s="9"/>
      <c r="K60" s="10"/>
      <c r="L60" s="9"/>
      <c r="M60" s="9"/>
      <c r="N60" s="9"/>
      <c r="S60" s="55" t="s">
        <v>2461</v>
      </c>
      <c r="T60" s="55" t="s">
        <v>2462</v>
      </c>
      <c r="U60" s="55">
        <v>10000</v>
      </c>
      <c r="V60" s="55" t="s">
        <v>37</v>
      </c>
    </row>
    <row r="61" spans="1:22" x14ac:dyDescent="0.35">
      <c r="A61" s="48" t="s">
        <v>199</v>
      </c>
      <c r="B61" s="9" t="s">
        <v>2463</v>
      </c>
      <c r="C61" s="10">
        <v>10000</v>
      </c>
      <c r="D61" s="10">
        <v>10000</v>
      </c>
      <c r="E61" s="9" t="s">
        <v>96</v>
      </c>
      <c r="F61" s="9" t="s">
        <v>162</v>
      </c>
      <c r="G61" s="9"/>
      <c r="H61" s="9"/>
      <c r="I61" s="34"/>
      <c r="J61" s="9" t="s">
        <v>336</v>
      </c>
      <c r="K61" s="10">
        <v>10000</v>
      </c>
      <c r="L61" s="9" t="s">
        <v>447</v>
      </c>
      <c r="M61" s="9"/>
      <c r="N61" s="86" t="s">
        <v>1151</v>
      </c>
      <c r="S61" s="55" t="s">
        <v>2461</v>
      </c>
      <c r="T61" s="55" t="s">
        <v>2464</v>
      </c>
      <c r="U61" s="55">
        <v>17500</v>
      </c>
      <c r="V61" s="55" t="s">
        <v>37</v>
      </c>
    </row>
    <row r="62" spans="1:22" ht="29" x14ac:dyDescent="0.35">
      <c r="A62" s="48" t="s">
        <v>2454</v>
      </c>
      <c r="B62" s="9" t="s">
        <v>2440</v>
      </c>
      <c r="C62" s="10">
        <v>5000</v>
      </c>
      <c r="D62" s="10">
        <v>5000</v>
      </c>
      <c r="E62" s="9" t="s">
        <v>76</v>
      </c>
      <c r="F62" s="9" t="s">
        <v>2465</v>
      </c>
      <c r="G62" s="9" t="s">
        <v>2466</v>
      </c>
      <c r="H62" s="9"/>
      <c r="I62" s="34"/>
      <c r="J62" s="9" t="s">
        <v>407</v>
      </c>
      <c r="K62" s="10">
        <v>5000</v>
      </c>
      <c r="L62" s="9" t="s">
        <v>2467</v>
      </c>
      <c r="M62" s="9"/>
      <c r="N62" s="87" t="s">
        <v>2468</v>
      </c>
      <c r="S62" s="55" t="s">
        <v>40</v>
      </c>
      <c r="T62" s="55" t="s">
        <v>2395</v>
      </c>
      <c r="U62" s="55">
        <v>5000</v>
      </c>
      <c r="V62" s="55" t="s">
        <v>37</v>
      </c>
    </row>
    <row r="63" spans="1:22" ht="29" x14ac:dyDescent="0.35">
      <c r="A63" s="48" t="s">
        <v>2291</v>
      </c>
      <c r="B63" s="9" t="s">
        <v>2458</v>
      </c>
      <c r="C63" s="10">
        <v>7500</v>
      </c>
      <c r="D63" s="10">
        <v>2500</v>
      </c>
      <c r="E63" s="9" t="s">
        <v>92</v>
      </c>
      <c r="F63" s="9" t="s">
        <v>299</v>
      </c>
      <c r="G63" s="9" t="s">
        <v>2469</v>
      </c>
      <c r="H63" s="9"/>
      <c r="I63" s="34"/>
      <c r="J63" s="9" t="s">
        <v>1123</v>
      </c>
      <c r="K63" s="10">
        <v>2500</v>
      </c>
      <c r="L63" s="9" t="s">
        <v>2470</v>
      </c>
      <c r="M63" s="9"/>
      <c r="N63" s="86" t="s">
        <v>2471</v>
      </c>
      <c r="S63" s="55" t="s">
        <v>52</v>
      </c>
      <c r="T63" s="55" t="s">
        <v>2360</v>
      </c>
      <c r="U63" s="55">
        <v>3500</v>
      </c>
      <c r="V63" s="55" t="s">
        <v>24</v>
      </c>
    </row>
    <row r="64" spans="1:22" x14ac:dyDescent="0.35">
      <c r="A64" s="9"/>
      <c r="B64" s="9" t="s">
        <v>2458</v>
      </c>
      <c r="C64" s="10">
        <v>7500</v>
      </c>
      <c r="D64" s="10"/>
      <c r="E64" s="9"/>
      <c r="F64" s="9"/>
      <c r="G64" s="9"/>
      <c r="H64" s="9"/>
      <c r="I64" s="34"/>
      <c r="J64" s="9"/>
      <c r="K64" s="10"/>
      <c r="L64" s="9"/>
      <c r="M64" s="9"/>
      <c r="N64" s="9"/>
      <c r="S64" s="55" t="s">
        <v>1373</v>
      </c>
      <c r="T64" s="55" t="s">
        <v>2449</v>
      </c>
      <c r="U64" s="55">
        <v>15000</v>
      </c>
      <c r="V64" s="55"/>
    </row>
    <row r="65" spans="1:22" ht="29" x14ac:dyDescent="0.35">
      <c r="A65" s="48" t="s">
        <v>289</v>
      </c>
      <c r="B65" s="9" t="s">
        <v>2472</v>
      </c>
      <c r="C65" s="10">
        <v>5000</v>
      </c>
      <c r="D65" s="10">
        <v>5000</v>
      </c>
      <c r="E65" s="9" t="s">
        <v>37</v>
      </c>
      <c r="F65" s="9" t="s">
        <v>115</v>
      </c>
      <c r="G65" s="9" t="s">
        <v>2473</v>
      </c>
      <c r="H65" s="94" t="s">
        <v>27</v>
      </c>
      <c r="I65" s="34"/>
      <c r="J65" s="9" t="s">
        <v>44</v>
      </c>
      <c r="K65" s="10">
        <v>5000</v>
      </c>
      <c r="L65" s="9" t="s">
        <v>1610</v>
      </c>
      <c r="M65" s="9"/>
      <c r="N65" s="9" t="s">
        <v>1611</v>
      </c>
      <c r="S65" s="55" t="s">
        <v>1863</v>
      </c>
      <c r="T65" s="55" t="s">
        <v>2474</v>
      </c>
      <c r="U65" s="55">
        <v>7500</v>
      </c>
      <c r="V65" s="55" t="s">
        <v>95</v>
      </c>
    </row>
    <row r="66" spans="1:22" x14ac:dyDescent="0.35">
      <c r="A66" s="9"/>
      <c r="B66" s="9" t="s">
        <v>2406</v>
      </c>
      <c r="C66" s="10">
        <v>5000</v>
      </c>
      <c r="D66" s="10"/>
      <c r="E66" s="9"/>
      <c r="F66" s="9"/>
      <c r="G66" s="9"/>
      <c r="H66" s="9"/>
      <c r="I66" s="34"/>
      <c r="J66" s="9"/>
      <c r="K66" s="10"/>
      <c r="L66" s="9"/>
      <c r="M66" s="9"/>
      <c r="N66" s="9"/>
      <c r="S66" s="55" t="s">
        <v>718</v>
      </c>
      <c r="T66" s="55" t="s">
        <v>2362</v>
      </c>
      <c r="U66" s="55">
        <v>3500</v>
      </c>
      <c r="V66" s="55" t="s">
        <v>90</v>
      </c>
    </row>
    <row r="67" spans="1:22" x14ac:dyDescent="0.35">
      <c r="A67" s="48" t="s">
        <v>140</v>
      </c>
      <c r="B67" s="9" t="s">
        <v>2373</v>
      </c>
      <c r="C67" s="10">
        <v>10000</v>
      </c>
      <c r="D67" s="10">
        <v>7500</v>
      </c>
      <c r="E67" s="9" t="s">
        <v>24</v>
      </c>
      <c r="F67" s="9" t="s">
        <v>162</v>
      </c>
      <c r="G67" s="9"/>
      <c r="H67" s="9"/>
      <c r="I67" s="34"/>
      <c r="J67" s="9" t="s">
        <v>107</v>
      </c>
      <c r="K67" s="10">
        <v>7500</v>
      </c>
      <c r="L67" s="9" t="s">
        <v>1811</v>
      </c>
      <c r="M67" s="9"/>
      <c r="N67" s="87" t="s">
        <v>2475</v>
      </c>
      <c r="S67" s="55" t="s">
        <v>1698</v>
      </c>
      <c r="T67" s="55" t="s">
        <v>2474</v>
      </c>
      <c r="U67" s="55">
        <v>5000</v>
      </c>
      <c r="V67" s="55" t="s">
        <v>95</v>
      </c>
    </row>
    <row r="68" spans="1:22" x14ac:dyDescent="0.35">
      <c r="A68" s="48" t="s">
        <v>2476</v>
      </c>
      <c r="B68" s="9" t="s">
        <v>2381</v>
      </c>
      <c r="C68" s="10">
        <v>7500</v>
      </c>
      <c r="D68" s="10">
        <v>7500</v>
      </c>
      <c r="E68" s="9" t="s">
        <v>96</v>
      </c>
      <c r="F68" s="9" t="s">
        <v>295</v>
      </c>
      <c r="G68" s="9" t="s">
        <v>2477</v>
      </c>
      <c r="H68" s="9"/>
      <c r="I68" s="34"/>
      <c r="J68" s="9" t="s">
        <v>2378</v>
      </c>
      <c r="K68" s="10">
        <v>7500</v>
      </c>
      <c r="L68" s="9" t="s">
        <v>2478</v>
      </c>
      <c r="M68" s="9"/>
      <c r="N68" s="87" t="s">
        <v>2479</v>
      </c>
      <c r="S68" s="55" t="s">
        <v>1698</v>
      </c>
      <c r="T68" s="55" t="s">
        <v>2418</v>
      </c>
      <c r="U68" s="55">
        <v>0</v>
      </c>
      <c r="V68" s="55" t="s">
        <v>95</v>
      </c>
    </row>
    <row r="69" spans="1:22" x14ac:dyDescent="0.35">
      <c r="A69" s="48" t="s">
        <v>129</v>
      </c>
      <c r="B69" s="9" t="s">
        <v>2480</v>
      </c>
      <c r="C69" s="10">
        <v>42500</v>
      </c>
      <c r="D69" s="10">
        <v>7500</v>
      </c>
      <c r="E69" s="9" t="s">
        <v>86</v>
      </c>
      <c r="F69" s="9" t="s">
        <v>597</v>
      </c>
      <c r="G69" s="9" t="s">
        <v>2481</v>
      </c>
      <c r="H69" s="9"/>
      <c r="I69" s="34"/>
      <c r="J69" s="9" t="s">
        <v>681</v>
      </c>
      <c r="K69" s="10">
        <v>7500</v>
      </c>
      <c r="L69" s="9"/>
      <c r="M69" s="9"/>
      <c r="N69" s="9"/>
    </row>
    <row r="70" spans="1:22" x14ac:dyDescent="0.35">
      <c r="A70" s="48" t="s">
        <v>2430</v>
      </c>
      <c r="B70" s="9" t="s">
        <v>2363</v>
      </c>
      <c r="C70" s="10">
        <v>7500</v>
      </c>
      <c r="D70" s="10">
        <v>0</v>
      </c>
      <c r="E70" s="9"/>
      <c r="F70" s="9" t="s">
        <v>167</v>
      </c>
      <c r="G70" s="9"/>
      <c r="H70" s="9"/>
      <c r="I70" s="34"/>
      <c r="J70" s="9"/>
      <c r="K70" s="10"/>
      <c r="L70" s="9"/>
      <c r="M70" s="9"/>
      <c r="N70" s="9"/>
    </row>
    <row r="71" spans="1:22" ht="58" x14ac:dyDescent="0.35">
      <c r="A71" s="48" t="s">
        <v>176</v>
      </c>
      <c r="B71" s="9" t="s">
        <v>2482</v>
      </c>
      <c r="C71" s="10">
        <v>5000</v>
      </c>
      <c r="D71" s="10">
        <v>5000</v>
      </c>
      <c r="E71" s="9" t="s">
        <v>56</v>
      </c>
      <c r="F71" s="9" t="s">
        <v>25</v>
      </c>
      <c r="G71" s="9" t="s">
        <v>177</v>
      </c>
      <c r="H71" s="9"/>
      <c r="I71" s="34"/>
      <c r="J71" s="9" t="s">
        <v>336</v>
      </c>
      <c r="K71" s="10">
        <v>5000</v>
      </c>
      <c r="L71" s="9" t="s">
        <v>178</v>
      </c>
      <c r="M71" s="9"/>
      <c r="N71" s="86" t="s">
        <v>179</v>
      </c>
    </row>
    <row r="72" spans="1:22" x14ac:dyDescent="0.35">
      <c r="A72" s="48" t="s">
        <v>70</v>
      </c>
      <c r="B72" s="9" t="s">
        <v>2438</v>
      </c>
      <c r="C72" s="10">
        <v>3500</v>
      </c>
      <c r="D72" s="10">
        <v>2500</v>
      </c>
      <c r="E72" s="9" t="s">
        <v>24</v>
      </c>
      <c r="F72" s="9" t="s">
        <v>71</v>
      </c>
      <c r="G72" s="9" t="s">
        <v>335</v>
      </c>
      <c r="H72" s="9"/>
      <c r="I72" s="34"/>
      <c r="J72" s="9" t="s">
        <v>421</v>
      </c>
      <c r="K72" s="10">
        <v>2500</v>
      </c>
      <c r="L72" s="9" t="s">
        <v>74</v>
      </c>
      <c r="M72" s="9"/>
      <c r="N72" s="9" t="s">
        <v>75</v>
      </c>
    </row>
    <row r="73" spans="1:22" x14ac:dyDescent="0.35">
      <c r="A73" s="9"/>
      <c r="B73" s="9" t="s">
        <v>2438</v>
      </c>
      <c r="C73" s="10">
        <v>3500</v>
      </c>
      <c r="D73" s="10"/>
      <c r="E73" s="9"/>
      <c r="F73" s="9"/>
      <c r="G73" s="9"/>
      <c r="H73" s="9"/>
      <c r="I73" s="34"/>
      <c r="J73" s="9"/>
      <c r="K73" s="10"/>
      <c r="L73" s="9"/>
      <c r="M73" s="9"/>
      <c r="N73" s="9"/>
    </row>
    <row r="74" spans="1:22" x14ac:dyDescent="0.35">
      <c r="A74" s="48" t="s">
        <v>194</v>
      </c>
      <c r="B74" s="9" t="s">
        <v>2428</v>
      </c>
      <c r="C74" s="10">
        <v>7500</v>
      </c>
      <c r="D74" s="10">
        <v>5000</v>
      </c>
      <c r="E74" s="9" t="s">
        <v>50</v>
      </c>
      <c r="F74" s="9" t="s">
        <v>195</v>
      </c>
      <c r="G74" s="9"/>
      <c r="H74" s="94" t="s">
        <v>27</v>
      </c>
      <c r="I74" s="34"/>
      <c r="J74" s="9" t="s">
        <v>439</v>
      </c>
      <c r="K74" s="10">
        <v>5000</v>
      </c>
      <c r="L74" s="9" t="s">
        <v>196</v>
      </c>
      <c r="M74" s="9"/>
      <c r="N74" s="9" t="s">
        <v>197</v>
      </c>
    </row>
    <row r="75" spans="1:22" ht="29" x14ac:dyDescent="0.35">
      <c r="A75" s="48" t="s">
        <v>260</v>
      </c>
      <c r="B75" s="9" t="s">
        <v>2402</v>
      </c>
      <c r="C75" s="10">
        <v>7500</v>
      </c>
      <c r="D75" s="10">
        <v>5000</v>
      </c>
      <c r="E75" s="9" t="s">
        <v>50</v>
      </c>
      <c r="F75" s="9" t="s">
        <v>261</v>
      </c>
      <c r="G75" s="9" t="s">
        <v>2483</v>
      </c>
      <c r="H75" s="94" t="s">
        <v>27</v>
      </c>
      <c r="I75" s="34"/>
      <c r="J75" s="9" t="s">
        <v>2484</v>
      </c>
      <c r="K75" s="10">
        <f>477.5+1765</f>
        <v>2242.5</v>
      </c>
      <c r="L75" s="9" t="s">
        <v>262</v>
      </c>
      <c r="M75" s="9"/>
      <c r="N75" s="9" t="s">
        <v>263</v>
      </c>
    </row>
    <row r="76" spans="1:22" x14ac:dyDescent="0.35">
      <c r="A76" s="43"/>
      <c r="B76" s="43"/>
      <c r="C76" s="43"/>
      <c r="D76" s="43"/>
      <c r="E76" s="43"/>
      <c r="F76" s="43"/>
      <c r="G76" s="43"/>
      <c r="H76" s="43"/>
      <c r="I76" s="33"/>
      <c r="J76" s="5" t="s">
        <v>638</v>
      </c>
      <c r="K76" s="209">
        <v>2757.5</v>
      </c>
      <c r="L76" s="43"/>
      <c r="M76" s="43"/>
      <c r="N76" s="43"/>
    </row>
    <row r="77" spans="1:22" ht="58" x14ac:dyDescent="0.35">
      <c r="A77" s="48" t="s">
        <v>671</v>
      </c>
      <c r="B77" s="9" t="s">
        <v>2485</v>
      </c>
      <c r="C77" s="10">
        <v>5000</v>
      </c>
      <c r="D77" s="10">
        <v>7500</v>
      </c>
      <c r="E77" s="9" t="s">
        <v>76</v>
      </c>
      <c r="F77" s="9" t="s">
        <v>325</v>
      </c>
      <c r="G77" s="9" t="s">
        <v>2486</v>
      </c>
      <c r="H77" s="9"/>
      <c r="I77" s="34"/>
      <c r="J77" s="9" t="s">
        <v>375</v>
      </c>
      <c r="K77" s="10">
        <v>7500</v>
      </c>
      <c r="L77" s="9" t="s">
        <v>692</v>
      </c>
      <c r="M77" s="9"/>
      <c r="N77" s="130" t="s">
        <v>693</v>
      </c>
    </row>
    <row r="78" spans="1:22" x14ac:dyDescent="0.35">
      <c r="A78" s="48" t="s">
        <v>31</v>
      </c>
      <c r="B78" s="9" t="s">
        <v>2357</v>
      </c>
      <c r="C78" s="10">
        <v>20000</v>
      </c>
      <c r="D78" s="10">
        <v>25000</v>
      </c>
      <c r="E78" s="9" t="s">
        <v>24</v>
      </c>
      <c r="F78" s="9" t="s">
        <v>33</v>
      </c>
      <c r="G78" s="9"/>
      <c r="H78" s="9"/>
      <c r="I78" s="34"/>
      <c r="J78" s="9" t="s">
        <v>224</v>
      </c>
      <c r="K78" s="10">
        <v>25000</v>
      </c>
      <c r="L78" s="9" t="s">
        <v>35</v>
      </c>
      <c r="M78" s="9"/>
      <c r="N78" s="87" t="s">
        <v>36</v>
      </c>
    </row>
    <row r="79" spans="1:22" ht="43.5" x14ac:dyDescent="0.35">
      <c r="A79" s="48" t="s">
        <v>1863</v>
      </c>
      <c r="B79" s="9" t="s">
        <v>2474</v>
      </c>
      <c r="C79" s="10">
        <v>5000</v>
      </c>
      <c r="D79" s="10">
        <v>7500</v>
      </c>
      <c r="E79" s="9" t="s">
        <v>95</v>
      </c>
      <c r="F79" s="9" t="s">
        <v>1275</v>
      </c>
      <c r="G79" s="9" t="s">
        <v>2487</v>
      </c>
      <c r="H79" s="94" t="s">
        <v>27</v>
      </c>
      <c r="I79" s="34"/>
      <c r="J79" s="9" t="s">
        <v>493</v>
      </c>
      <c r="K79" s="10">
        <v>7500</v>
      </c>
      <c r="L79" s="9" t="s">
        <v>2488</v>
      </c>
      <c r="M79" s="9"/>
      <c r="N79" s="87" t="s">
        <v>2489</v>
      </c>
    </row>
    <row r="80" spans="1:22" ht="29" x14ac:dyDescent="0.35">
      <c r="A80" s="48" t="s">
        <v>1083</v>
      </c>
      <c r="B80" s="9" t="s">
        <v>2474</v>
      </c>
      <c r="C80" s="10">
        <v>5000</v>
      </c>
      <c r="D80" s="10">
        <v>5000</v>
      </c>
      <c r="E80" s="9" t="s">
        <v>95</v>
      </c>
      <c r="F80" s="9" t="s">
        <v>115</v>
      </c>
      <c r="G80" s="9" t="s">
        <v>2490</v>
      </c>
      <c r="H80" s="94" t="s">
        <v>27</v>
      </c>
      <c r="I80" s="34"/>
      <c r="J80" s="195" t="s">
        <v>2491</v>
      </c>
      <c r="K80" s="10">
        <f>1093.33+1953.33+1953.34</f>
        <v>5000</v>
      </c>
      <c r="L80" s="9" t="s">
        <v>1084</v>
      </c>
      <c r="M80" s="9"/>
      <c r="N80" s="9" t="s">
        <v>1085</v>
      </c>
    </row>
    <row r="81" spans="1:14" x14ac:dyDescent="0.35">
      <c r="A81" s="9"/>
      <c r="B81" s="9" t="s">
        <v>2492</v>
      </c>
      <c r="C81" s="10">
        <v>5000</v>
      </c>
      <c r="D81" s="10"/>
      <c r="E81" s="9"/>
      <c r="F81" s="9"/>
      <c r="G81" s="9"/>
      <c r="H81" s="9"/>
      <c r="I81" s="34"/>
      <c r="J81" s="9"/>
      <c r="K81" s="10"/>
      <c r="L81" s="9"/>
      <c r="M81" s="9"/>
      <c r="N81" s="9"/>
    </row>
    <row r="82" spans="1:14" x14ac:dyDescent="0.35">
      <c r="A82" s="9"/>
      <c r="B82" s="9" t="s">
        <v>2493</v>
      </c>
      <c r="C82" s="10">
        <v>25000</v>
      </c>
      <c r="D82" s="10"/>
      <c r="E82" s="9"/>
      <c r="F82" s="9"/>
      <c r="G82" s="9"/>
      <c r="H82" s="9"/>
      <c r="I82" s="34"/>
      <c r="J82" s="9"/>
      <c r="K82" s="10"/>
      <c r="L82" s="9"/>
      <c r="M82" s="9"/>
      <c r="N82" s="9"/>
    </row>
    <row r="83" spans="1:14" x14ac:dyDescent="0.35">
      <c r="A83" s="9"/>
      <c r="B83" s="9" t="s">
        <v>2494</v>
      </c>
      <c r="C83" s="10">
        <v>5000</v>
      </c>
      <c r="D83" s="10"/>
      <c r="E83" s="9"/>
      <c r="F83" s="9"/>
      <c r="G83" s="9"/>
      <c r="H83" s="9"/>
      <c r="I83" s="34"/>
      <c r="J83" s="9"/>
      <c r="K83" s="10"/>
      <c r="L83" s="9"/>
      <c r="M83" s="9"/>
      <c r="N83" s="9"/>
    </row>
    <row r="84" spans="1:14" x14ac:dyDescent="0.35">
      <c r="A84" s="9"/>
      <c r="B84" s="9" t="s">
        <v>2495</v>
      </c>
      <c r="C84" s="10">
        <v>5000</v>
      </c>
      <c r="D84" s="10"/>
      <c r="E84" s="9"/>
      <c r="F84" s="9"/>
      <c r="G84" s="9"/>
      <c r="H84" s="9"/>
      <c r="I84" s="34"/>
      <c r="J84" s="9"/>
      <c r="K84" s="10"/>
      <c r="L84" s="9"/>
      <c r="M84" s="9"/>
      <c r="N84" s="9"/>
    </row>
    <row r="85" spans="1:14" x14ac:dyDescent="0.35">
      <c r="A85" s="48" t="s">
        <v>727</v>
      </c>
      <c r="B85" s="9" t="s">
        <v>2496</v>
      </c>
      <c r="C85" s="10">
        <v>5000</v>
      </c>
      <c r="D85" s="10">
        <v>4500</v>
      </c>
      <c r="E85" s="9" t="s">
        <v>90</v>
      </c>
      <c r="F85" s="9" t="s">
        <v>206</v>
      </c>
      <c r="G85" s="9"/>
      <c r="H85" s="9"/>
      <c r="I85" s="34"/>
      <c r="J85" s="9"/>
      <c r="K85" s="10"/>
      <c r="L85" s="9" t="s">
        <v>2497</v>
      </c>
      <c r="M85" s="9"/>
      <c r="N85" s="87" t="s">
        <v>729</v>
      </c>
    </row>
    <row r="86" spans="1:14" x14ac:dyDescent="0.35">
      <c r="A86" s="9"/>
      <c r="B86" s="9" t="s">
        <v>2498</v>
      </c>
      <c r="C86" s="10">
        <v>3500</v>
      </c>
      <c r="D86" s="10"/>
      <c r="E86" s="9"/>
      <c r="F86" s="9"/>
      <c r="G86" s="9"/>
      <c r="H86" s="9"/>
      <c r="I86" s="34"/>
      <c r="J86" s="9"/>
      <c r="K86" s="10"/>
      <c r="L86" s="9"/>
      <c r="M86" s="9"/>
      <c r="N86" s="9"/>
    </row>
    <row r="87" spans="1:14" x14ac:dyDescent="0.35">
      <c r="A87" s="48" t="s">
        <v>57</v>
      </c>
      <c r="B87" s="9" t="s">
        <v>2418</v>
      </c>
      <c r="C87" s="10">
        <v>0</v>
      </c>
      <c r="D87" s="10">
        <v>2000</v>
      </c>
      <c r="E87" s="9" t="s">
        <v>24</v>
      </c>
      <c r="F87" s="9" t="s">
        <v>58</v>
      </c>
      <c r="G87" s="9" t="s">
        <v>2499</v>
      </c>
      <c r="H87" s="94" t="s">
        <v>27</v>
      </c>
      <c r="I87" s="34"/>
      <c r="J87" s="195">
        <v>45903</v>
      </c>
      <c r="K87" s="10">
        <v>2000</v>
      </c>
      <c r="L87" s="9" t="s">
        <v>60</v>
      </c>
      <c r="M87" s="9"/>
      <c r="N87" s="9" t="s">
        <v>61</v>
      </c>
    </row>
    <row r="88" spans="1:14" ht="29" x14ac:dyDescent="0.35">
      <c r="A88" s="48" t="s">
        <v>70</v>
      </c>
      <c r="B88" s="9" t="s">
        <v>2500</v>
      </c>
      <c r="C88" s="10">
        <v>0</v>
      </c>
      <c r="D88" s="10">
        <v>10000</v>
      </c>
      <c r="E88" s="9" t="s">
        <v>24</v>
      </c>
      <c r="F88" s="9" t="s">
        <v>71</v>
      </c>
      <c r="G88" s="9" t="s">
        <v>2501</v>
      </c>
      <c r="H88" s="9"/>
      <c r="I88" s="34"/>
      <c r="J88" s="9" t="s">
        <v>421</v>
      </c>
      <c r="K88" s="10">
        <v>10000</v>
      </c>
      <c r="L88" s="9" t="s">
        <v>74</v>
      </c>
      <c r="M88" s="9"/>
      <c r="N88" s="9" t="s">
        <v>75</v>
      </c>
    </row>
    <row r="89" spans="1:14" ht="29" x14ac:dyDescent="0.35">
      <c r="A89" s="48" t="s">
        <v>70</v>
      </c>
      <c r="B89" s="9" t="s">
        <v>2502</v>
      </c>
      <c r="C89" s="10">
        <v>0</v>
      </c>
      <c r="D89" s="10">
        <v>17500</v>
      </c>
      <c r="E89" s="9" t="s">
        <v>24</v>
      </c>
      <c r="F89" s="9" t="s">
        <v>71</v>
      </c>
      <c r="G89" s="9" t="s">
        <v>2501</v>
      </c>
      <c r="H89" s="9"/>
      <c r="I89" s="34"/>
      <c r="J89" s="9" t="s">
        <v>421</v>
      </c>
      <c r="K89" s="10">
        <v>17500</v>
      </c>
      <c r="L89" s="9" t="s">
        <v>74</v>
      </c>
      <c r="M89" s="9"/>
      <c r="N89" s="87" t="s">
        <v>75</v>
      </c>
    </row>
    <row r="90" spans="1:14" ht="43.5" x14ac:dyDescent="0.35">
      <c r="A90" s="48" t="s">
        <v>2503</v>
      </c>
      <c r="B90" s="9" t="s">
        <v>2504</v>
      </c>
      <c r="C90" s="10">
        <v>0</v>
      </c>
      <c r="D90" s="10">
        <v>10000</v>
      </c>
      <c r="E90" s="9" t="s">
        <v>96</v>
      </c>
      <c r="F90" s="9" t="s">
        <v>270</v>
      </c>
      <c r="G90" s="9" t="s">
        <v>2505</v>
      </c>
      <c r="H90" s="9"/>
      <c r="I90" s="34"/>
      <c r="J90" s="9" t="s">
        <v>2506</v>
      </c>
      <c r="K90" s="10">
        <v>5000</v>
      </c>
      <c r="L90" s="9"/>
      <c r="M90" s="9"/>
      <c r="N90" s="9"/>
    </row>
    <row r="91" spans="1:14" x14ac:dyDescent="0.35">
      <c r="A91" s="43"/>
      <c r="B91" s="43"/>
      <c r="C91" s="43"/>
      <c r="D91" s="43"/>
      <c r="E91" s="43"/>
      <c r="F91" s="43"/>
      <c r="G91" s="43"/>
      <c r="H91" s="43"/>
      <c r="I91" s="33"/>
      <c r="J91" s="5" t="s">
        <v>651</v>
      </c>
      <c r="K91" s="236">
        <v>5000</v>
      </c>
      <c r="L91" s="43"/>
      <c r="M91" s="43"/>
      <c r="N91" s="43"/>
    </row>
    <row r="93" spans="1:14" x14ac:dyDescent="0.35">
      <c r="K93" s="29">
        <f>SUM(K9:K91)</f>
        <v>433000</v>
      </c>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V68">
    <sortCondition ref="S9:S68"/>
  </sortState>
  <hyperlinks>
    <hyperlink ref="N68" r:id="rId2" display="mailto:Kevin.Crockett@ks.gov" xr:uid="{34C6FFA5-6155-4137-A15D-FAE549ECC9D4}"/>
    <hyperlink ref="N57" r:id="rId3" display="mailto:jay@caldwellcares.com" xr:uid="{3F05857E-9F80-4C16-B067-F0B0C1BF088A}"/>
    <hyperlink ref="N62" r:id="rId4" display="mailto:khooten@reachtherapyservices.com" xr:uid="{72CF7B31-2028-43C0-A9B0-9CE0C5C530A6}"/>
    <hyperlink ref="N85" r:id="rId5" display="mailto:spencer.griffith@agfc.ar.gov" xr:uid="{651BE349-55BE-48AB-A613-AC7BF6C6BED2}"/>
    <hyperlink ref="N78" r:id="rId6" display="mailto:Crystal.Floyd@acxiom.com" xr:uid="{3D349040-4949-46BF-BCFD-5C427E9D98B3}"/>
    <hyperlink ref="N89" r:id="rId7" xr:uid="{4A82DC2B-1766-4068-A0A9-F4C070BDA5D8}"/>
    <hyperlink ref="N79" r:id="rId8" xr:uid="{F507B72F-E903-478A-8F77-8AEAB9708C8C}"/>
    <hyperlink ref="N23" r:id="rId9" display="mailto:AThreats@leaffilter.com" xr:uid="{4BFBA92A-5D13-4586-BD42-8741B40C2205}"/>
    <hyperlink ref="N24" r:id="rId10" display="mailto:woneda.grayham@obi.org" xr:uid="{40286949-44A7-472D-B866-9B6D52351B9C}"/>
    <hyperlink ref="N25" r:id="rId11" display="mailto:dgoforth@AFCU.org" xr:uid="{669A0306-8B0C-4309-9AE6-49CA74B33C4C}"/>
    <hyperlink ref="N67" r:id="rId12" display="mailto:DSchwartz@my100bank.com" xr:uid="{F582E310-02D9-48CA-909F-C09496357BE2}"/>
    <hyperlink ref="N61" r:id="rId13" display="mailto:Valencia.Anderson@conwaybh.com" xr:uid="{FD49F8F0-9491-4943-962C-D3581B09C880}"/>
    <hyperlink ref="N15" r:id="rId14" display="mailto:jake.turpin@claytonhomes.com" xr:uid="{CC38A0F1-3884-460F-B719-D891E27AD089}"/>
    <hyperlink ref="N71" r:id="rId15" display="mailto:jake.turpin@claytonhomes.com" xr:uid="{C7380390-1076-44EE-A36A-9EFC64BFC765}"/>
    <hyperlink ref="N63" r:id="rId16" display="mailto:707marketing@texasroadhouse.com" xr:uid="{3D4BCDE6-BA88-4D06-897C-EACC340947A6}"/>
    <hyperlink ref="N43" r:id="rId17" display="mailto:rapittillo@arkbluecross.com" xr:uid="{9B9EF127-F182-4751-BA5B-673209DCA937}"/>
    <hyperlink ref="N20" r:id="rId18" xr:uid="{11875EB0-574B-4765-8B26-8436583DE899}"/>
    <hyperlink ref="N48" r:id="rId19" display="mailto:jennifer.mcgill@cnent.com" xr:uid="{BD2F3205-0261-4FDE-890B-D181F4BACDF3}"/>
    <hyperlink ref="N38" r:id="rId20" display="mailto:surveying@conwaycorp.net" xr:uid="{5883BB9A-B4B3-4FC4-930E-8A14C5468A6F}"/>
    <hyperlink ref="N28" r:id="rId21" display="mailto:francisco.aguilar1@t-mobile.com" xr:uid="{1EEB0B61-627C-4FFD-AA29-A1114D894D2F}"/>
    <hyperlink ref="N29" r:id="rId22" display="mailto:omar.delgado@verizonwireless.com" xr:uid="{91139497-7AD0-4272-A7E9-90523744A3E1}"/>
    <hyperlink ref="N30" r:id="rId23" tooltip="mailto:silverfieldconstruction@gmail.com" display="mailto:silverfieldconstruction@gmail.com" xr:uid="{D5335B7B-7E52-4A60-A468-3B4C505D096F}"/>
    <hyperlink ref="N31" r:id="rId24" display="mailto:jmillican@rbaofar.com" xr:uid="{AD8276EA-C0EA-427C-93C8-E415F91D0068}"/>
    <hyperlink ref="N33" r:id="rId25" display="mailto:Angelique.Critz@greatdayimprovements.com" xr:uid="{96C87FA6-37CE-4547-9A7B-269A82D3AD22}"/>
    <hyperlink ref="N34" r:id="rId26" display="mailto:Charla_Perry@comcast.com" xr:uid="{06061ACD-BE6F-402D-A8E0-00FBD8655D86}"/>
    <hyperlink ref="N41" r:id="rId27" display="mailto:Traci.Byrd@orthoarkansas.com" xr:uid="{FDFC1F40-3D27-46BE-BBC5-0D70C4FA222C}"/>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A5F8C-77F9-44BC-8BB0-5E43D3661276}">
  <dimension ref="A1:W317"/>
  <sheetViews>
    <sheetView workbookViewId="0">
      <pane ySplit="8" topLeftCell="A9" activePane="bottomLeft" state="frozen"/>
      <selection pane="bottomLeft" activeCell="K19" sqref="K19"/>
    </sheetView>
  </sheetViews>
  <sheetFormatPr defaultColWidth="33.81640625" defaultRowHeight="14.5" x14ac:dyDescent="0.35"/>
  <cols>
    <col min="1" max="1" width="29.7265625" style="5" bestFit="1" customWidth="1"/>
    <col min="2" max="2" width="19.26953125" style="5" bestFit="1" customWidth="1"/>
    <col min="3" max="3" width="9.1796875" style="5" bestFit="1" customWidth="1"/>
    <col min="4" max="4" width="15.81640625" style="5" bestFit="1" customWidth="1"/>
    <col min="5" max="5" width="8.7265625" style="5" bestFit="1" customWidth="1"/>
    <col min="6" max="6" width="11.1796875" style="5" bestFit="1" customWidth="1"/>
    <col min="7" max="7" width="30.81640625" style="5" bestFit="1" customWidth="1"/>
    <col min="8" max="8" width="16.26953125" style="5" bestFit="1" customWidth="1"/>
    <col min="9" max="9" width="10.1796875" style="5" bestFit="1" customWidth="1"/>
    <col min="10" max="10" width="10.26953125" style="5" bestFit="1" customWidth="1"/>
    <col min="11" max="11" width="14.453125" style="5" bestFit="1" customWidth="1"/>
    <col min="12" max="12" width="26.54296875" style="5" bestFit="1" customWidth="1"/>
    <col min="13" max="13" width="22.26953125" style="5" customWidth="1"/>
    <col min="14" max="14" width="42.7265625" style="5" bestFit="1" customWidth="1"/>
    <col min="15" max="15" width="33.81640625" style="5"/>
    <col min="16" max="16" width="11" style="5" bestFit="1" customWidth="1"/>
    <col min="17" max="17" width="10.1796875" style="5" bestFit="1" customWidth="1"/>
    <col min="18" max="18" width="33.81640625" style="5"/>
    <col min="19" max="19" width="29.7265625" style="5" bestFit="1" customWidth="1"/>
    <col min="20" max="20" width="14.453125" style="5" bestFit="1" customWidth="1"/>
    <col min="21" max="21" width="9.1796875" style="5" bestFit="1" customWidth="1"/>
    <col min="22" max="22" width="15.81640625" style="5" bestFit="1" customWidth="1"/>
    <col min="23" max="23" width="8.7265625" style="5" bestFit="1" customWidth="1"/>
    <col min="24" max="16384" width="33.81640625" style="5"/>
  </cols>
  <sheetData>
    <row r="1" spans="1:23" x14ac:dyDescent="0.35">
      <c r="A1" s="4" t="s">
        <v>2507</v>
      </c>
      <c r="B1" s="4">
        <v>2025</v>
      </c>
      <c r="S1" s="4" t="s">
        <v>2507</v>
      </c>
      <c r="T1" s="4">
        <v>2024</v>
      </c>
    </row>
    <row r="2" spans="1:23" x14ac:dyDescent="0.35">
      <c r="A2" s="6" t="s">
        <v>1</v>
      </c>
      <c r="B2" s="7">
        <f>SUM(D9:D30)</f>
        <v>25800</v>
      </c>
      <c r="K2" s="11" t="s">
        <v>2</v>
      </c>
      <c r="S2" s="6" t="s">
        <v>1</v>
      </c>
      <c r="T2" s="7">
        <f>SUM(V9:V23)</f>
        <v>13250</v>
      </c>
    </row>
    <row r="3" spans="1:23" x14ac:dyDescent="0.35">
      <c r="A3" s="6" t="s">
        <v>3</v>
      </c>
      <c r="B3" s="7">
        <v>25000</v>
      </c>
      <c r="K3" s="7">
        <f>SUM(K31-B2)</f>
        <v>-4050</v>
      </c>
      <c r="S3" s="6" t="s">
        <v>3</v>
      </c>
      <c r="T3" s="7">
        <v>25000</v>
      </c>
    </row>
    <row r="4" spans="1:23" x14ac:dyDescent="0.35">
      <c r="A4" s="6" t="s">
        <v>4</v>
      </c>
      <c r="B4" s="7">
        <f>MIN(B2-B3)</f>
        <v>800</v>
      </c>
      <c r="K4" s="42">
        <f>K31/B2</f>
        <v>0.84302325581395354</v>
      </c>
      <c r="S4" s="6" t="s">
        <v>4</v>
      </c>
      <c r="T4" s="7">
        <f>MIN(T2-T3)</f>
        <v>-11750</v>
      </c>
    </row>
    <row r="5" spans="1:23" x14ac:dyDescent="0.35">
      <c r="A5" s="6" t="s">
        <v>5</v>
      </c>
      <c r="B5" s="7">
        <v>25000</v>
      </c>
      <c r="S5" s="6" t="s">
        <v>5</v>
      </c>
      <c r="T5" s="7">
        <v>25000</v>
      </c>
    </row>
    <row r="6" spans="1:23" x14ac:dyDescent="0.35">
      <c r="A6" s="6" t="s">
        <v>4</v>
      </c>
      <c r="B6" s="7">
        <f>MIN(B2-B5)</f>
        <v>800</v>
      </c>
      <c r="S6" s="6" t="s">
        <v>4</v>
      </c>
      <c r="T6" s="7">
        <f>MIN(T2-T5)</f>
        <v>-11750</v>
      </c>
    </row>
    <row r="8" spans="1:23"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c r="S8" s="8" t="s">
        <v>6</v>
      </c>
      <c r="T8" s="8" t="s">
        <v>21</v>
      </c>
      <c r="U8" s="8" t="s">
        <v>8</v>
      </c>
      <c r="V8" s="8" t="s">
        <v>9</v>
      </c>
      <c r="W8" s="8" t="s">
        <v>10</v>
      </c>
    </row>
    <row r="9" spans="1:23" ht="29" x14ac:dyDescent="0.35">
      <c r="A9" s="9" t="s">
        <v>170</v>
      </c>
      <c r="B9" s="9" t="s">
        <v>2508</v>
      </c>
      <c r="C9" s="10">
        <v>1200</v>
      </c>
      <c r="D9" s="10">
        <v>1200</v>
      </c>
      <c r="E9" s="9" t="s">
        <v>24</v>
      </c>
      <c r="F9" s="9" t="s">
        <v>227</v>
      </c>
      <c r="G9" s="9"/>
      <c r="H9" s="9"/>
      <c r="I9" s="9"/>
      <c r="J9" s="9" t="s">
        <v>446</v>
      </c>
      <c r="K9" s="10">
        <v>1200</v>
      </c>
      <c r="L9" s="9" t="s">
        <v>230</v>
      </c>
      <c r="M9" s="9"/>
      <c r="N9" s="9" t="s">
        <v>231</v>
      </c>
      <c r="P9" s="39" t="s">
        <v>24</v>
      </c>
      <c r="Q9" s="10">
        <v>9600</v>
      </c>
      <c r="S9" s="48" t="s">
        <v>1137</v>
      </c>
      <c r="T9" s="48" t="s">
        <v>2509</v>
      </c>
      <c r="U9" s="55">
        <v>1200</v>
      </c>
      <c r="V9" s="55">
        <v>1200</v>
      </c>
      <c r="W9" s="48" t="s">
        <v>24</v>
      </c>
    </row>
    <row r="10" spans="1:23" x14ac:dyDescent="0.35">
      <c r="A10" s="9" t="s">
        <v>48</v>
      </c>
      <c r="B10" s="9" t="s">
        <v>2508</v>
      </c>
      <c r="C10" s="10">
        <v>1200</v>
      </c>
      <c r="D10" s="10">
        <v>1200</v>
      </c>
      <c r="E10" s="9" t="s">
        <v>24</v>
      </c>
      <c r="F10" s="9" t="s">
        <v>64</v>
      </c>
      <c r="G10" s="9"/>
      <c r="H10" s="9"/>
      <c r="I10" s="9"/>
      <c r="J10" s="9" t="s">
        <v>421</v>
      </c>
      <c r="K10" s="10">
        <v>1200</v>
      </c>
      <c r="L10" s="9" t="s">
        <v>66</v>
      </c>
      <c r="M10" s="9"/>
      <c r="N10" s="87" t="s">
        <v>67</v>
      </c>
      <c r="P10" s="39" t="s">
        <v>37</v>
      </c>
      <c r="Q10" s="10">
        <v>2700</v>
      </c>
      <c r="S10" s="48" t="s">
        <v>1348</v>
      </c>
      <c r="T10" s="48" t="s">
        <v>2509</v>
      </c>
      <c r="U10" s="55">
        <v>1200</v>
      </c>
      <c r="V10" s="55">
        <v>1250</v>
      </c>
      <c r="W10" s="48" t="s">
        <v>37</v>
      </c>
    </row>
    <row r="11" spans="1:23" ht="58" x14ac:dyDescent="0.35">
      <c r="A11" s="9" t="s">
        <v>204</v>
      </c>
      <c r="B11" s="9" t="s">
        <v>2508</v>
      </c>
      <c r="C11" s="10">
        <v>1200</v>
      </c>
      <c r="D11" s="10">
        <v>0</v>
      </c>
      <c r="E11" s="9" t="s">
        <v>37</v>
      </c>
      <c r="F11" s="9" t="s">
        <v>206</v>
      </c>
      <c r="G11" s="9" t="s">
        <v>2510</v>
      </c>
      <c r="H11" s="9"/>
      <c r="I11" s="9">
        <v>0</v>
      </c>
      <c r="J11" s="9"/>
      <c r="K11" s="10"/>
      <c r="L11" s="9" t="s">
        <v>209</v>
      </c>
      <c r="M11" s="126" t="s">
        <v>210</v>
      </c>
      <c r="N11" s="9" t="s">
        <v>211</v>
      </c>
      <c r="P11" s="39" t="s">
        <v>47</v>
      </c>
      <c r="Q11" s="10"/>
      <c r="S11" s="48" t="s">
        <v>170</v>
      </c>
      <c r="T11" s="48" t="s">
        <v>2509</v>
      </c>
      <c r="U11" s="55">
        <v>1200</v>
      </c>
      <c r="V11" s="55">
        <v>1200</v>
      </c>
      <c r="W11" s="48" t="s">
        <v>37</v>
      </c>
    </row>
    <row r="12" spans="1:23" x14ac:dyDescent="0.35">
      <c r="A12" s="9" t="s">
        <v>69</v>
      </c>
      <c r="B12" s="9" t="s">
        <v>2508</v>
      </c>
      <c r="C12" s="10">
        <v>1200</v>
      </c>
      <c r="D12" s="10">
        <v>1200</v>
      </c>
      <c r="E12" s="9" t="s">
        <v>24</v>
      </c>
      <c r="F12" s="9" t="s">
        <v>82</v>
      </c>
      <c r="G12" s="9"/>
      <c r="H12" s="9"/>
      <c r="I12" s="9"/>
      <c r="J12" s="9" t="s">
        <v>83</v>
      </c>
      <c r="K12" s="10">
        <v>1200</v>
      </c>
      <c r="L12" s="9" t="s">
        <v>84</v>
      </c>
      <c r="M12" s="9"/>
      <c r="N12" s="87" t="s">
        <v>85</v>
      </c>
      <c r="P12" s="39" t="s">
        <v>50</v>
      </c>
      <c r="Q12" s="10"/>
      <c r="S12" s="48" t="s">
        <v>48</v>
      </c>
      <c r="T12" s="48" t="s">
        <v>2509</v>
      </c>
      <c r="U12" s="55">
        <v>1200</v>
      </c>
      <c r="V12" s="55">
        <v>1200</v>
      </c>
      <c r="W12" s="48" t="s">
        <v>37</v>
      </c>
    </row>
    <row r="13" spans="1:23" x14ac:dyDescent="0.35">
      <c r="A13" s="9" t="s">
        <v>243</v>
      </c>
      <c r="B13" s="9" t="s">
        <v>2508</v>
      </c>
      <c r="C13" s="10">
        <v>1200</v>
      </c>
      <c r="D13" s="10">
        <v>1200</v>
      </c>
      <c r="E13" s="9" t="s">
        <v>24</v>
      </c>
      <c r="F13" s="9" t="s">
        <v>147</v>
      </c>
      <c r="G13" s="9"/>
      <c r="H13" s="9"/>
      <c r="I13" s="9"/>
      <c r="J13" s="9" t="s">
        <v>439</v>
      </c>
      <c r="K13" s="10">
        <v>1200</v>
      </c>
      <c r="L13" s="9" t="s">
        <v>245</v>
      </c>
      <c r="M13" s="9"/>
      <c r="N13" s="87" t="s">
        <v>246</v>
      </c>
      <c r="P13" s="39" t="s">
        <v>56</v>
      </c>
      <c r="Q13" s="10">
        <v>1500</v>
      </c>
      <c r="S13" s="48" t="s">
        <v>243</v>
      </c>
      <c r="T13" s="48" t="s">
        <v>2509</v>
      </c>
      <c r="U13" s="55">
        <v>1200</v>
      </c>
      <c r="V13" s="55">
        <v>1200</v>
      </c>
      <c r="W13" s="48" t="s">
        <v>24</v>
      </c>
    </row>
    <row r="14" spans="1:23" ht="29" x14ac:dyDescent="0.35">
      <c r="A14" s="9" t="s">
        <v>126</v>
      </c>
      <c r="B14" s="9" t="s">
        <v>2508</v>
      </c>
      <c r="C14" s="10">
        <v>1200</v>
      </c>
      <c r="D14" s="10">
        <v>1200</v>
      </c>
      <c r="E14" s="9" t="s">
        <v>24</v>
      </c>
      <c r="F14" s="9" t="s">
        <v>253</v>
      </c>
      <c r="G14" s="9"/>
      <c r="H14" s="94" t="s">
        <v>27</v>
      </c>
      <c r="I14" s="9"/>
      <c r="J14" s="9"/>
      <c r="K14" s="10"/>
      <c r="L14" s="9" t="s">
        <v>257</v>
      </c>
      <c r="M14" s="9"/>
      <c r="N14" s="87" t="s">
        <v>258</v>
      </c>
      <c r="P14" s="39" t="s">
        <v>62</v>
      </c>
      <c r="Q14" s="10"/>
      <c r="S14" s="48" t="s">
        <v>515</v>
      </c>
      <c r="T14" s="48" t="s">
        <v>2509</v>
      </c>
      <c r="U14" s="55">
        <v>1200</v>
      </c>
      <c r="V14" s="55">
        <v>1200</v>
      </c>
      <c r="W14" s="48" t="s">
        <v>24</v>
      </c>
    </row>
    <row r="15" spans="1:23" x14ac:dyDescent="0.35">
      <c r="A15" s="9" t="s">
        <v>166</v>
      </c>
      <c r="B15" s="9" t="s">
        <v>2508</v>
      </c>
      <c r="C15" s="10">
        <v>1200</v>
      </c>
      <c r="D15" s="10">
        <v>1200</v>
      </c>
      <c r="E15" s="9" t="s">
        <v>95</v>
      </c>
      <c r="F15" s="9" t="s">
        <v>167</v>
      </c>
      <c r="G15" s="9"/>
      <c r="H15" s="9"/>
      <c r="I15" s="9"/>
      <c r="J15" s="9" t="s">
        <v>203</v>
      </c>
      <c r="K15" s="10">
        <v>1200</v>
      </c>
      <c r="L15" s="9" t="s">
        <v>168</v>
      </c>
      <c r="M15" s="9"/>
      <c r="N15" s="87" t="s">
        <v>169</v>
      </c>
      <c r="P15" s="39" t="s">
        <v>68</v>
      </c>
      <c r="Q15" s="10"/>
      <c r="S15" s="48" t="s">
        <v>2511</v>
      </c>
      <c r="T15" s="48" t="s">
        <v>2509</v>
      </c>
      <c r="U15" s="55">
        <v>1200</v>
      </c>
      <c r="V15" s="55">
        <v>1200</v>
      </c>
      <c r="W15" s="48" t="s">
        <v>95</v>
      </c>
    </row>
    <row r="16" spans="1:23" x14ac:dyDescent="0.35">
      <c r="A16" s="9" t="s">
        <v>1348</v>
      </c>
      <c r="B16" s="9" t="s">
        <v>2508</v>
      </c>
      <c r="C16" s="10">
        <v>1200</v>
      </c>
      <c r="D16" s="10">
        <v>1200</v>
      </c>
      <c r="E16" s="9" t="s">
        <v>24</v>
      </c>
      <c r="F16" s="9" t="s">
        <v>25</v>
      </c>
      <c r="G16" s="9"/>
      <c r="H16" s="9"/>
      <c r="I16" s="9"/>
      <c r="J16" s="9" t="s">
        <v>522</v>
      </c>
      <c r="K16" s="10">
        <v>1200</v>
      </c>
      <c r="L16" s="9" t="s">
        <v>1350</v>
      </c>
      <c r="M16" s="9"/>
      <c r="N16" s="9" t="s">
        <v>1351</v>
      </c>
      <c r="P16" s="39" t="s">
        <v>76</v>
      </c>
      <c r="Q16" s="10">
        <v>6000</v>
      </c>
      <c r="S16" s="48" t="s">
        <v>69</v>
      </c>
      <c r="T16" s="48" t="s">
        <v>2509</v>
      </c>
      <c r="U16" s="55">
        <v>1200</v>
      </c>
      <c r="V16" s="55">
        <v>1200</v>
      </c>
      <c r="W16" s="48" t="s">
        <v>24</v>
      </c>
    </row>
    <row r="17" spans="1:23" x14ac:dyDescent="0.35">
      <c r="A17" s="9" t="s">
        <v>22</v>
      </c>
      <c r="B17" s="9" t="s">
        <v>2508</v>
      </c>
      <c r="C17" s="10">
        <v>1200</v>
      </c>
      <c r="D17" s="10">
        <v>1200</v>
      </c>
      <c r="E17" s="9" t="s">
        <v>24</v>
      </c>
      <c r="F17" s="9" t="s">
        <v>25</v>
      </c>
      <c r="G17" s="9"/>
      <c r="H17" s="94" t="s">
        <v>27</v>
      </c>
      <c r="I17" s="9"/>
      <c r="J17" s="9" t="s">
        <v>28</v>
      </c>
      <c r="K17" s="10">
        <v>1200</v>
      </c>
      <c r="L17" s="9" t="s">
        <v>29</v>
      </c>
      <c r="M17" s="9"/>
      <c r="N17" s="87" t="s">
        <v>30</v>
      </c>
      <c r="P17" s="39" t="s">
        <v>81</v>
      </c>
      <c r="Q17" s="10"/>
      <c r="S17" s="48" t="s">
        <v>1040</v>
      </c>
      <c r="T17" s="48" t="s">
        <v>2509</v>
      </c>
      <c r="U17" s="55">
        <v>1200</v>
      </c>
      <c r="V17" s="55">
        <v>1200</v>
      </c>
      <c r="W17" s="48" t="s">
        <v>95</v>
      </c>
    </row>
    <row r="18" spans="1:23" ht="29" x14ac:dyDescent="0.35">
      <c r="A18" s="9" t="s">
        <v>218</v>
      </c>
      <c r="B18" s="9" t="s">
        <v>2508</v>
      </c>
      <c r="C18" s="10">
        <v>1200</v>
      </c>
      <c r="D18" s="10">
        <v>1200</v>
      </c>
      <c r="E18" s="9" t="s">
        <v>37</v>
      </c>
      <c r="F18" s="9" t="s">
        <v>162</v>
      </c>
      <c r="G18" s="9"/>
      <c r="H18" s="94" t="s">
        <v>27</v>
      </c>
      <c r="I18" s="9"/>
      <c r="J18" s="195" t="s">
        <v>2512</v>
      </c>
      <c r="K18" s="10">
        <f>255+495</f>
        <v>750</v>
      </c>
      <c r="L18" s="9" t="s">
        <v>422</v>
      </c>
      <c r="M18" s="9"/>
      <c r="N18" s="9" t="s">
        <v>423</v>
      </c>
      <c r="P18" s="39" t="s">
        <v>86</v>
      </c>
      <c r="Q18" s="10"/>
      <c r="S18" s="48" t="s">
        <v>166</v>
      </c>
      <c r="T18" s="48" t="s">
        <v>2509</v>
      </c>
      <c r="U18" s="55">
        <v>1200</v>
      </c>
      <c r="V18" s="55">
        <v>1200</v>
      </c>
      <c r="W18" s="48" t="s">
        <v>95</v>
      </c>
    </row>
    <row r="19" spans="1:23" x14ac:dyDescent="0.35">
      <c r="A19" s="9" t="s">
        <v>831</v>
      </c>
      <c r="B19" s="9" t="s">
        <v>2508</v>
      </c>
      <c r="C19" s="10">
        <v>1200</v>
      </c>
      <c r="D19" s="10">
        <v>1200</v>
      </c>
      <c r="E19" s="9" t="s">
        <v>95</v>
      </c>
      <c r="F19" s="9" t="s">
        <v>418</v>
      </c>
      <c r="G19" s="9"/>
      <c r="H19" s="9"/>
      <c r="I19" s="9"/>
      <c r="J19" s="9" t="s">
        <v>1123</v>
      </c>
      <c r="K19" s="10">
        <v>1200</v>
      </c>
      <c r="L19" s="9" t="s">
        <v>2062</v>
      </c>
      <c r="M19" s="9"/>
      <c r="N19" s="87" t="s">
        <v>2513</v>
      </c>
      <c r="P19" s="39" t="s">
        <v>90</v>
      </c>
      <c r="Q19" s="10"/>
      <c r="S19" s="48" t="s">
        <v>1396</v>
      </c>
      <c r="T19" s="48" t="s">
        <v>2509</v>
      </c>
      <c r="U19" s="55">
        <v>1200</v>
      </c>
      <c r="V19" s="55">
        <v>1200</v>
      </c>
      <c r="W19" s="48" t="s">
        <v>95</v>
      </c>
    </row>
    <row r="20" spans="1:23" x14ac:dyDescent="0.35">
      <c r="A20" s="9" t="s">
        <v>2514</v>
      </c>
      <c r="B20" s="9" t="s">
        <v>2508</v>
      </c>
      <c r="C20" s="10">
        <v>1200</v>
      </c>
      <c r="D20" s="10">
        <v>1200</v>
      </c>
      <c r="E20" s="9" t="s">
        <v>96</v>
      </c>
      <c r="F20" s="9" t="s">
        <v>299</v>
      </c>
      <c r="G20" s="9"/>
      <c r="H20" s="9"/>
      <c r="I20" s="9"/>
      <c r="J20" s="9" t="s">
        <v>336</v>
      </c>
      <c r="K20" s="10">
        <v>1200</v>
      </c>
      <c r="L20" s="9" t="s">
        <v>1389</v>
      </c>
      <c r="M20" s="9"/>
      <c r="N20" s="87" t="s">
        <v>1390</v>
      </c>
      <c r="P20" s="39" t="s">
        <v>91</v>
      </c>
      <c r="Q20" s="10"/>
    </row>
    <row r="21" spans="1:23" x14ac:dyDescent="0.35">
      <c r="A21" s="9" t="s">
        <v>515</v>
      </c>
      <c r="B21" s="9" t="s">
        <v>2508</v>
      </c>
      <c r="C21" s="10">
        <v>1200</v>
      </c>
      <c r="D21" s="10">
        <v>1200</v>
      </c>
      <c r="E21" s="9" t="s">
        <v>24</v>
      </c>
      <c r="F21" s="9" t="s">
        <v>28</v>
      </c>
      <c r="G21" s="9"/>
      <c r="H21" s="9"/>
      <c r="I21" s="9"/>
      <c r="J21" s="9" t="s">
        <v>375</v>
      </c>
      <c r="K21" s="10">
        <v>1200</v>
      </c>
      <c r="L21" s="9" t="s">
        <v>518</v>
      </c>
      <c r="M21" s="9"/>
      <c r="N21" s="9" t="s">
        <v>519</v>
      </c>
      <c r="P21" s="39" t="s">
        <v>92</v>
      </c>
      <c r="Q21" s="10"/>
    </row>
    <row r="22" spans="1:23" ht="29" x14ac:dyDescent="0.35">
      <c r="A22" s="9" t="s">
        <v>1396</v>
      </c>
      <c r="B22" s="9" t="s">
        <v>2508</v>
      </c>
      <c r="C22" s="10">
        <v>1200</v>
      </c>
      <c r="D22" s="10">
        <v>1200</v>
      </c>
      <c r="E22" s="9" t="s">
        <v>95</v>
      </c>
      <c r="F22" s="9" t="s">
        <v>421</v>
      </c>
      <c r="G22" s="9"/>
      <c r="H22" s="9"/>
      <c r="I22" s="9" t="s">
        <v>1419</v>
      </c>
      <c r="J22" s="9"/>
      <c r="K22" s="10"/>
      <c r="L22" s="9" t="s">
        <v>1398</v>
      </c>
      <c r="M22" s="9"/>
      <c r="N22" s="87" t="s">
        <v>1399</v>
      </c>
      <c r="P22" s="39" t="s">
        <v>93</v>
      </c>
      <c r="Q22" s="10"/>
    </row>
    <row r="23" spans="1:23" ht="29" x14ac:dyDescent="0.35">
      <c r="A23" s="9" t="s">
        <v>1040</v>
      </c>
      <c r="B23" s="9" t="s">
        <v>2508</v>
      </c>
      <c r="C23" s="10">
        <v>1200</v>
      </c>
      <c r="D23" s="10">
        <v>1200</v>
      </c>
      <c r="E23" s="9" t="s">
        <v>95</v>
      </c>
      <c r="F23" s="9" t="s">
        <v>1115</v>
      </c>
      <c r="G23" s="9"/>
      <c r="H23" s="9"/>
      <c r="I23" s="9" t="s">
        <v>1419</v>
      </c>
      <c r="J23" s="9"/>
      <c r="K23" s="10"/>
      <c r="L23" s="9" t="s">
        <v>2515</v>
      </c>
      <c r="M23" s="9"/>
      <c r="N23" s="92" t="s">
        <v>2516</v>
      </c>
      <c r="P23" s="39" t="s">
        <v>94</v>
      </c>
      <c r="Q23" s="10"/>
    </row>
    <row r="24" spans="1:23" x14ac:dyDescent="0.35">
      <c r="A24" s="9"/>
      <c r="B24" s="9" t="s">
        <v>2508</v>
      </c>
      <c r="C24" s="10">
        <v>1200</v>
      </c>
      <c r="D24" s="10"/>
      <c r="E24" s="9"/>
      <c r="F24" s="9"/>
      <c r="G24" s="9"/>
      <c r="H24" s="9"/>
      <c r="I24" s="9"/>
      <c r="J24" s="9"/>
      <c r="K24" s="10"/>
      <c r="L24" s="9"/>
      <c r="M24" s="9"/>
      <c r="N24" s="9"/>
      <c r="P24" s="39" t="s">
        <v>95</v>
      </c>
      <c r="Q24" s="10">
        <v>4800</v>
      </c>
    </row>
    <row r="25" spans="1:23" x14ac:dyDescent="0.35">
      <c r="A25" s="9" t="s">
        <v>868</v>
      </c>
      <c r="B25" s="9" t="s">
        <v>2517</v>
      </c>
      <c r="C25" s="10">
        <v>1500</v>
      </c>
      <c r="D25" s="10">
        <v>1500</v>
      </c>
      <c r="E25" s="9" t="s">
        <v>56</v>
      </c>
      <c r="F25" s="9" t="s">
        <v>253</v>
      </c>
      <c r="G25" s="9"/>
      <c r="H25" s="9"/>
      <c r="I25" s="9"/>
      <c r="J25" s="9" t="s">
        <v>256</v>
      </c>
      <c r="K25" s="10">
        <v>1500</v>
      </c>
      <c r="L25" s="9" t="s">
        <v>2518</v>
      </c>
      <c r="M25" s="9"/>
      <c r="N25" s="87" t="s">
        <v>871</v>
      </c>
      <c r="P25" s="39" t="s">
        <v>96</v>
      </c>
      <c r="Q25" s="10">
        <v>1200</v>
      </c>
    </row>
    <row r="26" spans="1:23" ht="29" x14ac:dyDescent="0.35">
      <c r="A26" s="9" t="s">
        <v>288</v>
      </c>
      <c r="B26" s="9" t="s">
        <v>2517</v>
      </c>
      <c r="C26" s="10">
        <v>1500</v>
      </c>
      <c r="D26" s="10">
        <v>1500</v>
      </c>
      <c r="E26" s="9" t="s">
        <v>37</v>
      </c>
      <c r="F26" s="9" t="s">
        <v>107</v>
      </c>
      <c r="G26" s="9"/>
      <c r="H26" s="9"/>
      <c r="I26" s="9"/>
      <c r="J26" s="9" t="s">
        <v>407</v>
      </c>
      <c r="K26" s="10">
        <v>1500</v>
      </c>
      <c r="L26" s="9" t="s">
        <v>827</v>
      </c>
      <c r="M26" s="9"/>
      <c r="N26" s="87" t="s">
        <v>828</v>
      </c>
      <c r="P26" s="39" t="s">
        <v>97</v>
      </c>
      <c r="Q26" s="10"/>
    </row>
    <row r="27" spans="1:23" ht="29" x14ac:dyDescent="0.35">
      <c r="A27" s="9" t="s">
        <v>872</v>
      </c>
      <c r="B27" s="9" t="s">
        <v>2517</v>
      </c>
      <c r="C27" s="10">
        <v>1500</v>
      </c>
      <c r="D27" s="10">
        <v>1500</v>
      </c>
      <c r="E27" s="9" t="s">
        <v>76</v>
      </c>
      <c r="F27" s="9" t="s">
        <v>83</v>
      </c>
      <c r="G27" s="9"/>
      <c r="H27" s="9"/>
      <c r="I27" s="9" t="s">
        <v>1419</v>
      </c>
      <c r="J27" s="195">
        <v>45989</v>
      </c>
      <c r="K27" s="10">
        <v>1500</v>
      </c>
      <c r="L27" s="9" t="s">
        <v>2030</v>
      </c>
      <c r="M27" s="9"/>
      <c r="N27" s="87" t="s">
        <v>2031</v>
      </c>
      <c r="P27" s="39" t="s">
        <v>98</v>
      </c>
      <c r="Q27" s="10"/>
    </row>
    <row r="28" spans="1:23" ht="29" x14ac:dyDescent="0.35">
      <c r="A28" s="9" t="s">
        <v>1021</v>
      </c>
      <c r="B28" s="9" t="s">
        <v>2517</v>
      </c>
      <c r="C28" s="10">
        <v>1500</v>
      </c>
      <c r="D28" s="10">
        <v>1500</v>
      </c>
      <c r="E28" s="9" t="s">
        <v>76</v>
      </c>
      <c r="F28" s="9" t="s">
        <v>837</v>
      </c>
      <c r="G28" s="9"/>
      <c r="H28" s="9"/>
      <c r="I28" s="9"/>
      <c r="J28" s="9" t="s">
        <v>650</v>
      </c>
      <c r="K28" s="10">
        <v>1500</v>
      </c>
      <c r="L28" s="9" t="s">
        <v>1746</v>
      </c>
      <c r="M28" s="9"/>
      <c r="N28" s="87" t="s">
        <v>690</v>
      </c>
      <c r="P28" s="45" t="s">
        <v>99</v>
      </c>
      <c r="Q28" s="46">
        <v>25800</v>
      </c>
    </row>
    <row r="29" spans="1:23" x14ac:dyDescent="0.35">
      <c r="A29" s="9" t="s">
        <v>2218</v>
      </c>
      <c r="B29" s="9" t="s">
        <v>2517</v>
      </c>
      <c r="C29" s="10">
        <v>1500</v>
      </c>
      <c r="D29" s="10">
        <v>1500</v>
      </c>
      <c r="E29" s="9" t="s">
        <v>76</v>
      </c>
      <c r="F29" s="9" t="s">
        <v>290</v>
      </c>
      <c r="G29" s="9"/>
      <c r="H29" s="9"/>
      <c r="I29" s="9"/>
      <c r="J29" s="9" t="s">
        <v>656</v>
      </c>
      <c r="K29" s="10">
        <v>1500</v>
      </c>
      <c r="L29" s="9" t="s">
        <v>2221</v>
      </c>
      <c r="M29" s="9"/>
      <c r="N29" s="189" t="s">
        <v>2519</v>
      </c>
    </row>
    <row r="30" spans="1:23" ht="29" x14ac:dyDescent="0.35">
      <c r="A30" s="9" t="s">
        <v>2520</v>
      </c>
      <c r="B30" s="9" t="s">
        <v>2517</v>
      </c>
      <c r="C30" s="10">
        <v>1500</v>
      </c>
      <c r="D30" s="10">
        <v>1500</v>
      </c>
      <c r="E30" s="9" t="s">
        <v>76</v>
      </c>
      <c r="F30" s="9" t="s">
        <v>256</v>
      </c>
      <c r="G30" s="9"/>
      <c r="H30" s="9"/>
      <c r="I30" s="9" t="s">
        <v>1419</v>
      </c>
      <c r="J30" s="195">
        <v>45960</v>
      </c>
      <c r="K30" s="9">
        <v>1500</v>
      </c>
      <c r="L30" s="9" t="s">
        <v>2521</v>
      </c>
      <c r="M30" s="9"/>
      <c r="N30" s="101" t="s">
        <v>2522</v>
      </c>
    </row>
    <row r="31" spans="1:23" x14ac:dyDescent="0.35">
      <c r="K31" s="29">
        <f>SUM(K9:K30)</f>
        <v>21750</v>
      </c>
    </row>
    <row r="300" spans="5:5" x14ac:dyDescent="0.35">
      <c r="E300" s="5" t="s">
        <v>47</v>
      </c>
    </row>
    <row r="301" spans="5:5" x14ac:dyDescent="0.35">
      <c r="E301" s="5" t="s">
        <v>37</v>
      </c>
    </row>
    <row r="302" spans="5:5" x14ac:dyDescent="0.35">
      <c r="E302" s="5" t="s">
        <v>24</v>
      </c>
    </row>
    <row r="303" spans="5:5" x14ac:dyDescent="0.35">
      <c r="E303" s="5" t="s">
        <v>62</v>
      </c>
    </row>
    <row r="304" spans="5:5" x14ac:dyDescent="0.35">
      <c r="E304" s="5" t="s">
        <v>56</v>
      </c>
    </row>
    <row r="305" spans="5:5" x14ac:dyDescent="0.35">
      <c r="E305" s="5" t="s">
        <v>50</v>
      </c>
    </row>
    <row r="306" spans="5:5" x14ac:dyDescent="0.35">
      <c r="E306" s="5" t="s">
        <v>91</v>
      </c>
    </row>
    <row r="307" spans="5:5" x14ac:dyDescent="0.35">
      <c r="E307" s="5" t="s">
        <v>90</v>
      </c>
    </row>
    <row r="308" spans="5:5" x14ac:dyDescent="0.35">
      <c r="E308" s="5" t="s">
        <v>86</v>
      </c>
    </row>
    <row r="309" spans="5:5" x14ac:dyDescent="0.35">
      <c r="E309" s="5" t="s">
        <v>81</v>
      </c>
    </row>
    <row r="310" spans="5:5" x14ac:dyDescent="0.35">
      <c r="E310" s="5" t="s">
        <v>76</v>
      </c>
    </row>
    <row r="311" spans="5:5" x14ac:dyDescent="0.35">
      <c r="E311" s="5" t="s">
        <v>68</v>
      </c>
    </row>
    <row r="312" spans="5:5" x14ac:dyDescent="0.35">
      <c r="E312" s="5" t="s">
        <v>94</v>
      </c>
    </row>
    <row r="313" spans="5:5" x14ac:dyDescent="0.35">
      <c r="E313" s="5" t="s">
        <v>93</v>
      </c>
    </row>
    <row r="314" spans="5:5" x14ac:dyDescent="0.35">
      <c r="E314" s="5" t="s">
        <v>92</v>
      </c>
    </row>
    <row r="315" spans="5:5" x14ac:dyDescent="0.35">
      <c r="E315" s="5" t="s">
        <v>97</v>
      </c>
    </row>
    <row r="316" spans="5:5" x14ac:dyDescent="0.35">
      <c r="E316" s="5" t="s">
        <v>96</v>
      </c>
    </row>
    <row r="317" spans="5:5" x14ac:dyDescent="0.35">
      <c r="E317" s="5" t="s">
        <v>95</v>
      </c>
    </row>
  </sheetData>
  <sortState xmlns:xlrd2="http://schemas.microsoft.com/office/spreadsheetml/2017/richdata2" ref="S9:W19">
    <sortCondition ref="S9:S19"/>
  </sortState>
  <hyperlinks>
    <hyperlink ref="N14" r:id="rId2" xr:uid="{92D36E7B-0C97-4AF6-A977-EC0B18906107}"/>
    <hyperlink ref="N25" r:id="rId3" xr:uid="{8077C2F8-EFD8-4731-924F-8A6029859913}"/>
    <hyperlink ref="N13" r:id="rId4" xr:uid="{BE369399-3DE6-4F50-9B9C-2EDFFECB6EE6}"/>
    <hyperlink ref="N10" r:id="rId5" xr:uid="{A4BF3C5E-4DEE-492A-A8AD-746BD58112FC}"/>
    <hyperlink ref="N12" r:id="rId6" xr:uid="{BF883237-240A-4C84-844B-E08B782A11F9}"/>
    <hyperlink ref="N15" r:id="rId7" display="mailto:cpledger@trinitydevelopmentinc.com" xr:uid="{6849D2BD-1F26-40AC-8E63-6F469536315D}"/>
    <hyperlink ref="N17" r:id="rId8" display="mailto:jay.bernard.l8if@statefarm.com" xr:uid="{6DA81B1F-5B1B-4AE5-99E5-D1AC8FE30464}"/>
    <hyperlink ref="N19" r:id="rId9" xr:uid="{02C7EB1C-42AF-41B1-8E31-9644BC8052B0}"/>
    <hyperlink ref="N20" r:id="rId10" xr:uid="{501065FC-A1A2-490D-BA3C-AB0A7F8F3801}"/>
    <hyperlink ref="N26" r:id="rId11" display="mailto:Lori.Melton@firstcommunity.net" xr:uid="{13ED8260-B27F-4A88-BC82-509DCBD43731}"/>
    <hyperlink ref="N22" r:id="rId12" xr:uid="{8C607FB3-4E92-4BA7-B8EA-A3B190AEBEB4}"/>
    <hyperlink ref="N27" r:id="rId13" display="mailto:amber.wyatt1@smilebrands.com" xr:uid="{A7A354A9-2026-4238-871A-822A850EA703}"/>
    <hyperlink ref="N23" r:id="rId14" display="mailto:david@stobys.com" xr:uid="{544D797E-004D-4E39-A96B-34601D926539}"/>
    <hyperlink ref="N30" r:id="rId15" display="mailto:Brandihorton113@gmail.com" xr:uid="{E90AF5D5-D5A4-456E-9D97-AE3F41286944}"/>
    <hyperlink ref="N28" r:id="rId16" display="jbasey@marketplacegrill.com" xr:uid="{F9130A7C-6DD9-4084-B7E3-9108088CCE1C}"/>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E02D5-D2CC-41DB-B060-6550BFFA5EF9}">
  <dimension ref="A1:V318"/>
  <sheetViews>
    <sheetView workbookViewId="0">
      <pane ySplit="8" topLeftCell="A13" activePane="bottomLeft" state="frozen"/>
      <selection pane="bottomLeft" activeCell="K43" sqref="K43"/>
    </sheetView>
  </sheetViews>
  <sheetFormatPr defaultColWidth="59.81640625" defaultRowHeight="14.5" x14ac:dyDescent="0.35"/>
  <cols>
    <col min="1" max="1" width="29.7265625" style="5" bestFit="1" customWidth="1"/>
    <col min="2" max="2" width="17.81640625" style="5" bestFit="1" customWidth="1"/>
    <col min="3" max="3" width="9.1796875" style="5" bestFit="1" customWidth="1"/>
    <col min="4" max="4" width="15.81640625" style="5" bestFit="1" customWidth="1"/>
    <col min="5" max="5" width="8.7265625" style="5" bestFit="1" customWidth="1"/>
    <col min="6" max="6" width="11.1796875" style="5" bestFit="1" customWidth="1"/>
    <col min="7" max="7" width="58.453125" style="5" bestFit="1" customWidth="1"/>
    <col min="8" max="8" width="16.26953125" style="5" bestFit="1" customWidth="1"/>
    <col min="9" max="9" width="19" style="5" customWidth="1"/>
    <col min="10" max="10" width="10.453125" style="5" bestFit="1" customWidth="1"/>
    <col min="11" max="11" width="14.453125" style="5" bestFit="1" customWidth="1"/>
    <col min="12" max="12" width="53" style="5" bestFit="1" customWidth="1"/>
    <col min="13" max="13" width="15.7265625" style="5" bestFit="1" customWidth="1"/>
    <col min="14" max="14" width="55.1796875" style="5" bestFit="1" customWidth="1"/>
    <col min="15" max="15" width="59.81640625" style="5"/>
    <col min="16" max="16" width="11" style="5" bestFit="1" customWidth="1"/>
    <col min="17" max="17" width="10.1796875" style="5" bestFit="1" customWidth="1"/>
    <col min="18" max="18" width="11" style="5" customWidth="1"/>
    <col min="19" max="19" width="36.453125" style="5" bestFit="1" customWidth="1"/>
    <col min="20" max="20" width="16.54296875" style="5" bestFit="1" customWidth="1"/>
    <col min="21" max="21" width="15.81640625" style="5" bestFit="1" customWidth="1"/>
    <col min="22" max="22" width="8.7265625" style="5" bestFit="1" customWidth="1"/>
    <col min="23" max="16384" width="59.81640625" style="5"/>
  </cols>
  <sheetData>
    <row r="1" spans="1:22" x14ac:dyDescent="0.35">
      <c r="A1" s="4" t="s">
        <v>2523</v>
      </c>
      <c r="B1" s="4">
        <v>2025</v>
      </c>
      <c r="S1" s="4" t="s">
        <v>2523</v>
      </c>
      <c r="T1" s="4">
        <v>2024</v>
      </c>
    </row>
    <row r="2" spans="1:22" x14ac:dyDescent="0.35">
      <c r="A2" s="6" t="s">
        <v>1</v>
      </c>
      <c r="B2" s="7">
        <f>SUM(D9:D50)</f>
        <v>68565</v>
      </c>
      <c r="K2" s="11" t="s">
        <v>2</v>
      </c>
      <c r="S2" s="6" t="s">
        <v>1</v>
      </c>
      <c r="T2" s="7">
        <f>SUM(U9:U65)</f>
        <v>68750</v>
      </c>
    </row>
    <row r="3" spans="1:22" x14ac:dyDescent="0.35">
      <c r="A3" s="6" t="s">
        <v>3</v>
      </c>
      <c r="B3" s="7">
        <v>50000</v>
      </c>
      <c r="K3" s="7">
        <f>SUM(K54-B2)</f>
        <v>-17510</v>
      </c>
      <c r="S3" s="6" t="s">
        <v>3</v>
      </c>
      <c r="T3" s="7">
        <v>48000</v>
      </c>
    </row>
    <row r="4" spans="1:22" x14ac:dyDescent="0.35">
      <c r="A4" s="6" t="s">
        <v>4</v>
      </c>
      <c r="B4" s="7">
        <f>MIN(B2-B3)</f>
        <v>18565</v>
      </c>
      <c r="K4" s="42">
        <f>K54/B2</f>
        <v>0.74462189163567416</v>
      </c>
      <c r="S4" s="6" t="s">
        <v>4</v>
      </c>
      <c r="T4" s="7">
        <f>MIN(T2-T3)</f>
        <v>20750</v>
      </c>
    </row>
    <row r="5" spans="1:22" x14ac:dyDescent="0.35">
      <c r="A5" s="6" t="s">
        <v>5</v>
      </c>
      <c r="B5" s="7">
        <v>75000</v>
      </c>
      <c r="S5" s="6" t="s">
        <v>5</v>
      </c>
      <c r="T5" s="7">
        <v>60000</v>
      </c>
    </row>
    <row r="6" spans="1:22" x14ac:dyDescent="0.35">
      <c r="A6" s="6" t="s">
        <v>4</v>
      </c>
      <c r="B6" s="7">
        <f>MIN(B2-B5)</f>
        <v>-6435</v>
      </c>
      <c r="S6" s="6" t="s">
        <v>4</v>
      </c>
      <c r="T6" s="7">
        <f>MIN(T2-T5)</f>
        <v>8750</v>
      </c>
    </row>
    <row r="8" spans="1:22" x14ac:dyDescent="0.35">
      <c r="A8" s="12" t="s">
        <v>6</v>
      </c>
      <c r="B8" s="12" t="s">
        <v>7</v>
      </c>
      <c r="C8" s="12" t="s">
        <v>8</v>
      </c>
      <c r="D8" s="12" t="s">
        <v>9</v>
      </c>
      <c r="E8" s="12" t="s">
        <v>10</v>
      </c>
      <c r="F8" s="12" t="s">
        <v>11</v>
      </c>
      <c r="G8" s="12" t="s">
        <v>12</v>
      </c>
      <c r="H8" s="11" t="s">
        <v>13</v>
      </c>
      <c r="I8" s="12" t="s">
        <v>14</v>
      </c>
      <c r="J8" s="12" t="s">
        <v>15</v>
      </c>
      <c r="K8" s="12" t="s">
        <v>16</v>
      </c>
      <c r="L8" s="12" t="s">
        <v>17</v>
      </c>
      <c r="M8" s="12" t="s">
        <v>18</v>
      </c>
      <c r="N8" s="12" t="s">
        <v>19</v>
      </c>
      <c r="P8" s="44" t="s">
        <v>10</v>
      </c>
      <c r="Q8" s="44" t="s">
        <v>20</v>
      </c>
      <c r="S8" s="8" t="s">
        <v>6</v>
      </c>
      <c r="T8" s="8" t="s">
        <v>21</v>
      </c>
      <c r="U8" s="8" t="s">
        <v>9</v>
      </c>
      <c r="V8" s="8" t="s">
        <v>10</v>
      </c>
    </row>
    <row r="9" spans="1:22" x14ac:dyDescent="0.35">
      <c r="A9" s="9" t="s">
        <v>194</v>
      </c>
      <c r="B9" s="9" t="s">
        <v>23</v>
      </c>
      <c r="C9" s="10">
        <v>7500</v>
      </c>
      <c r="D9" s="10">
        <v>7500</v>
      </c>
      <c r="E9" s="9" t="s">
        <v>50</v>
      </c>
      <c r="F9" s="9" t="s">
        <v>195</v>
      </c>
      <c r="G9" s="9"/>
      <c r="H9" s="94" t="s">
        <v>27</v>
      </c>
      <c r="I9" s="9"/>
      <c r="J9" s="195">
        <v>45993</v>
      </c>
      <c r="K9" s="10">
        <v>7500</v>
      </c>
      <c r="L9" s="9" t="s">
        <v>196</v>
      </c>
      <c r="M9" s="9"/>
      <c r="N9" s="9" t="s">
        <v>197</v>
      </c>
      <c r="P9" s="39" t="s">
        <v>24</v>
      </c>
      <c r="Q9" s="10">
        <v>16500</v>
      </c>
      <c r="S9" s="9" t="s">
        <v>2524</v>
      </c>
      <c r="T9" s="9" t="s">
        <v>275</v>
      </c>
      <c r="U9" s="10">
        <v>85</v>
      </c>
      <c r="V9" s="9" t="s">
        <v>76</v>
      </c>
    </row>
    <row r="10" spans="1:22" x14ac:dyDescent="0.35">
      <c r="A10" s="9" t="s">
        <v>141</v>
      </c>
      <c r="B10" s="9" t="s">
        <v>32</v>
      </c>
      <c r="C10" s="10">
        <v>5000</v>
      </c>
      <c r="D10" s="10">
        <v>5000</v>
      </c>
      <c r="E10" s="9" t="s">
        <v>86</v>
      </c>
      <c r="F10" s="9" t="s">
        <v>142</v>
      </c>
      <c r="G10" s="9"/>
      <c r="H10" s="9"/>
      <c r="I10" s="9" t="s">
        <v>1419</v>
      </c>
      <c r="J10" s="195">
        <v>45985</v>
      </c>
      <c r="K10" s="10">
        <v>5000</v>
      </c>
      <c r="L10" s="9" t="s">
        <v>144</v>
      </c>
      <c r="M10" s="9"/>
      <c r="N10" s="9"/>
      <c r="P10" s="39" t="s">
        <v>37</v>
      </c>
      <c r="Q10" s="10">
        <v>10000</v>
      </c>
      <c r="S10" s="48" t="s">
        <v>31</v>
      </c>
      <c r="T10" s="48" t="s">
        <v>2525</v>
      </c>
      <c r="U10" s="55">
        <v>2500</v>
      </c>
      <c r="V10" s="48" t="s">
        <v>37</v>
      </c>
    </row>
    <row r="11" spans="1:22" x14ac:dyDescent="0.35">
      <c r="A11" s="9" t="s">
        <v>1055</v>
      </c>
      <c r="B11" s="9" t="s">
        <v>32</v>
      </c>
      <c r="C11" s="10">
        <v>5000</v>
      </c>
      <c r="D11" s="10">
        <v>4000</v>
      </c>
      <c r="E11" s="9" t="s">
        <v>37</v>
      </c>
      <c r="F11" s="9" t="s">
        <v>439</v>
      </c>
      <c r="G11" s="9" t="s">
        <v>1056</v>
      </c>
      <c r="H11" s="157" t="s">
        <v>27</v>
      </c>
      <c r="I11" s="9"/>
      <c r="J11" s="195">
        <v>45894</v>
      </c>
      <c r="K11" s="27">
        <v>4000</v>
      </c>
      <c r="L11" s="27" t="s">
        <v>1057</v>
      </c>
      <c r="M11" s="27"/>
      <c r="N11" s="27" t="s">
        <v>1058</v>
      </c>
      <c r="P11" s="39" t="s">
        <v>47</v>
      </c>
      <c r="Q11" s="10"/>
      <c r="S11" s="112" t="s">
        <v>108</v>
      </c>
      <c r="T11" s="112" t="s">
        <v>39</v>
      </c>
      <c r="U11" s="113">
        <v>1300</v>
      </c>
      <c r="V11" s="112" t="s">
        <v>96</v>
      </c>
    </row>
    <row r="12" spans="1:22" ht="43.5" x14ac:dyDescent="0.35">
      <c r="A12" s="9" t="s">
        <v>2526</v>
      </c>
      <c r="B12" s="9" t="s">
        <v>32</v>
      </c>
      <c r="C12" s="10">
        <v>5000</v>
      </c>
      <c r="D12" s="10">
        <v>5000</v>
      </c>
      <c r="E12" s="9" t="s">
        <v>95</v>
      </c>
      <c r="F12" s="9" t="s">
        <v>282</v>
      </c>
      <c r="G12" s="9"/>
      <c r="H12" s="9"/>
      <c r="I12" s="9" t="s">
        <v>1419</v>
      </c>
      <c r="J12" s="195">
        <v>45950</v>
      </c>
      <c r="K12" s="9">
        <v>5000</v>
      </c>
      <c r="L12" s="9" t="s">
        <v>2527</v>
      </c>
      <c r="M12" s="9"/>
      <c r="N12" s="87" t="s">
        <v>2528</v>
      </c>
      <c r="P12" s="39" t="s">
        <v>50</v>
      </c>
      <c r="Q12" s="10">
        <v>7500</v>
      </c>
      <c r="S12" s="48" t="s">
        <v>126</v>
      </c>
      <c r="T12" s="48" t="s">
        <v>39</v>
      </c>
      <c r="U12" s="55">
        <v>1000</v>
      </c>
      <c r="V12" s="48" t="s">
        <v>24</v>
      </c>
    </row>
    <row r="13" spans="1:22" x14ac:dyDescent="0.35">
      <c r="A13" s="9" t="s">
        <v>350</v>
      </c>
      <c r="B13" s="9" t="s">
        <v>2529</v>
      </c>
      <c r="C13" s="10">
        <v>5000</v>
      </c>
      <c r="D13" s="10">
        <v>3500</v>
      </c>
      <c r="E13" s="9" t="s">
        <v>96</v>
      </c>
      <c r="F13" s="9" t="s">
        <v>869</v>
      </c>
      <c r="G13" s="9" t="s">
        <v>2530</v>
      </c>
      <c r="H13" s="9"/>
      <c r="I13" s="9" t="s">
        <v>1675</v>
      </c>
      <c r="J13" s="9"/>
      <c r="K13" s="9"/>
      <c r="L13" s="9" t="s">
        <v>351</v>
      </c>
      <c r="M13" s="9"/>
      <c r="N13" s="9" t="s">
        <v>2531</v>
      </c>
      <c r="P13" s="39" t="s">
        <v>56</v>
      </c>
      <c r="Q13" s="10">
        <v>0</v>
      </c>
      <c r="S13" s="48" t="s">
        <v>135</v>
      </c>
      <c r="T13" s="48" t="s">
        <v>32</v>
      </c>
      <c r="U13" s="55">
        <v>5000</v>
      </c>
      <c r="V13" s="48" t="s">
        <v>86</v>
      </c>
    </row>
    <row r="14" spans="1:22" x14ac:dyDescent="0.35">
      <c r="A14" s="9" t="s">
        <v>40</v>
      </c>
      <c r="B14" s="9" t="s">
        <v>2532</v>
      </c>
      <c r="C14" s="10">
        <v>3500</v>
      </c>
      <c r="D14" s="10">
        <v>3500</v>
      </c>
      <c r="E14" s="9" t="s">
        <v>37</v>
      </c>
      <c r="F14" s="9" t="s">
        <v>42</v>
      </c>
      <c r="G14" s="9" t="s">
        <v>2533</v>
      </c>
      <c r="H14" s="94" t="s">
        <v>27</v>
      </c>
      <c r="I14" s="9"/>
      <c r="J14" s="9"/>
      <c r="K14" s="10"/>
      <c r="L14" s="9" t="s">
        <v>45</v>
      </c>
      <c r="M14" s="9"/>
      <c r="N14" s="9" t="s">
        <v>46</v>
      </c>
      <c r="P14" s="39" t="s">
        <v>62</v>
      </c>
      <c r="Q14" s="10"/>
      <c r="S14" s="48" t="s">
        <v>490</v>
      </c>
      <c r="T14" s="48" t="s">
        <v>39</v>
      </c>
      <c r="U14" s="55">
        <v>1300</v>
      </c>
      <c r="V14" s="48" t="s">
        <v>93</v>
      </c>
    </row>
    <row r="15" spans="1:22" x14ac:dyDescent="0.35">
      <c r="A15" s="9" t="s">
        <v>160</v>
      </c>
      <c r="B15" s="9" t="s">
        <v>2532</v>
      </c>
      <c r="C15" s="10">
        <v>3500</v>
      </c>
      <c r="D15" s="10">
        <v>3500</v>
      </c>
      <c r="E15" s="9" t="s">
        <v>86</v>
      </c>
      <c r="F15" s="9" t="s">
        <v>161</v>
      </c>
      <c r="G15" s="9"/>
      <c r="H15" s="9"/>
      <c r="I15" s="9" t="s">
        <v>1419</v>
      </c>
      <c r="J15" s="195">
        <v>45952</v>
      </c>
      <c r="K15" s="10">
        <v>3500</v>
      </c>
      <c r="L15" s="9" t="s">
        <v>163</v>
      </c>
      <c r="M15" s="9"/>
      <c r="N15" s="87" t="s">
        <v>164</v>
      </c>
      <c r="P15" s="39" t="s">
        <v>68</v>
      </c>
      <c r="Q15" s="10"/>
      <c r="S15" s="48" t="s">
        <v>1348</v>
      </c>
      <c r="T15" s="48" t="s">
        <v>2525</v>
      </c>
      <c r="U15" s="55">
        <v>2500</v>
      </c>
      <c r="V15" s="48" t="s">
        <v>37</v>
      </c>
    </row>
    <row r="16" spans="1:22" x14ac:dyDescent="0.35">
      <c r="A16" s="9" t="s">
        <v>31</v>
      </c>
      <c r="B16" s="9" t="s">
        <v>2525</v>
      </c>
      <c r="C16" s="10">
        <v>2500</v>
      </c>
      <c r="D16" s="10">
        <v>2500</v>
      </c>
      <c r="E16" s="9" t="s">
        <v>24</v>
      </c>
      <c r="F16" s="9" t="s">
        <v>33</v>
      </c>
      <c r="G16" s="9"/>
      <c r="H16" s="9"/>
      <c r="I16" s="9" t="s">
        <v>1419</v>
      </c>
      <c r="J16" s="195">
        <v>45980</v>
      </c>
      <c r="K16" s="10">
        <v>2500</v>
      </c>
      <c r="L16" s="9" t="s">
        <v>35</v>
      </c>
      <c r="M16" s="9"/>
      <c r="N16" s="87" t="s">
        <v>36</v>
      </c>
      <c r="P16" s="39" t="s">
        <v>76</v>
      </c>
      <c r="Q16" s="10">
        <v>680</v>
      </c>
      <c r="S16" s="48" t="s">
        <v>1348</v>
      </c>
      <c r="T16" s="48" t="s">
        <v>2206</v>
      </c>
      <c r="U16" s="55">
        <v>0</v>
      </c>
      <c r="V16" s="48" t="s">
        <v>24</v>
      </c>
    </row>
    <row r="17" spans="1:22" x14ac:dyDescent="0.35">
      <c r="A17" s="9" t="s">
        <v>368</v>
      </c>
      <c r="B17" s="9" t="s">
        <v>2525</v>
      </c>
      <c r="C17" s="10">
        <v>2500</v>
      </c>
      <c r="D17" s="10">
        <v>2500</v>
      </c>
      <c r="E17" s="9" t="s">
        <v>93</v>
      </c>
      <c r="F17" s="9" t="s">
        <v>111</v>
      </c>
      <c r="G17" s="9"/>
      <c r="H17" s="9"/>
      <c r="I17" s="9" t="s">
        <v>1419</v>
      </c>
      <c r="J17" s="195">
        <v>45973</v>
      </c>
      <c r="K17" s="10">
        <v>2500</v>
      </c>
      <c r="L17" s="9" t="s">
        <v>2534</v>
      </c>
      <c r="M17" s="9"/>
      <c r="N17" s="87" t="s">
        <v>370</v>
      </c>
      <c r="P17" s="39" t="s">
        <v>81</v>
      </c>
      <c r="Q17" s="10"/>
      <c r="S17" s="112" t="s">
        <v>2535</v>
      </c>
      <c r="T17" s="112" t="s">
        <v>2525</v>
      </c>
      <c r="U17" s="113">
        <v>0</v>
      </c>
      <c r="V17" s="112" t="s">
        <v>76</v>
      </c>
    </row>
    <row r="18" spans="1:22" x14ac:dyDescent="0.35">
      <c r="A18" s="9" t="s">
        <v>1348</v>
      </c>
      <c r="B18" s="9" t="s">
        <v>2525</v>
      </c>
      <c r="C18" s="10">
        <v>2500</v>
      </c>
      <c r="D18" s="10">
        <v>2500</v>
      </c>
      <c r="E18" s="9" t="s">
        <v>24</v>
      </c>
      <c r="F18" s="9" t="s">
        <v>25</v>
      </c>
      <c r="G18" s="9"/>
      <c r="H18" s="9"/>
      <c r="I18" s="9" t="s">
        <v>1419</v>
      </c>
      <c r="J18" s="9"/>
      <c r="K18" s="10"/>
      <c r="L18" s="9" t="s">
        <v>2536</v>
      </c>
      <c r="M18" s="9"/>
      <c r="N18" s="9" t="s">
        <v>1351</v>
      </c>
      <c r="P18" s="39" t="s">
        <v>86</v>
      </c>
      <c r="Q18" s="10">
        <v>8500</v>
      </c>
      <c r="S18" s="48" t="s">
        <v>368</v>
      </c>
      <c r="T18" s="48" t="s">
        <v>2537</v>
      </c>
      <c r="U18" s="55">
        <v>1250</v>
      </c>
      <c r="V18" s="48" t="s">
        <v>92</v>
      </c>
    </row>
    <row r="19" spans="1:22" ht="16" x14ac:dyDescent="0.35">
      <c r="A19" s="9" t="s">
        <v>549</v>
      </c>
      <c r="B19" s="9" t="s">
        <v>2525</v>
      </c>
      <c r="C19" s="10">
        <v>2500</v>
      </c>
      <c r="D19" s="10">
        <v>1500</v>
      </c>
      <c r="E19" s="9" t="s">
        <v>96</v>
      </c>
      <c r="F19" s="9" t="s">
        <v>681</v>
      </c>
      <c r="G19" s="9" t="s">
        <v>2538</v>
      </c>
      <c r="H19" s="9"/>
      <c r="I19" s="9" t="s">
        <v>1419</v>
      </c>
      <c r="J19" s="9"/>
      <c r="K19" s="10"/>
      <c r="L19" s="9" t="s">
        <v>550</v>
      </c>
      <c r="M19" s="218" t="s">
        <v>2539</v>
      </c>
      <c r="N19" s="87" t="s">
        <v>551</v>
      </c>
      <c r="P19" s="39" t="s">
        <v>90</v>
      </c>
      <c r="Q19" s="10"/>
      <c r="S19" s="9" t="s">
        <v>140</v>
      </c>
      <c r="T19" s="9" t="s">
        <v>39</v>
      </c>
      <c r="U19" s="10">
        <v>1300</v>
      </c>
      <c r="V19" s="9" t="s">
        <v>76</v>
      </c>
    </row>
    <row r="20" spans="1:22" x14ac:dyDescent="0.35">
      <c r="A20" s="9" t="s">
        <v>130</v>
      </c>
      <c r="B20" s="9" t="s">
        <v>1255</v>
      </c>
      <c r="C20" s="10">
        <v>2500</v>
      </c>
      <c r="D20" s="10">
        <v>2500</v>
      </c>
      <c r="E20" s="9" t="s">
        <v>37</v>
      </c>
      <c r="F20" s="9" t="s">
        <v>2540</v>
      </c>
      <c r="G20" s="9"/>
      <c r="H20" s="9"/>
      <c r="I20" s="9" t="s">
        <v>2541</v>
      </c>
      <c r="J20" s="9"/>
      <c r="K20" s="10"/>
      <c r="L20" s="9"/>
      <c r="M20" s="9"/>
      <c r="N20" s="9"/>
      <c r="P20" s="39" t="s">
        <v>91</v>
      </c>
      <c r="Q20" s="10"/>
      <c r="S20" s="9" t="s">
        <v>151</v>
      </c>
      <c r="T20" s="9" t="s">
        <v>39</v>
      </c>
      <c r="U20" s="10">
        <v>1250</v>
      </c>
      <c r="V20" s="9" t="s">
        <v>96</v>
      </c>
    </row>
    <row r="21" spans="1:22" x14ac:dyDescent="0.35">
      <c r="A21" s="9" t="s">
        <v>1348</v>
      </c>
      <c r="B21" s="9" t="s">
        <v>2206</v>
      </c>
      <c r="C21" s="10">
        <v>1250</v>
      </c>
      <c r="D21" s="10">
        <v>0</v>
      </c>
      <c r="E21" s="9" t="s">
        <v>24</v>
      </c>
      <c r="F21" s="9" t="s">
        <v>25</v>
      </c>
      <c r="G21" s="9"/>
      <c r="H21" s="9"/>
      <c r="I21" s="9">
        <v>0</v>
      </c>
      <c r="J21" s="9"/>
      <c r="K21" s="9"/>
      <c r="L21" s="9" t="s">
        <v>1350</v>
      </c>
      <c r="M21" s="9"/>
      <c r="N21" s="9" t="s">
        <v>1351</v>
      </c>
      <c r="P21" s="39" t="s">
        <v>92</v>
      </c>
      <c r="Q21" s="10">
        <v>1300</v>
      </c>
      <c r="S21" s="48" t="s">
        <v>170</v>
      </c>
      <c r="T21" s="48" t="s">
        <v>2537</v>
      </c>
      <c r="U21" s="55">
        <v>1000</v>
      </c>
      <c r="V21" s="48" t="s">
        <v>24</v>
      </c>
    </row>
    <row r="22" spans="1:22" x14ac:dyDescent="0.35">
      <c r="A22" s="9" t="s">
        <v>187</v>
      </c>
      <c r="B22" s="9" t="s">
        <v>1255</v>
      </c>
      <c r="C22" s="10">
        <v>2500</v>
      </c>
      <c r="D22" s="10">
        <v>2500</v>
      </c>
      <c r="E22" s="9" t="s">
        <v>24</v>
      </c>
      <c r="F22" s="9" t="s">
        <v>189</v>
      </c>
      <c r="G22" s="9"/>
      <c r="H22" s="94" t="s">
        <v>27</v>
      </c>
      <c r="I22" s="9"/>
      <c r="J22" s="9" t="s">
        <v>172</v>
      </c>
      <c r="K22" s="10">
        <v>2500</v>
      </c>
      <c r="L22" s="9" t="s">
        <v>190</v>
      </c>
      <c r="M22" s="9"/>
      <c r="N22" s="9" t="s">
        <v>191</v>
      </c>
      <c r="P22" s="39" t="s">
        <v>93</v>
      </c>
      <c r="Q22" s="10">
        <v>3750</v>
      </c>
      <c r="S22" s="112" t="s">
        <v>1273</v>
      </c>
      <c r="T22" s="112" t="s">
        <v>39</v>
      </c>
      <c r="U22" s="113">
        <v>1300</v>
      </c>
      <c r="V22" s="112" t="s">
        <v>95</v>
      </c>
    </row>
    <row r="23" spans="1:22" x14ac:dyDescent="0.35">
      <c r="A23" s="9"/>
      <c r="B23" s="9" t="s">
        <v>1255</v>
      </c>
      <c r="C23" s="10">
        <v>2500</v>
      </c>
      <c r="D23" s="10"/>
      <c r="E23" s="9"/>
      <c r="F23" s="9"/>
      <c r="G23" s="9"/>
      <c r="H23" s="9"/>
      <c r="I23" s="9"/>
      <c r="J23" s="9"/>
      <c r="K23" s="10"/>
      <c r="L23" s="9"/>
      <c r="M23" s="9"/>
      <c r="N23" s="9"/>
      <c r="P23" s="39" t="s">
        <v>94</v>
      </c>
      <c r="Q23" s="10"/>
      <c r="S23" s="48" t="s">
        <v>198</v>
      </c>
      <c r="T23" s="48" t="s">
        <v>275</v>
      </c>
      <c r="U23" s="55">
        <v>0</v>
      </c>
      <c r="V23" s="48" t="s">
        <v>95</v>
      </c>
    </row>
    <row r="24" spans="1:22" x14ac:dyDescent="0.35">
      <c r="A24" s="9" t="s">
        <v>1040</v>
      </c>
      <c r="B24" s="9" t="s">
        <v>2542</v>
      </c>
      <c r="C24" s="10">
        <v>3500</v>
      </c>
      <c r="D24" s="10">
        <v>3500</v>
      </c>
      <c r="E24" s="9" t="s">
        <v>96</v>
      </c>
      <c r="F24" s="9" t="s">
        <v>532</v>
      </c>
      <c r="G24" s="9"/>
      <c r="H24" s="9"/>
      <c r="I24" s="9" t="s">
        <v>1419</v>
      </c>
      <c r="J24" s="9"/>
      <c r="K24" s="10"/>
      <c r="L24" s="9" t="s">
        <v>1366</v>
      </c>
      <c r="M24" s="9"/>
      <c r="N24" s="9"/>
      <c r="P24" s="39" t="s">
        <v>95</v>
      </c>
      <c r="Q24" s="10">
        <v>6300</v>
      </c>
      <c r="S24" s="48" t="s">
        <v>38</v>
      </c>
      <c r="T24" s="48" t="s">
        <v>1255</v>
      </c>
      <c r="U24" s="55">
        <v>2500</v>
      </c>
      <c r="V24" s="48" t="s">
        <v>24</v>
      </c>
    </row>
    <row r="25" spans="1:22" x14ac:dyDescent="0.35">
      <c r="A25" s="9"/>
      <c r="B25" s="9" t="s">
        <v>2542</v>
      </c>
      <c r="C25" s="10">
        <v>3500</v>
      </c>
      <c r="D25" s="10"/>
      <c r="E25" s="9"/>
      <c r="F25" s="9"/>
      <c r="G25" s="9"/>
      <c r="H25" s="9"/>
      <c r="I25" s="9"/>
      <c r="J25" s="9"/>
      <c r="K25" s="10"/>
      <c r="L25" s="9"/>
      <c r="M25" s="9"/>
      <c r="N25" s="9"/>
      <c r="P25" s="39" t="s">
        <v>96</v>
      </c>
      <c r="Q25" s="10">
        <v>10500</v>
      </c>
      <c r="S25" s="9" t="s">
        <v>2232</v>
      </c>
      <c r="T25" s="9" t="s">
        <v>275</v>
      </c>
      <c r="U25" s="10">
        <v>85</v>
      </c>
      <c r="V25" s="9" t="s">
        <v>76</v>
      </c>
    </row>
    <row r="26" spans="1:22" ht="43.5" x14ac:dyDescent="0.35">
      <c r="A26" s="9" t="s">
        <v>2543</v>
      </c>
      <c r="B26" s="9" t="s">
        <v>2544</v>
      </c>
      <c r="C26" s="10">
        <v>2000</v>
      </c>
      <c r="D26" s="10">
        <v>2000</v>
      </c>
      <c r="E26" s="9" t="s">
        <v>96</v>
      </c>
      <c r="F26" s="9" t="s">
        <v>867</v>
      </c>
      <c r="G26" s="9" t="s">
        <v>2545</v>
      </c>
      <c r="H26" s="9"/>
      <c r="I26" s="9" t="s">
        <v>1661</v>
      </c>
      <c r="J26" s="195">
        <v>45979</v>
      </c>
      <c r="K26" s="10">
        <v>2000</v>
      </c>
      <c r="L26" s="9" t="s">
        <v>2546</v>
      </c>
      <c r="M26" s="9"/>
      <c r="N26" s="81" t="s">
        <v>2547</v>
      </c>
      <c r="P26" s="39" t="s">
        <v>97</v>
      </c>
      <c r="Q26" s="10"/>
      <c r="S26" s="48" t="s">
        <v>48</v>
      </c>
      <c r="T26" s="48" t="s">
        <v>39</v>
      </c>
      <c r="U26" s="55">
        <v>1000</v>
      </c>
      <c r="V26" s="48" t="s">
        <v>24</v>
      </c>
    </row>
    <row r="27" spans="1:22" x14ac:dyDescent="0.35">
      <c r="A27" s="9"/>
      <c r="B27" s="9" t="s">
        <v>2548</v>
      </c>
      <c r="C27" s="10">
        <v>2000</v>
      </c>
      <c r="D27" s="10"/>
      <c r="E27" s="9"/>
      <c r="F27" s="9"/>
      <c r="G27" s="9"/>
      <c r="H27" s="9"/>
      <c r="I27" s="9"/>
      <c r="J27" s="9"/>
      <c r="K27" s="10"/>
      <c r="L27" s="9"/>
      <c r="M27" s="9"/>
      <c r="N27" s="9"/>
      <c r="P27" s="39" t="s">
        <v>98</v>
      </c>
      <c r="Q27" s="10">
        <v>3535</v>
      </c>
      <c r="S27" s="112" t="s">
        <v>501</v>
      </c>
      <c r="T27" s="112" t="s">
        <v>2549</v>
      </c>
      <c r="U27" s="113">
        <v>2000</v>
      </c>
      <c r="V27" s="112" t="s">
        <v>93</v>
      </c>
    </row>
    <row r="28" spans="1:22" x14ac:dyDescent="0.35">
      <c r="A28" s="9"/>
      <c r="B28" s="9" t="s">
        <v>188</v>
      </c>
      <c r="C28" s="10">
        <v>2500</v>
      </c>
      <c r="D28" s="10"/>
      <c r="E28" s="9"/>
      <c r="F28" s="9"/>
      <c r="G28" s="9"/>
      <c r="H28" s="9"/>
      <c r="I28" s="9"/>
      <c r="J28" s="9"/>
      <c r="K28" s="10"/>
      <c r="L28" s="9"/>
      <c r="M28" s="9"/>
      <c r="N28" s="9"/>
      <c r="P28" s="45" t="s">
        <v>99</v>
      </c>
      <c r="Q28" s="46">
        <v>68565</v>
      </c>
      <c r="S28" s="9" t="s">
        <v>285</v>
      </c>
      <c r="T28" s="9" t="s">
        <v>275</v>
      </c>
      <c r="U28" s="10">
        <v>0</v>
      </c>
      <c r="V28" s="9" t="s">
        <v>95</v>
      </c>
    </row>
    <row r="29" spans="1:22" ht="29" x14ac:dyDescent="0.35">
      <c r="A29" s="9" t="s">
        <v>170</v>
      </c>
      <c r="B29" s="9" t="s">
        <v>2537</v>
      </c>
      <c r="C29" s="10">
        <v>1250</v>
      </c>
      <c r="D29" s="10">
        <v>1000</v>
      </c>
      <c r="E29" s="9" t="s">
        <v>24</v>
      </c>
      <c r="F29" s="9" t="s">
        <v>227</v>
      </c>
      <c r="G29" s="9" t="s">
        <v>228</v>
      </c>
      <c r="H29" s="9"/>
      <c r="I29" s="9" t="s">
        <v>1419</v>
      </c>
      <c r="J29" s="195">
        <v>45952</v>
      </c>
      <c r="K29" s="10">
        <v>1000</v>
      </c>
      <c r="L29" s="9" t="s">
        <v>230</v>
      </c>
      <c r="M29" s="9"/>
      <c r="N29" s="9" t="s">
        <v>231</v>
      </c>
      <c r="S29" s="48" t="s">
        <v>288</v>
      </c>
      <c r="T29" s="48" t="s">
        <v>39</v>
      </c>
      <c r="U29" s="55">
        <v>1300</v>
      </c>
      <c r="V29" s="48" t="s">
        <v>24</v>
      </c>
    </row>
    <row r="30" spans="1:22" x14ac:dyDescent="0.35">
      <c r="A30" s="9" t="s">
        <v>775</v>
      </c>
      <c r="B30" s="9" t="s">
        <v>2537</v>
      </c>
      <c r="C30" s="10">
        <v>1250</v>
      </c>
      <c r="D30" s="10">
        <v>1250</v>
      </c>
      <c r="E30" s="9" t="s">
        <v>93</v>
      </c>
      <c r="F30" s="9" t="s">
        <v>771</v>
      </c>
      <c r="G30" s="9"/>
      <c r="H30" s="9"/>
      <c r="I30" s="9" t="s">
        <v>1419</v>
      </c>
      <c r="J30" s="195">
        <v>45946</v>
      </c>
      <c r="K30" s="9">
        <v>1250</v>
      </c>
      <c r="L30" s="9" t="s">
        <v>776</v>
      </c>
      <c r="M30" s="9"/>
      <c r="N30" s="101" t="s">
        <v>777</v>
      </c>
      <c r="S30" s="48" t="s">
        <v>515</v>
      </c>
      <c r="T30" s="48" t="s">
        <v>39</v>
      </c>
      <c r="U30" s="55">
        <v>1300</v>
      </c>
      <c r="V30" s="48" t="s">
        <v>24</v>
      </c>
    </row>
    <row r="31" spans="1:22" x14ac:dyDescent="0.35">
      <c r="A31" s="9" t="s">
        <v>912</v>
      </c>
      <c r="B31" s="9" t="s">
        <v>2537</v>
      </c>
      <c r="C31" s="10">
        <v>1250</v>
      </c>
      <c r="D31" s="10">
        <v>0</v>
      </c>
      <c r="E31" s="9" t="s">
        <v>96</v>
      </c>
      <c r="F31" s="9" t="s">
        <v>648</v>
      </c>
      <c r="G31" s="9" t="s">
        <v>2550</v>
      </c>
      <c r="H31" s="9"/>
      <c r="I31" s="9">
        <v>0</v>
      </c>
      <c r="J31" s="9"/>
      <c r="K31" s="9"/>
      <c r="L31" s="9" t="s">
        <v>913</v>
      </c>
      <c r="M31" s="9"/>
      <c r="N31" s="9" t="s">
        <v>914</v>
      </c>
      <c r="S31" s="9" t="s">
        <v>248</v>
      </c>
      <c r="T31" s="9" t="s">
        <v>39</v>
      </c>
      <c r="U31" s="10">
        <v>1300</v>
      </c>
      <c r="V31" s="9" t="s">
        <v>37</v>
      </c>
    </row>
    <row r="32" spans="1:22" x14ac:dyDescent="0.35">
      <c r="A32" s="9" t="s">
        <v>1687</v>
      </c>
      <c r="B32" s="9" t="s">
        <v>2537</v>
      </c>
      <c r="C32" s="10">
        <v>1250</v>
      </c>
      <c r="D32" s="10">
        <v>0</v>
      </c>
      <c r="E32" s="9" t="s">
        <v>76</v>
      </c>
      <c r="F32" s="9" t="s">
        <v>493</v>
      </c>
      <c r="G32" s="9" t="s">
        <v>2551</v>
      </c>
      <c r="H32" s="9"/>
      <c r="I32" s="9">
        <v>0</v>
      </c>
      <c r="J32" s="9"/>
      <c r="K32" s="9"/>
      <c r="L32" s="9" t="s">
        <v>1690</v>
      </c>
      <c r="M32" s="9"/>
      <c r="N32" s="92" t="s">
        <v>1691</v>
      </c>
      <c r="S32" s="48" t="s">
        <v>160</v>
      </c>
      <c r="T32" s="48" t="s">
        <v>2532</v>
      </c>
      <c r="U32" s="55">
        <v>3500</v>
      </c>
      <c r="V32" s="48" t="s">
        <v>86</v>
      </c>
    </row>
    <row r="33" spans="1:22" x14ac:dyDescent="0.35">
      <c r="A33" s="9"/>
      <c r="B33" s="9" t="s">
        <v>49</v>
      </c>
      <c r="C33" s="10">
        <v>5000</v>
      </c>
      <c r="D33" s="10"/>
      <c r="E33" s="9"/>
      <c r="F33" s="9"/>
      <c r="G33" s="9"/>
      <c r="H33" s="9"/>
      <c r="I33" s="9"/>
      <c r="J33" s="9"/>
      <c r="K33" s="10"/>
      <c r="L33" s="9"/>
      <c r="M33" s="9"/>
      <c r="N33" s="9"/>
      <c r="S33" s="48" t="s">
        <v>57</v>
      </c>
      <c r="T33" s="48" t="s">
        <v>39</v>
      </c>
      <c r="U33" s="55">
        <v>1300</v>
      </c>
      <c r="V33" s="48" t="s">
        <v>24</v>
      </c>
    </row>
    <row r="34" spans="1:22" x14ac:dyDescent="0.35">
      <c r="A34" s="9" t="s">
        <v>57</v>
      </c>
      <c r="B34" s="9" t="s">
        <v>2552</v>
      </c>
      <c r="C34" s="10">
        <v>1300</v>
      </c>
      <c r="D34" s="10">
        <v>1200</v>
      </c>
      <c r="E34" s="9" t="s">
        <v>24</v>
      </c>
      <c r="F34" s="9" t="s">
        <v>58</v>
      </c>
      <c r="G34" s="9"/>
      <c r="H34" s="94" t="s">
        <v>27</v>
      </c>
      <c r="I34" s="9"/>
      <c r="J34" s="195">
        <v>45980</v>
      </c>
      <c r="K34" s="10">
        <v>1200</v>
      </c>
      <c r="L34" s="9" t="s">
        <v>60</v>
      </c>
      <c r="M34" s="9"/>
      <c r="N34" s="9" t="s">
        <v>61</v>
      </c>
      <c r="S34" s="112" t="s">
        <v>313</v>
      </c>
      <c r="T34" s="112" t="s">
        <v>2532</v>
      </c>
      <c r="U34" s="113">
        <v>3500</v>
      </c>
      <c r="V34" s="112" t="s">
        <v>96</v>
      </c>
    </row>
    <row r="35" spans="1:22" x14ac:dyDescent="0.35">
      <c r="A35" s="9" t="s">
        <v>2553</v>
      </c>
      <c r="B35" s="9" t="s">
        <v>2552</v>
      </c>
      <c r="C35" s="10">
        <v>1300</v>
      </c>
      <c r="D35" s="10">
        <v>1300</v>
      </c>
      <c r="E35" s="9" t="s">
        <v>95</v>
      </c>
      <c r="F35" s="9" t="s">
        <v>119</v>
      </c>
      <c r="G35" s="9"/>
      <c r="H35" s="9"/>
      <c r="I35" s="9" t="s">
        <v>2026</v>
      </c>
      <c r="J35" s="195">
        <v>45952</v>
      </c>
      <c r="K35" s="10">
        <v>1300</v>
      </c>
      <c r="L35" s="9" t="s">
        <v>122</v>
      </c>
      <c r="M35" s="9"/>
      <c r="N35" s="87" t="s">
        <v>123</v>
      </c>
      <c r="S35" s="9" t="s">
        <v>2554</v>
      </c>
      <c r="T35" s="9" t="s">
        <v>275</v>
      </c>
      <c r="U35" s="10">
        <v>255</v>
      </c>
      <c r="V35" s="9" t="s">
        <v>97</v>
      </c>
    </row>
    <row r="36" spans="1:22" x14ac:dyDescent="0.35">
      <c r="A36" s="9" t="s">
        <v>48</v>
      </c>
      <c r="B36" s="9" t="s">
        <v>2552</v>
      </c>
      <c r="C36" s="10">
        <v>1300</v>
      </c>
      <c r="D36" s="10">
        <v>1000</v>
      </c>
      <c r="E36" s="9" t="s">
        <v>24</v>
      </c>
      <c r="F36" s="9" t="s">
        <v>64</v>
      </c>
      <c r="G36" s="9"/>
      <c r="H36" s="9"/>
      <c r="I36" s="9" t="s">
        <v>1419</v>
      </c>
      <c r="J36" s="195">
        <v>45961</v>
      </c>
      <c r="K36" s="10">
        <v>1000</v>
      </c>
      <c r="L36" s="9" t="s">
        <v>66</v>
      </c>
      <c r="M36" s="9"/>
      <c r="N36" s="9" t="s">
        <v>67</v>
      </c>
      <c r="S36" s="48" t="s">
        <v>194</v>
      </c>
      <c r="T36" s="48" t="s">
        <v>23</v>
      </c>
      <c r="U36" s="55">
        <v>7500</v>
      </c>
      <c r="V36" s="48" t="s">
        <v>56</v>
      </c>
    </row>
    <row r="37" spans="1:22" x14ac:dyDescent="0.35">
      <c r="A37" s="9" t="s">
        <v>235</v>
      </c>
      <c r="B37" s="9" t="s">
        <v>2552</v>
      </c>
      <c r="C37" s="10">
        <v>1300</v>
      </c>
      <c r="D37" s="10">
        <v>1000</v>
      </c>
      <c r="E37" s="9" t="s">
        <v>24</v>
      </c>
      <c r="F37" s="9" t="s">
        <v>236</v>
      </c>
      <c r="G37" s="9"/>
      <c r="H37" s="9"/>
      <c r="I37" s="9" t="s">
        <v>1419</v>
      </c>
      <c r="J37" s="195">
        <v>45967</v>
      </c>
      <c r="K37" s="10">
        <v>1000</v>
      </c>
      <c r="L37" s="9" t="s">
        <v>237</v>
      </c>
      <c r="M37" s="9"/>
      <c r="N37" s="9" t="s">
        <v>238</v>
      </c>
      <c r="S37" s="48" t="s">
        <v>87</v>
      </c>
      <c r="T37" s="48" t="s">
        <v>39</v>
      </c>
      <c r="U37" s="55">
        <v>1500</v>
      </c>
      <c r="V37" s="48" t="s">
        <v>24</v>
      </c>
    </row>
    <row r="38" spans="1:22" x14ac:dyDescent="0.35">
      <c r="A38" s="9" t="s">
        <v>126</v>
      </c>
      <c r="B38" s="9" t="s">
        <v>2552</v>
      </c>
      <c r="C38" s="10">
        <v>1300</v>
      </c>
      <c r="D38" s="10">
        <v>1000</v>
      </c>
      <c r="E38" s="9" t="s">
        <v>24</v>
      </c>
      <c r="F38" s="9" t="s">
        <v>253</v>
      </c>
      <c r="G38" s="9"/>
      <c r="H38" s="94" t="s">
        <v>27</v>
      </c>
      <c r="I38" s="9"/>
      <c r="J38" s="9" t="s">
        <v>256</v>
      </c>
      <c r="K38" s="10">
        <v>1000</v>
      </c>
      <c r="L38" s="9" t="s">
        <v>257</v>
      </c>
      <c r="M38" s="9"/>
      <c r="N38" s="87" t="s">
        <v>258</v>
      </c>
      <c r="S38" s="9"/>
      <c r="T38" s="9"/>
      <c r="U38" s="10"/>
      <c r="V38" s="9"/>
    </row>
    <row r="39" spans="1:22" x14ac:dyDescent="0.35">
      <c r="A39" s="9" t="s">
        <v>742</v>
      </c>
      <c r="B39" s="9" t="s">
        <v>2552</v>
      </c>
      <c r="C39" s="10">
        <v>1300</v>
      </c>
      <c r="D39" s="10">
        <v>1000</v>
      </c>
      <c r="E39" s="9" t="s">
        <v>24</v>
      </c>
      <c r="F39" s="9" t="s">
        <v>418</v>
      </c>
      <c r="G39" s="9"/>
      <c r="H39" s="94" t="s">
        <v>27</v>
      </c>
      <c r="I39" s="9"/>
      <c r="J39" s="195">
        <v>45985</v>
      </c>
      <c r="K39" s="9">
        <v>1000</v>
      </c>
      <c r="L39" s="9" t="s">
        <v>743</v>
      </c>
      <c r="M39" s="9"/>
      <c r="N39" s="9" t="s">
        <v>744</v>
      </c>
      <c r="S39" s="9" t="s">
        <v>2555</v>
      </c>
      <c r="T39" s="9" t="s">
        <v>275</v>
      </c>
      <c r="U39" s="10">
        <v>85</v>
      </c>
      <c r="V39" s="9" t="s">
        <v>76</v>
      </c>
    </row>
    <row r="40" spans="1:22" ht="29" x14ac:dyDescent="0.35">
      <c r="A40" s="9" t="s">
        <v>490</v>
      </c>
      <c r="B40" s="9" t="s">
        <v>2552</v>
      </c>
      <c r="C40" s="10">
        <v>1300</v>
      </c>
      <c r="D40" s="10">
        <v>1300</v>
      </c>
      <c r="E40" s="9" t="s">
        <v>92</v>
      </c>
      <c r="F40" s="9" t="s">
        <v>28</v>
      </c>
      <c r="G40" s="9"/>
      <c r="H40" s="94" t="s">
        <v>27</v>
      </c>
      <c r="I40" s="9"/>
      <c r="J40" s="195" t="s">
        <v>2556</v>
      </c>
      <c r="K40" s="10">
        <f>199.96+1100.04</f>
        <v>1300</v>
      </c>
      <c r="L40" s="9" t="s">
        <v>516</v>
      </c>
      <c r="M40" s="9"/>
      <c r="N40" s="9" t="s">
        <v>517</v>
      </c>
      <c r="S40" s="9" t="s">
        <v>2557</v>
      </c>
      <c r="T40" s="9" t="s">
        <v>275</v>
      </c>
      <c r="U40" s="10">
        <v>85</v>
      </c>
      <c r="V40" s="9"/>
    </row>
    <row r="41" spans="1:22" x14ac:dyDescent="0.35">
      <c r="A41" s="9" t="s">
        <v>515</v>
      </c>
      <c r="B41" s="9" t="s">
        <v>2552</v>
      </c>
      <c r="C41" s="10">
        <v>1300</v>
      </c>
      <c r="D41" s="10">
        <v>1300</v>
      </c>
      <c r="E41" s="9" t="s">
        <v>24</v>
      </c>
      <c r="F41" s="9" t="s">
        <v>28</v>
      </c>
      <c r="G41" s="9"/>
      <c r="H41" s="9"/>
      <c r="I41" s="9" t="s">
        <v>1419</v>
      </c>
      <c r="J41" s="195">
        <v>45973</v>
      </c>
      <c r="K41" s="10">
        <v>1300</v>
      </c>
      <c r="L41" s="9" t="s">
        <v>518</v>
      </c>
      <c r="M41" s="9"/>
      <c r="N41" s="9" t="s">
        <v>519</v>
      </c>
      <c r="S41" s="9" t="s">
        <v>146</v>
      </c>
      <c r="T41" s="9" t="s">
        <v>1255</v>
      </c>
      <c r="U41" s="10">
        <v>2500</v>
      </c>
      <c r="V41" s="9" t="s">
        <v>24</v>
      </c>
    </row>
    <row r="42" spans="1:22" x14ac:dyDescent="0.35">
      <c r="A42" s="9" t="s">
        <v>87</v>
      </c>
      <c r="B42" s="9" t="s">
        <v>2552</v>
      </c>
      <c r="C42" s="10">
        <v>1300</v>
      </c>
      <c r="D42" s="10">
        <v>1500</v>
      </c>
      <c r="E42" s="9" t="s">
        <v>24</v>
      </c>
      <c r="F42" s="9" t="s">
        <v>768</v>
      </c>
      <c r="G42" s="9"/>
      <c r="H42" s="9"/>
      <c r="I42" s="9" t="s">
        <v>1419</v>
      </c>
      <c r="J42" s="195">
        <v>46001</v>
      </c>
      <c r="K42" s="10">
        <v>1500</v>
      </c>
      <c r="L42" s="9" t="s">
        <v>769</v>
      </c>
      <c r="M42" s="9"/>
      <c r="N42" s="9" t="s">
        <v>770</v>
      </c>
      <c r="S42" s="9" t="s">
        <v>377</v>
      </c>
      <c r="T42" s="9" t="s">
        <v>1547</v>
      </c>
      <c r="U42" s="10">
        <v>2500</v>
      </c>
      <c r="V42" s="9" t="s">
        <v>92</v>
      </c>
    </row>
    <row r="43" spans="1:22" ht="43.5" x14ac:dyDescent="0.35">
      <c r="A43" s="9" t="s">
        <v>276</v>
      </c>
      <c r="B43" s="9" t="s">
        <v>2558</v>
      </c>
      <c r="C43" s="10">
        <v>0</v>
      </c>
      <c r="D43" s="10">
        <v>680</v>
      </c>
      <c r="E43" s="9" t="s">
        <v>76</v>
      </c>
      <c r="F43" s="9" t="s">
        <v>119</v>
      </c>
      <c r="G43" s="9"/>
      <c r="H43" s="9"/>
      <c r="I43" s="9" t="s">
        <v>2077</v>
      </c>
      <c r="J43" s="195">
        <v>45954</v>
      </c>
      <c r="K43" s="10">
        <v>680</v>
      </c>
      <c r="L43" s="9" t="s">
        <v>278</v>
      </c>
      <c r="M43" s="9"/>
      <c r="N43" s="9" t="s">
        <v>294</v>
      </c>
      <c r="S43" s="9" t="s">
        <v>1019</v>
      </c>
      <c r="T43" s="9" t="s">
        <v>275</v>
      </c>
      <c r="U43" s="10">
        <v>85</v>
      </c>
      <c r="V43" s="9" t="s">
        <v>76</v>
      </c>
    </row>
    <row r="44" spans="1:22" x14ac:dyDescent="0.35">
      <c r="A44" s="9" t="s">
        <v>198</v>
      </c>
      <c r="B44" s="9" t="s">
        <v>2558</v>
      </c>
      <c r="C44" s="10">
        <v>0</v>
      </c>
      <c r="D44" s="10">
        <v>0</v>
      </c>
      <c r="E44" s="9" t="s">
        <v>95</v>
      </c>
      <c r="F44" s="9" t="s">
        <v>142</v>
      </c>
      <c r="G44" s="9" t="s">
        <v>1063</v>
      </c>
      <c r="H44" s="9"/>
      <c r="I44" s="9">
        <v>0</v>
      </c>
      <c r="J44" s="9" t="s">
        <v>1271</v>
      </c>
      <c r="K44" s="10">
        <v>0</v>
      </c>
      <c r="L44" s="9" t="s">
        <v>240</v>
      </c>
      <c r="M44" s="9"/>
      <c r="N44" s="87" t="s">
        <v>241</v>
      </c>
      <c r="S44" s="9" t="s">
        <v>2559</v>
      </c>
      <c r="T44" s="9" t="s">
        <v>275</v>
      </c>
      <c r="U44" s="10">
        <v>85</v>
      </c>
      <c r="V44" s="9" t="s">
        <v>76</v>
      </c>
    </row>
    <row r="45" spans="1:22" x14ac:dyDescent="0.35">
      <c r="A45" s="9" t="s">
        <v>260</v>
      </c>
      <c r="B45" s="9" t="s">
        <v>2558</v>
      </c>
      <c r="C45" s="10">
        <v>0</v>
      </c>
      <c r="D45" s="10">
        <v>0</v>
      </c>
      <c r="E45" s="9" t="s">
        <v>56</v>
      </c>
      <c r="F45" s="9" t="s">
        <v>261</v>
      </c>
      <c r="G45" s="9" t="s">
        <v>1088</v>
      </c>
      <c r="H45" s="9"/>
      <c r="I45" s="9">
        <v>0</v>
      </c>
      <c r="J45" s="9" t="s">
        <v>1271</v>
      </c>
      <c r="K45" s="10">
        <v>0</v>
      </c>
      <c r="L45" s="9" t="s">
        <v>262</v>
      </c>
      <c r="M45" s="9"/>
      <c r="N45" s="9" t="s">
        <v>263</v>
      </c>
      <c r="S45" s="48" t="s">
        <v>2526</v>
      </c>
      <c r="T45" s="48" t="s">
        <v>32</v>
      </c>
      <c r="U45" s="55">
        <v>5000</v>
      </c>
      <c r="V45" s="48" t="s">
        <v>96</v>
      </c>
    </row>
    <row r="46" spans="1:22" x14ac:dyDescent="0.35">
      <c r="A46" s="9" t="s">
        <v>2560</v>
      </c>
      <c r="B46" s="9" t="s">
        <v>2558</v>
      </c>
      <c r="C46" s="9">
        <v>0</v>
      </c>
      <c r="D46" s="9">
        <v>0</v>
      </c>
      <c r="E46" s="9" t="s">
        <v>76</v>
      </c>
      <c r="F46" s="9" t="s">
        <v>1660</v>
      </c>
      <c r="G46" s="9" t="s">
        <v>2561</v>
      </c>
      <c r="H46" s="9"/>
      <c r="I46" s="9">
        <v>0</v>
      </c>
      <c r="J46" s="9"/>
      <c r="K46" s="10"/>
      <c r="L46" s="9" t="s">
        <v>2562</v>
      </c>
      <c r="M46" s="9"/>
      <c r="N46" s="101" t="s">
        <v>2563</v>
      </c>
      <c r="S46" s="9" t="s">
        <v>1400</v>
      </c>
      <c r="T46" s="9" t="s">
        <v>188</v>
      </c>
      <c r="U46" s="10">
        <v>2500</v>
      </c>
      <c r="V46" s="9" t="s">
        <v>93</v>
      </c>
    </row>
    <row r="47" spans="1:22" x14ac:dyDescent="0.35">
      <c r="A47" s="9" t="s">
        <v>288</v>
      </c>
      <c r="B47" s="9" t="s">
        <v>2552</v>
      </c>
      <c r="C47" s="10">
        <v>1300</v>
      </c>
      <c r="D47" s="10">
        <v>2600</v>
      </c>
      <c r="E47" s="9"/>
      <c r="F47" s="9" t="s">
        <v>2564</v>
      </c>
      <c r="G47" s="9"/>
      <c r="H47" s="9"/>
      <c r="I47" s="195" t="s">
        <v>2565</v>
      </c>
      <c r="J47" s="195">
        <v>45987</v>
      </c>
      <c r="K47" s="9">
        <v>2600</v>
      </c>
      <c r="L47" s="9"/>
      <c r="M47" s="9"/>
      <c r="N47" s="9"/>
      <c r="S47" s="48" t="s">
        <v>235</v>
      </c>
      <c r="T47" s="48" t="s">
        <v>39</v>
      </c>
      <c r="U47" s="55">
        <v>1000</v>
      </c>
      <c r="V47" s="48" t="s">
        <v>24</v>
      </c>
    </row>
    <row r="48" spans="1:22" x14ac:dyDescent="0.35">
      <c r="A48" s="9" t="s">
        <v>1304</v>
      </c>
      <c r="B48" s="9" t="s">
        <v>2558</v>
      </c>
      <c r="C48" s="10">
        <v>0</v>
      </c>
      <c r="D48" s="10">
        <v>255</v>
      </c>
      <c r="E48" s="9"/>
      <c r="F48" s="9" t="s">
        <v>2564</v>
      </c>
      <c r="G48" s="9"/>
      <c r="H48" s="9"/>
      <c r="I48" s="195" t="s">
        <v>2565</v>
      </c>
      <c r="J48" s="9"/>
      <c r="K48" s="9"/>
      <c r="L48" s="9"/>
      <c r="M48" s="9"/>
      <c r="N48" s="87" t="s">
        <v>2566</v>
      </c>
      <c r="S48" s="48" t="s">
        <v>742</v>
      </c>
      <c r="T48" s="48" t="s">
        <v>39</v>
      </c>
      <c r="U48" s="55">
        <v>1000</v>
      </c>
      <c r="V48" s="48" t="s">
        <v>24</v>
      </c>
    </row>
    <row r="49" spans="1:22" x14ac:dyDescent="0.35">
      <c r="A49" s="9" t="s">
        <v>2553</v>
      </c>
      <c r="B49" s="9" t="s">
        <v>2558</v>
      </c>
      <c r="C49" s="10">
        <v>0</v>
      </c>
      <c r="D49" s="10">
        <v>425</v>
      </c>
      <c r="E49" s="9"/>
      <c r="F49" s="9" t="s">
        <v>2564</v>
      </c>
      <c r="G49" s="9"/>
      <c r="H49" s="9"/>
      <c r="I49" s="195" t="s">
        <v>2565</v>
      </c>
      <c r="J49" s="195">
        <v>45985</v>
      </c>
      <c r="K49" s="9">
        <v>425</v>
      </c>
      <c r="L49" s="9" t="s">
        <v>2567</v>
      </c>
      <c r="M49" s="9"/>
      <c r="N49" s="87" t="s">
        <v>2568</v>
      </c>
      <c r="S49" s="9" t="s">
        <v>2569</v>
      </c>
      <c r="T49" s="9" t="s">
        <v>275</v>
      </c>
      <c r="U49" s="10">
        <v>150</v>
      </c>
      <c r="V49" s="9" t="s">
        <v>76</v>
      </c>
    </row>
    <row r="50" spans="1:22" x14ac:dyDescent="0.35">
      <c r="A50" s="9" t="s">
        <v>718</v>
      </c>
      <c r="B50" s="9" t="s">
        <v>2558</v>
      </c>
      <c r="C50" s="10">
        <v>0</v>
      </c>
      <c r="D50" s="10">
        <v>255</v>
      </c>
      <c r="E50" s="9"/>
      <c r="F50" s="9" t="s">
        <v>2570</v>
      </c>
      <c r="G50" s="9"/>
      <c r="H50" s="9"/>
      <c r="I50" s="9"/>
      <c r="J50" s="9"/>
      <c r="K50" s="9"/>
      <c r="L50" s="9" t="s">
        <v>2571</v>
      </c>
      <c r="M50" s="9"/>
      <c r="N50" s="81" t="s">
        <v>2572</v>
      </c>
      <c r="S50" s="48" t="s">
        <v>1040</v>
      </c>
      <c r="T50" s="48" t="s">
        <v>2525</v>
      </c>
      <c r="U50" s="55">
        <v>2500</v>
      </c>
      <c r="V50" s="48" t="s">
        <v>96</v>
      </c>
    </row>
    <row r="51" spans="1:22" x14ac:dyDescent="0.35">
      <c r="A51" s="9"/>
      <c r="B51" s="9"/>
      <c r="C51" s="10"/>
      <c r="D51" s="10"/>
      <c r="E51" s="9"/>
      <c r="F51" s="9"/>
      <c r="G51" s="9"/>
      <c r="H51" s="9"/>
      <c r="I51" s="9"/>
      <c r="J51" s="9"/>
      <c r="K51" s="9"/>
      <c r="L51" s="9"/>
      <c r="M51" s="9"/>
      <c r="N51" s="9"/>
      <c r="S51" s="112" t="s">
        <v>702</v>
      </c>
      <c r="T51" s="112" t="s">
        <v>275</v>
      </c>
      <c r="U51" s="113">
        <v>400</v>
      </c>
      <c r="V51" s="112" t="s">
        <v>97</v>
      </c>
    </row>
    <row r="52" spans="1:22" x14ac:dyDescent="0.35">
      <c r="A52" s="9"/>
      <c r="B52" s="9"/>
      <c r="C52" s="10"/>
      <c r="D52" s="10"/>
      <c r="E52" s="9"/>
      <c r="F52" s="9"/>
      <c r="G52" s="9"/>
      <c r="H52" s="9"/>
      <c r="I52" s="9"/>
      <c r="J52" s="9"/>
      <c r="K52" s="9"/>
      <c r="L52" s="9"/>
      <c r="M52" s="9"/>
      <c r="N52" s="9"/>
      <c r="S52" s="9" t="s">
        <v>1320</v>
      </c>
      <c r="T52" s="9" t="s">
        <v>275</v>
      </c>
      <c r="U52" s="10">
        <v>85</v>
      </c>
      <c r="V52" s="9" t="s">
        <v>96</v>
      </c>
    </row>
    <row r="53" spans="1:22" x14ac:dyDescent="0.35">
      <c r="A53" s="9"/>
      <c r="B53" s="9"/>
      <c r="C53" s="10"/>
      <c r="D53" s="10"/>
      <c r="E53" s="9"/>
      <c r="F53" s="9"/>
      <c r="G53" s="9"/>
      <c r="H53" s="9"/>
      <c r="I53" s="9"/>
      <c r="J53" s="9"/>
      <c r="K53" s="9"/>
      <c r="L53" s="9"/>
      <c r="M53" s="9"/>
      <c r="N53" s="9"/>
      <c r="S53" s="48" t="s">
        <v>40</v>
      </c>
      <c r="T53" s="48" t="s">
        <v>2525</v>
      </c>
      <c r="U53" s="55">
        <v>2500</v>
      </c>
      <c r="V53" s="48" t="s">
        <v>24</v>
      </c>
    </row>
    <row r="54" spans="1:22" x14ac:dyDescent="0.35">
      <c r="K54" s="29">
        <f>SUM(K9:K53)</f>
        <v>51055</v>
      </c>
      <c r="S54" s="48" t="s">
        <v>117</v>
      </c>
      <c r="T54" s="48" t="s">
        <v>39</v>
      </c>
      <c r="U54" s="55">
        <v>1300</v>
      </c>
      <c r="V54" s="48" t="s">
        <v>95</v>
      </c>
    </row>
    <row r="55" spans="1:22" x14ac:dyDescent="0.35">
      <c r="S55" s="9" t="s">
        <v>2573</v>
      </c>
      <c r="T55" s="9" t="s">
        <v>275</v>
      </c>
      <c r="U55" s="10">
        <v>150</v>
      </c>
      <c r="V55" s="9" t="s">
        <v>76</v>
      </c>
    </row>
    <row r="56" spans="1:22" x14ac:dyDescent="0.35">
      <c r="S56" s="215" t="s">
        <v>2574</v>
      </c>
      <c r="T56" s="215" t="s">
        <v>2537</v>
      </c>
      <c r="U56" s="216">
        <v>0</v>
      </c>
      <c r="V56" s="215"/>
    </row>
    <row r="57" spans="1:22" x14ac:dyDescent="0.35">
      <c r="U57" s="21"/>
    </row>
    <row r="59" spans="1:22" x14ac:dyDescent="0.35">
      <c r="U59" s="21"/>
    </row>
    <row r="60" spans="1:22" x14ac:dyDescent="0.35">
      <c r="U60" s="21"/>
    </row>
    <row r="61" spans="1:22" x14ac:dyDescent="0.35">
      <c r="U61" s="21"/>
    </row>
    <row r="62" spans="1:22" x14ac:dyDescent="0.35">
      <c r="U62" s="21"/>
    </row>
    <row r="63" spans="1:22" x14ac:dyDescent="0.35">
      <c r="U63" s="21"/>
    </row>
    <row r="64" spans="1:22" x14ac:dyDescent="0.35">
      <c r="U64" s="21"/>
    </row>
    <row r="65" spans="21:21" x14ac:dyDescent="0.35">
      <c r="U65" s="21"/>
    </row>
    <row r="301" spans="5:5" x14ac:dyDescent="0.35">
      <c r="E301" s="5" t="s">
        <v>47</v>
      </c>
    </row>
    <row r="302" spans="5:5" x14ac:dyDescent="0.35">
      <c r="E302" s="5" t="s">
        <v>37</v>
      </c>
    </row>
    <row r="303" spans="5:5" x14ac:dyDescent="0.35">
      <c r="E303" s="5" t="s">
        <v>24</v>
      </c>
    </row>
    <row r="304" spans="5:5" x14ac:dyDescent="0.35">
      <c r="E304" s="5" t="s">
        <v>62</v>
      </c>
    </row>
    <row r="305" spans="5:5" x14ac:dyDescent="0.35">
      <c r="E305" s="5" t="s">
        <v>56</v>
      </c>
    </row>
    <row r="306" spans="5:5" x14ac:dyDescent="0.35">
      <c r="E306" s="5" t="s">
        <v>50</v>
      </c>
    </row>
    <row r="307" spans="5:5" x14ac:dyDescent="0.35">
      <c r="E307" s="5" t="s">
        <v>91</v>
      </c>
    </row>
    <row r="308" spans="5:5" x14ac:dyDescent="0.35">
      <c r="E308" s="5" t="s">
        <v>90</v>
      </c>
    </row>
    <row r="309" spans="5:5" x14ac:dyDescent="0.35">
      <c r="E309" s="5" t="s">
        <v>86</v>
      </c>
    </row>
    <row r="310" spans="5:5" x14ac:dyDescent="0.35">
      <c r="E310" s="5" t="s">
        <v>81</v>
      </c>
    </row>
    <row r="311" spans="5:5" x14ac:dyDescent="0.35">
      <c r="E311" s="5" t="s">
        <v>76</v>
      </c>
    </row>
    <row r="312" spans="5:5" x14ac:dyDescent="0.35">
      <c r="E312" s="5" t="s">
        <v>68</v>
      </c>
    </row>
    <row r="313" spans="5:5" x14ac:dyDescent="0.35">
      <c r="E313" s="5" t="s">
        <v>94</v>
      </c>
    </row>
    <row r="314" spans="5:5" x14ac:dyDescent="0.35">
      <c r="E314" s="5" t="s">
        <v>93</v>
      </c>
    </row>
    <row r="315" spans="5:5" x14ac:dyDescent="0.35">
      <c r="E315" s="5" t="s">
        <v>92</v>
      </c>
    </row>
    <row r="316" spans="5:5" x14ac:dyDescent="0.35">
      <c r="E316" s="5" t="s">
        <v>97</v>
      </c>
    </row>
    <row r="317" spans="5:5" x14ac:dyDescent="0.35">
      <c r="E317" s="5" t="s">
        <v>96</v>
      </c>
    </row>
    <row r="318" spans="5:5" x14ac:dyDescent="0.35">
      <c r="E318" s="5" t="s">
        <v>95</v>
      </c>
    </row>
  </sheetData>
  <sortState xmlns:xlrd2="http://schemas.microsoft.com/office/spreadsheetml/2017/richdata2" ref="S9:V65">
    <sortCondition ref="S65"/>
  </sortState>
  <hyperlinks>
    <hyperlink ref="N35" r:id="rId2" display="amyw@uca.edu; " xr:uid="{9BCFFF19-968B-46C1-AE2F-9761310473A1}"/>
    <hyperlink ref="N16" r:id="rId3" display="mailto:Crystal.Floyd@acxiom.com" xr:uid="{FCBB4B81-274E-4658-BF86-E8BBAB2E7500}"/>
    <hyperlink ref="N44" r:id="rId4" xr:uid="{185CBA8C-B4C4-4248-AC75-84420231F34F}"/>
    <hyperlink ref="N38" r:id="rId5" display="mailto:mcahillwicks@arvest.com" xr:uid="{42AC2D5E-3F73-413B-9878-44CBFBE8FCEA}"/>
    <hyperlink ref="N17" r:id="rId6" display="mailto:CarrollJo.Malloy@CARTI.com" xr:uid="{7225C2D5-FBAF-49DB-BD05-2CBCC29AA3C7}"/>
    <hyperlink ref="N15" r:id="rId7" display="mailto:DLTackett@GarverUSA.com" xr:uid="{A4C3C530-529A-4274-9EAA-E1FED4250C51}"/>
    <hyperlink ref="N12" r:id="rId8" display="mailto:rhealana@rhealana.com" xr:uid="{FB616E24-80D2-4D50-A4C6-A3FE4042F962}"/>
    <hyperlink ref="N19" r:id="rId9" display="mailto:a0b0q84.s04749.us@samsclub.com" xr:uid="{09C0A088-01EB-4789-9904-0140423153CF}"/>
    <hyperlink ref="N30" r:id="rId10" display="mailto:sotees@hotmail.com" xr:uid="{7690D62C-CCDE-4668-AEC5-D167B652912A}"/>
    <hyperlink ref="N32" r:id="rId11" display="mailto:frostyourcakestudio@gmail.com" xr:uid="{41EF0038-6926-40E6-B205-C1A84213E35B}"/>
    <hyperlink ref="N46" r:id="rId12" display="mailto:drjosh@rhlittlerock.com" xr:uid="{B12B5777-EBAE-42DE-B5DA-D29CD3369836}"/>
    <hyperlink ref="N26" r:id="rId13" xr:uid="{715E6042-2B26-4464-98A7-86AB13E92264}"/>
    <hyperlink ref="N48" r:id="rId14" xr:uid="{7EAEB484-0390-4430-997E-5AE7658A743C}"/>
    <hyperlink ref="N49" r:id="rId15" xr:uid="{1A91C6ED-896E-48C9-91A5-5C3C3EBEA42D}"/>
    <hyperlink ref="N50" r:id="rId16" display="mailto:vsullivan@weaverbailey.com" xr:uid="{DFF12AF6-F640-4A87-9058-DB216ACFC973}"/>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DAB10-A3A4-486C-B461-69C37FE2E143}">
  <dimension ref="A1:AJ430"/>
  <sheetViews>
    <sheetView tabSelected="1" topLeftCell="P1" workbookViewId="0">
      <pane ySplit="1" topLeftCell="A106" activePane="bottomLeft" state="frozen"/>
      <selection pane="bottomLeft" activeCell="P109" sqref="P109"/>
    </sheetView>
  </sheetViews>
  <sheetFormatPr defaultColWidth="9.1796875" defaultRowHeight="14.5" x14ac:dyDescent="0.35"/>
  <cols>
    <col min="1" max="1" width="47.26953125" style="5" bestFit="1" customWidth="1"/>
    <col min="2" max="2" width="23.81640625" style="114" bestFit="1" customWidth="1"/>
    <col min="3" max="3" width="17.453125" style="114" bestFit="1" customWidth="1"/>
    <col min="4" max="4" width="21.54296875" style="114" bestFit="1" customWidth="1"/>
    <col min="5" max="5" width="15.453125" style="114" bestFit="1" customWidth="1"/>
    <col min="6" max="6" width="23.81640625" style="114" bestFit="1" customWidth="1"/>
    <col min="7" max="7" width="23.26953125" style="114" bestFit="1" customWidth="1"/>
    <col min="8" max="8" width="22.1796875" style="114" bestFit="1" customWidth="1"/>
    <col min="9" max="9" width="22" style="114" bestFit="1" customWidth="1"/>
    <col min="10" max="10" width="17.453125" style="114" bestFit="1" customWidth="1"/>
    <col min="11" max="11" width="10.453125" style="114" bestFit="1" customWidth="1"/>
    <col min="12" max="12" width="27.7265625" style="114" bestFit="1" customWidth="1"/>
    <col min="13" max="13" width="12.81640625" style="114" bestFit="1" customWidth="1"/>
    <col min="14" max="14" width="10.1796875" style="114" bestFit="1" customWidth="1"/>
    <col min="15" max="15" width="22.7265625" style="114" bestFit="1" customWidth="1"/>
    <col min="16" max="16" width="22.1796875" style="114" bestFit="1" customWidth="1"/>
    <col min="17" max="17" width="21.54296875" style="114" bestFit="1" customWidth="1"/>
    <col min="18" max="18" width="11.7265625" style="114" bestFit="1" customWidth="1"/>
    <col min="19" max="19" width="17.81640625" style="114" bestFit="1" customWidth="1"/>
    <col min="20" max="20" width="16.54296875" style="114" bestFit="1" customWidth="1"/>
    <col min="21" max="21" width="18.81640625" style="114" bestFit="1" customWidth="1"/>
    <col min="22" max="22" width="9.1796875" style="114" bestFit="1" customWidth="1"/>
    <col min="23" max="23" width="18.7265625" style="114" bestFit="1" customWidth="1"/>
    <col min="24" max="24" width="8" style="114" bestFit="1" customWidth="1"/>
    <col min="25" max="25" width="16.54296875" style="114" bestFit="1" customWidth="1"/>
    <col min="26" max="26" width="10.1796875" style="114" bestFit="1" customWidth="1"/>
    <col min="27" max="27" width="13.453125" style="114" bestFit="1" customWidth="1"/>
    <col min="28" max="28" width="16.7265625" style="114" bestFit="1" customWidth="1"/>
    <col min="29" max="29" width="27" style="114" bestFit="1" customWidth="1"/>
    <col min="30" max="30" width="20.54296875" style="114" bestFit="1" customWidth="1"/>
    <col min="31" max="31" width="9.1796875" style="252" bestFit="1" customWidth="1"/>
    <col min="32" max="32" width="11.1796875" style="252" bestFit="1" customWidth="1"/>
    <col min="33" max="33" width="10.1796875" style="252" bestFit="1" customWidth="1"/>
    <col min="34" max="35" width="11.1796875" style="114" bestFit="1" customWidth="1"/>
    <col min="36" max="36" width="33.7265625" style="5" customWidth="1"/>
    <col min="37" max="16384" width="9.1796875" style="5"/>
  </cols>
  <sheetData>
    <row r="1" spans="1:35" x14ac:dyDescent="0.35">
      <c r="A1" s="122" t="s">
        <v>2575</v>
      </c>
      <c r="B1" s="122" t="s">
        <v>0</v>
      </c>
      <c r="C1" s="122" t="s">
        <v>100</v>
      </c>
      <c r="D1" s="122" t="s">
        <v>474</v>
      </c>
      <c r="E1" s="122" t="s">
        <v>594</v>
      </c>
      <c r="F1" s="122" t="s">
        <v>620</v>
      </c>
      <c r="G1" s="122" t="s">
        <v>2576</v>
      </c>
      <c r="H1" s="122" t="s">
        <v>2577</v>
      </c>
      <c r="I1" s="122" t="s">
        <v>1243</v>
      </c>
      <c r="J1" s="122" t="s">
        <v>1262</v>
      </c>
      <c r="K1" s="122" t="s">
        <v>1330</v>
      </c>
      <c r="L1" s="122" t="s">
        <v>2578</v>
      </c>
      <c r="M1" s="122" t="s">
        <v>1485</v>
      </c>
      <c r="N1" s="122" t="s">
        <v>1524</v>
      </c>
      <c r="O1" s="122" t="s">
        <v>1553</v>
      </c>
      <c r="P1" s="122" t="s">
        <v>1564</v>
      </c>
      <c r="Q1" s="122" t="s">
        <v>2579</v>
      </c>
      <c r="R1" s="122" t="s">
        <v>1653</v>
      </c>
      <c r="S1" s="122" t="s">
        <v>1701</v>
      </c>
      <c r="T1" s="122" t="s">
        <v>1731</v>
      </c>
      <c r="U1" s="122" t="s">
        <v>1760</v>
      </c>
      <c r="V1" s="122" t="s">
        <v>2580</v>
      </c>
      <c r="W1" s="122" t="s">
        <v>1882</v>
      </c>
      <c r="X1" s="122" t="s">
        <v>2581</v>
      </c>
      <c r="Y1" s="122" t="s">
        <v>2112</v>
      </c>
      <c r="Z1" s="122" t="s">
        <v>2143</v>
      </c>
      <c r="AA1" s="122" t="s">
        <v>2582</v>
      </c>
      <c r="AB1" s="122" t="s">
        <v>2354</v>
      </c>
      <c r="AC1" s="122" t="s">
        <v>2507</v>
      </c>
      <c r="AD1" s="122" t="s">
        <v>2523</v>
      </c>
      <c r="AE1" s="122" t="s">
        <v>2583</v>
      </c>
      <c r="AF1" s="122" t="s">
        <v>2584</v>
      </c>
      <c r="AG1" s="122" t="s">
        <v>2585</v>
      </c>
      <c r="AH1" s="122" t="s">
        <v>2586</v>
      </c>
      <c r="AI1" s="122" t="s">
        <v>99</v>
      </c>
    </row>
    <row r="2" spans="1:35" s="249" customFormat="1" x14ac:dyDescent="0.35">
      <c r="A2" s="246" t="s">
        <v>989</v>
      </c>
      <c r="B2" s="247">
        <v>0</v>
      </c>
      <c r="C2" s="247">
        <v>0</v>
      </c>
      <c r="D2" s="247">
        <v>0</v>
      </c>
      <c r="E2" s="247">
        <v>0</v>
      </c>
      <c r="F2" s="247">
        <v>0</v>
      </c>
      <c r="G2" s="247">
        <v>500</v>
      </c>
      <c r="H2" s="247">
        <v>0</v>
      </c>
      <c r="I2" s="247">
        <v>0</v>
      </c>
      <c r="J2" s="247">
        <v>0</v>
      </c>
      <c r="K2" s="247">
        <v>0</v>
      </c>
      <c r="L2" s="247">
        <v>0</v>
      </c>
      <c r="M2" s="247">
        <v>0</v>
      </c>
      <c r="N2" s="247">
        <v>0</v>
      </c>
      <c r="O2" s="247">
        <v>0</v>
      </c>
      <c r="P2" s="247">
        <v>0</v>
      </c>
      <c r="Q2" s="247">
        <v>0</v>
      </c>
      <c r="R2" s="247">
        <v>0</v>
      </c>
      <c r="S2" s="247">
        <v>0</v>
      </c>
      <c r="T2" s="247">
        <v>0</v>
      </c>
      <c r="U2" s="247">
        <v>0</v>
      </c>
      <c r="V2" s="247">
        <v>0</v>
      </c>
      <c r="W2" s="247">
        <v>0</v>
      </c>
      <c r="X2" s="247">
        <v>0</v>
      </c>
      <c r="Y2" s="247">
        <v>0</v>
      </c>
      <c r="Z2" s="247">
        <v>0</v>
      </c>
      <c r="AA2" s="247">
        <v>0</v>
      </c>
      <c r="AB2" s="247">
        <v>0</v>
      </c>
      <c r="AC2" s="247">
        <v>0</v>
      </c>
      <c r="AD2" s="247">
        <v>0</v>
      </c>
      <c r="AE2" s="247">
        <v>0</v>
      </c>
      <c r="AF2" s="247">
        <v>0</v>
      </c>
      <c r="AG2" s="247">
        <v>350</v>
      </c>
      <c r="AH2" s="247">
        <v>0</v>
      </c>
      <c r="AI2" s="247">
        <f t="shared" ref="AI2:AI33" si="0">SUM(B2:AH2)</f>
        <v>850</v>
      </c>
    </row>
    <row r="3" spans="1:35" s="249" customFormat="1" x14ac:dyDescent="0.35">
      <c r="A3" s="246" t="s">
        <v>31</v>
      </c>
      <c r="B3" s="247">
        <v>3500</v>
      </c>
      <c r="C3" s="247">
        <v>15000</v>
      </c>
      <c r="D3" s="247">
        <v>0</v>
      </c>
      <c r="E3" s="247">
        <v>0</v>
      </c>
      <c r="F3" s="247">
        <v>1000</v>
      </c>
      <c r="G3" s="247">
        <v>1000</v>
      </c>
      <c r="H3" s="247">
        <v>0</v>
      </c>
      <c r="I3" s="247">
        <v>1000</v>
      </c>
      <c r="J3" s="247">
        <v>0</v>
      </c>
      <c r="K3" s="247">
        <v>0</v>
      </c>
      <c r="L3" s="247">
        <v>0</v>
      </c>
      <c r="M3" s="247">
        <v>3590</v>
      </c>
      <c r="N3" s="247">
        <v>1000</v>
      </c>
      <c r="O3" s="247">
        <v>1000</v>
      </c>
      <c r="P3" s="247">
        <v>3000</v>
      </c>
      <c r="Q3" s="247">
        <v>1000</v>
      </c>
      <c r="R3" s="247">
        <v>0</v>
      </c>
      <c r="S3" s="247">
        <v>3000</v>
      </c>
      <c r="T3" s="247">
        <v>0</v>
      </c>
      <c r="U3" s="247">
        <v>0</v>
      </c>
      <c r="V3" s="247">
        <v>0</v>
      </c>
      <c r="W3" s="247">
        <v>0</v>
      </c>
      <c r="X3" s="247">
        <v>0</v>
      </c>
      <c r="Y3" s="247">
        <v>0</v>
      </c>
      <c r="Z3" s="247">
        <v>10000</v>
      </c>
      <c r="AA3" s="247">
        <v>0</v>
      </c>
      <c r="AB3" s="247">
        <v>25000</v>
      </c>
      <c r="AC3" s="247">
        <v>0</v>
      </c>
      <c r="AD3" s="247">
        <v>2500</v>
      </c>
      <c r="AE3" s="248">
        <v>1000</v>
      </c>
      <c r="AF3" s="248">
        <v>3000</v>
      </c>
      <c r="AG3" s="248">
        <v>3000</v>
      </c>
      <c r="AH3" s="248">
        <v>0</v>
      </c>
      <c r="AI3" s="247">
        <f t="shared" si="0"/>
        <v>78590</v>
      </c>
    </row>
    <row r="4" spans="1:35" s="249" customFormat="1" x14ac:dyDescent="0.35">
      <c r="A4" s="246" t="s">
        <v>2286</v>
      </c>
      <c r="B4" s="247">
        <v>0</v>
      </c>
      <c r="C4" s="247">
        <v>0</v>
      </c>
      <c r="D4" s="247">
        <v>0</v>
      </c>
      <c r="E4" s="247">
        <v>0</v>
      </c>
      <c r="F4" s="247">
        <v>0</v>
      </c>
      <c r="G4" s="247">
        <v>0</v>
      </c>
      <c r="H4" s="247">
        <v>0</v>
      </c>
      <c r="I4" s="247">
        <v>0</v>
      </c>
      <c r="J4" s="247">
        <v>0</v>
      </c>
      <c r="K4" s="247">
        <v>0</v>
      </c>
      <c r="L4" s="247">
        <v>0</v>
      </c>
      <c r="M4" s="247">
        <v>0</v>
      </c>
      <c r="N4" s="247">
        <v>0</v>
      </c>
      <c r="O4" s="247">
        <v>0</v>
      </c>
      <c r="P4" s="247">
        <v>0</v>
      </c>
      <c r="Q4" s="247">
        <v>0</v>
      </c>
      <c r="R4" s="247">
        <v>0</v>
      </c>
      <c r="S4" s="247">
        <v>0</v>
      </c>
      <c r="T4" s="247">
        <v>0</v>
      </c>
      <c r="U4" s="247">
        <v>0</v>
      </c>
      <c r="V4" s="247">
        <v>0</v>
      </c>
      <c r="W4" s="247">
        <v>0</v>
      </c>
      <c r="X4" s="247">
        <v>0</v>
      </c>
      <c r="Y4" s="247">
        <v>0</v>
      </c>
      <c r="Z4" s="247">
        <v>0</v>
      </c>
      <c r="AA4" s="247">
        <v>450</v>
      </c>
      <c r="AB4" s="247">
        <v>0</v>
      </c>
      <c r="AC4" s="247">
        <v>0</v>
      </c>
      <c r="AD4" s="247">
        <v>0</v>
      </c>
      <c r="AE4" s="248">
        <v>0</v>
      </c>
      <c r="AF4" s="248">
        <v>0</v>
      </c>
      <c r="AG4" s="248">
        <v>350</v>
      </c>
      <c r="AH4" s="248">
        <v>0</v>
      </c>
      <c r="AI4" s="247">
        <f t="shared" si="0"/>
        <v>800</v>
      </c>
    </row>
    <row r="5" spans="1:35" s="249" customFormat="1" x14ac:dyDescent="0.35">
      <c r="A5" s="246" t="s">
        <v>906</v>
      </c>
      <c r="B5" s="247">
        <v>0</v>
      </c>
      <c r="C5" s="247">
        <v>0</v>
      </c>
      <c r="D5" s="247">
        <v>0</v>
      </c>
      <c r="E5" s="247">
        <v>0</v>
      </c>
      <c r="F5" s="247">
        <v>0</v>
      </c>
      <c r="G5" s="247">
        <v>500</v>
      </c>
      <c r="H5" s="247">
        <v>0</v>
      </c>
      <c r="I5" s="247">
        <v>0</v>
      </c>
      <c r="J5" s="247">
        <v>0</v>
      </c>
      <c r="K5" s="247">
        <v>0</v>
      </c>
      <c r="L5" s="247">
        <v>0</v>
      </c>
      <c r="M5" s="247">
        <v>0</v>
      </c>
      <c r="N5" s="247">
        <v>0</v>
      </c>
      <c r="O5" s="247">
        <v>0</v>
      </c>
      <c r="P5" s="247">
        <v>0</v>
      </c>
      <c r="Q5" s="247">
        <v>0</v>
      </c>
      <c r="R5" s="247">
        <v>0</v>
      </c>
      <c r="S5" s="247">
        <v>0</v>
      </c>
      <c r="T5" s="247">
        <v>0</v>
      </c>
      <c r="U5" s="247">
        <v>0</v>
      </c>
      <c r="V5" s="247">
        <v>0</v>
      </c>
      <c r="W5" s="247">
        <v>0</v>
      </c>
      <c r="X5" s="247">
        <v>0</v>
      </c>
      <c r="Y5" s="247">
        <v>0</v>
      </c>
      <c r="Z5" s="247">
        <v>0</v>
      </c>
      <c r="AA5" s="247">
        <v>0</v>
      </c>
      <c r="AB5" s="247">
        <v>0</v>
      </c>
      <c r="AC5" s="247">
        <v>0</v>
      </c>
      <c r="AD5" s="247">
        <v>0</v>
      </c>
      <c r="AE5" s="248">
        <v>0</v>
      </c>
      <c r="AF5" s="248">
        <v>0</v>
      </c>
      <c r="AG5" s="248">
        <v>350</v>
      </c>
      <c r="AH5" s="248">
        <v>0</v>
      </c>
      <c r="AI5" s="247">
        <f t="shared" si="0"/>
        <v>850</v>
      </c>
    </row>
    <row r="6" spans="1:35" s="249" customFormat="1" x14ac:dyDescent="0.35">
      <c r="A6" s="246" t="s">
        <v>108</v>
      </c>
      <c r="B6" s="247">
        <v>0</v>
      </c>
      <c r="C6" s="247">
        <v>1500</v>
      </c>
      <c r="D6" s="247">
        <v>5000</v>
      </c>
      <c r="E6" s="247">
        <v>0</v>
      </c>
      <c r="F6" s="247">
        <v>1050</v>
      </c>
      <c r="G6" s="247">
        <v>0</v>
      </c>
      <c r="H6" s="247">
        <v>0</v>
      </c>
      <c r="I6" s="247">
        <v>0</v>
      </c>
      <c r="J6" s="247">
        <v>0</v>
      </c>
      <c r="K6" s="247">
        <v>0</v>
      </c>
      <c r="L6" s="247">
        <v>0</v>
      </c>
      <c r="M6" s="247">
        <v>1795</v>
      </c>
      <c r="N6" s="247">
        <v>750</v>
      </c>
      <c r="O6" s="247">
        <v>0</v>
      </c>
      <c r="P6" s="247">
        <v>0</v>
      </c>
      <c r="Q6" s="247">
        <v>1000</v>
      </c>
      <c r="R6" s="247">
        <v>0</v>
      </c>
      <c r="S6" s="247">
        <v>0</v>
      </c>
      <c r="T6" s="247">
        <v>0</v>
      </c>
      <c r="U6" s="247">
        <v>0</v>
      </c>
      <c r="V6" s="247">
        <v>0</v>
      </c>
      <c r="W6" s="247">
        <v>10000</v>
      </c>
      <c r="X6" s="247">
        <v>0</v>
      </c>
      <c r="Y6" s="247">
        <v>0</v>
      </c>
      <c r="Z6" s="247">
        <v>0</v>
      </c>
      <c r="AA6" s="247">
        <v>0</v>
      </c>
      <c r="AB6" s="247">
        <v>0</v>
      </c>
      <c r="AC6" s="247">
        <v>0</v>
      </c>
      <c r="AD6" s="247">
        <v>0</v>
      </c>
      <c r="AE6" s="248">
        <v>0</v>
      </c>
      <c r="AF6" s="248">
        <v>1500</v>
      </c>
      <c r="AG6" s="248">
        <v>350</v>
      </c>
      <c r="AH6" s="248">
        <v>0</v>
      </c>
      <c r="AI6" s="247">
        <f t="shared" si="0"/>
        <v>22945</v>
      </c>
    </row>
    <row r="7" spans="1:35" s="249" customFormat="1" x14ac:dyDescent="0.35">
      <c r="A7" s="246" t="s">
        <v>479</v>
      </c>
      <c r="B7" s="247">
        <v>0</v>
      </c>
      <c r="C7" s="247">
        <v>0</v>
      </c>
      <c r="D7" s="247">
        <v>0</v>
      </c>
      <c r="E7" s="247">
        <v>0</v>
      </c>
      <c r="F7" s="247">
        <v>0</v>
      </c>
      <c r="G7" s="247">
        <v>500</v>
      </c>
      <c r="H7" s="247">
        <v>0</v>
      </c>
      <c r="I7" s="247">
        <v>0</v>
      </c>
      <c r="J7" s="247">
        <v>0</v>
      </c>
      <c r="K7" s="247">
        <v>0</v>
      </c>
      <c r="L7" s="247">
        <v>0</v>
      </c>
      <c r="M7" s="247">
        <v>0</v>
      </c>
      <c r="N7" s="247">
        <v>0</v>
      </c>
      <c r="O7" s="247">
        <v>0</v>
      </c>
      <c r="P7" s="247">
        <v>0</v>
      </c>
      <c r="Q7" s="247">
        <v>0</v>
      </c>
      <c r="R7" s="247">
        <v>0</v>
      </c>
      <c r="S7" s="247">
        <v>0</v>
      </c>
      <c r="T7" s="247">
        <v>1000</v>
      </c>
      <c r="U7" s="247">
        <v>0</v>
      </c>
      <c r="V7" s="247">
        <v>0</v>
      </c>
      <c r="W7" s="247">
        <v>0</v>
      </c>
      <c r="X7" s="247">
        <v>0</v>
      </c>
      <c r="Y7" s="247">
        <v>1000</v>
      </c>
      <c r="Z7" s="247">
        <v>0</v>
      </c>
      <c r="AA7" s="247">
        <v>450</v>
      </c>
      <c r="AB7" s="247">
        <v>0</v>
      </c>
      <c r="AC7" s="247">
        <v>0</v>
      </c>
      <c r="AD7" s="247">
        <v>0</v>
      </c>
      <c r="AE7" s="248">
        <v>0</v>
      </c>
      <c r="AF7" s="248">
        <v>0</v>
      </c>
      <c r="AG7" s="248">
        <v>860</v>
      </c>
      <c r="AH7" s="248">
        <v>0</v>
      </c>
      <c r="AI7" s="247">
        <f t="shared" si="0"/>
        <v>3810</v>
      </c>
    </row>
    <row r="8" spans="1:35" s="249" customFormat="1" x14ac:dyDescent="0.35">
      <c r="A8" s="246" t="s">
        <v>1784</v>
      </c>
      <c r="B8" s="247">
        <v>0</v>
      </c>
      <c r="C8" s="247">
        <v>0</v>
      </c>
      <c r="D8" s="247">
        <v>0</v>
      </c>
      <c r="E8" s="247">
        <v>0</v>
      </c>
      <c r="F8" s="247">
        <v>0</v>
      </c>
      <c r="G8" s="247">
        <v>0</v>
      </c>
      <c r="H8" s="247">
        <v>0</v>
      </c>
      <c r="I8" s="247">
        <v>0</v>
      </c>
      <c r="J8" s="247">
        <v>0</v>
      </c>
      <c r="K8" s="247">
        <v>0</v>
      </c>
      <c r="L8" s="247">
        <v>0</v>
      </c>
      <c r="M8" s="247">
        <v>0</v>
      </c>
      <c r="N8" s="247">
        <v>0</v>
      </c>
      <c r="O8" s="247">
        <v>0</v>
      </c>
      <c r="P8" s="247">
        <v>0</v>
      </c>
      <c r="Q8" s="247">
        <v>0</v>
      </c>
      <c r="R8" s="247">
        <v>0</v>
      </c>
      <c r="S8" s="247">
        <v>0</v>
      </c>
      <c r="T8" s="247">
        <v>0</v>
      </c>
      <c r="U8" s="247">
        <v>1500</v>
      </c>
      <c r="V8" s="247">
        <v>0</v>
      </c>
      <c r="W8" s="247">
        <v>0</v>
      </c>
      <c r="X8" s="247">
        <v>0</v>
      </c>
      <c r="Y8" s="247">
        <v>0</v>
      </c>
      <c r="Z8" s="247">
        <v>0</v>
      </c>
      <c r="AA8" s="247">
        <v>0</v>
      </c>
      <c r="AB8" s="247">
        <v>0</v>
      </c>
      <c r="AC8" s="247">
        <v>0</v>
      </c>
      <c r="AD8" s="247">
        <v>0</v>
      </c>
      <c r="AE8" s="248">
        <v>0</v>
      </c>
      <c r="AF8" s="248">
        <v>0</v>
      </c>
      <c r="AG8" s="248">
        <v>0</v>
      </c>
      <c r="AH8" s="248">
        <v>0</v>
      </c>
      <c r="AI8" s="247">
        <f t="shared" si="0"/>
        <v>1500</v>
      </c>
    </row>
    <row r="9" spans="1:35" s="249" customFormat="1" x14ac:dyDescent="0.35">
      <c r="A9" s="246" t="s">
        <v>748</v>
      </c>
      <c r="B9" s="247">
        <v>0</v>
      </c>
      <c r="C9" s="247">
        <v>0</v>
      </c>
      <c r="D9" s="247">
        <v>0</v>
      </c>
      <c r="E9" s="247">
        <v>0</v>
      </c>
      <c r="F9" s="247">
        <v>0</v>
      </c>
      <c r="G9" s="247">
        <v>0</v>
      </c>
      <c r="H9" s="247">
        <v>0</v>
      </c>
      <c r="I9" s="247">
        <v>0</v>
      </c>
      <c r="J9" s="247">
        <v>0</v>
      </c>
      <c r="K9" s="247">
        <v>0</v>
      </c>
      <c r="L9" s="247">
        <v>0</v>
      </c>
      <c r="M9" s="247">
        <v>0</v>
      </c>
      <c r="N9" s="247">
        <v>0</v>
      </c>
      <c r="O9" s="247">
        <v>0</v>
      </c>
      <c r="P9" s="247">
        <v>0</v>
      </c>
      <c r="Q9" s="247">
        <v>0</v>
      </c>
      <c r="R9" s="247">
        <v>0</v>
      </c>
      <c r="S9" s="247">
        <v>0</v>
      </c>
      <c r="T9" s="247">
        <v>1000</v>
      </c>
      <c r="U9" s="247">
        <v>0</v>
      </c>
      <c r="V9" s="247">
        <v>0</v>
      </c>
      <c r="W9" s="247">
        <v>0</v>
      </c>
      <c r="X9" s="247">
        <v>0</v>
      </c>
      <c r="Y9" s="247">
        <v>1000</v>
      </c>
      <c r="Z9" s="247">
        <v>0</v>
      </c>
      <c r="AA9" s="247">
        <v>0</v>
      </c>
      <c r="AB9" s="247">
        <v>0</v>
      </c>
      <c r="AC9" s="247">
        <v>0</v>
      </c>
      <c r="AD9" s="247">
        <v>0</v>
      </c>
      <c r="AE9" s="248">
        <v>0</v>
      </c>
      <c r="AF9" s="248">
        <v>0</v>
      </c>
      <c r="AG9" s="248">
        <v>725</v>
      </c>
      <c r="AH9" s="248">
        <v>0</v>
      </c>
      <c r="AI9" s="247">
        <f t="shared" si="0"/>
        <v>2725</v>
      </c>
    </row>
    <row r="10" spans="1:35" s="249" customFormat="1" x14ac:dyDescent="0.35">
      <c r="A10" s="145" t="s">
        <v>1433</v>
      </c>
      <c r="B10" s="247">
        <v>0</v>
      </c>
      <c r="C10" s="247">
        <v>0</v>
      </c>
      <c r="D10" s="247">
        <v>0</v>
      </c>
      <c r="E10" s="247">
        <v>0</v>
      </c>
      <c r="F10" s="247">
        <v>0</v>
      </c>
      <c r="G10" s="247">
        <v>0</v>
      </c>
      <c r="H10" s="247">
        <v>0</v>
      </c>
      <c r="I10" s="247">
        <v>0</v>
      </c>
      <c r="J10" s="247">
        <v>0</v>
      </c>
      <c r="K10" s="247">
        <v>0</v>
      </c>
      <c r="L10" s="247">
        <v>1500</v>
      </c>
      <c r="M10" s="247">
        <v>0</v>
      </c>
      <c r="N10" s="247">
        <v>0</v>
      </c>
      <c r="O10" s="247">
        <v>0</v>
      </c>
      <c r="P10" s="247">
        <v>0</v>
      </c>
      <c r="Q10" s="247">
        <v>0</v>
      </c>
      <c r="R10" s="247">
        <v>0</v>
      </c>
      <c r="S10" s="247">
        <v>0</v>
      </c>
      <c r="T10" s="247">
        <v>0</v>
      </c>
      <c r="U10" s="247">
        <v>0</v>
      </c>
      <c r="V10" s="247">
        <v>0</v>
      </c>
      <c r="W10" s="247">
        <v>0</v>
      </c>
      <c r="X10" s="247">
        <v>0</v>
      </c>
      <c r="Y10" s="247">
        <v>0</v>
      </c>
      <c r="Z10" s="247">
        <v>0</v>
      </c>
      <c r="AA10" s="247">
        <v>0</v>
      </c>
      <c r="AB10" s="247">
        <v>7500</v>
      </c>
      <c r="AC10" s="247">
        <v>0</v>
      </c>
      <c r="AD10" s="247">
        <v>0</v>
      </c>
      <c r="AE10" s="248">
        <v>0</v>
      </c>
      <c r="AF10" s="248">
        <v>0</v>
      </c>
      <c r="AG10" s="248">
        <v>1550</v>
      </c>
      <c r="AH10" s="248">
        <v>0</v>
      </c>
      <c r="AI10" s="247">
        <f t="shared" si="0"/>
        <v>10550</v>
      </c>
    </row>
    <row r="11" spans="1:35" s="249" customFormat="1" x14ac:dyDescent="0.35">
      <c r="A11" s="145" t="s">
        <v>2197</v>
      </c>
      <c r="B11" s="247">
        <v>0</v>
      </c>
      <c r="C11" s="247">
        <v>0</v>
      </c>
      <c r="D11" s="247">
        <v>0</v>
      </c>
      <c r="E11" s="247">
        <v>0</v>
      </c>
      <c r="F11" s="247">
        <v>0</v>
      </c>
      <c r="G11" s="247">
        <v>0</v>
      </c>
      <c r="H11" s="247">
        <v>0</v>
      </c>
      <c r="I11" s="247">
        <v>0</v>
      </c>
      <c r="J11" s="247">
        <v>0</v>
      </c>
      <c r="K11" s="247">
        <v>0</v>
      </c>
      <c r="L11" s="247">
        <v>0</v>
      </c>
      <c r="M11" s="247">
        <v>0</v>
      </c>
      <c r="N11" s="247">
        <v>0</v>
      </c>
      <c r="O11" s="247">
        <v>0</v>
      </c>
      <c r="P11" s="247">
        <v>0</v>
      </c>
      <c r="Q11" s="247">
        <v>0</v>
      </c>
      <c r="R11" s="247">
        <v>0</v>
      </c>
      <c r="S11" s="247">
        <v>0</v>
      </c>
      <c r="T11" s="247">
        <v>0</v>
      </c>
      <c r="U11" s="247">
        <v>0</v>
      </c>
      <c r="V11" s="247">
        <v>0</v>
      </c>
      <c r="W11" s="247">
        <v>0</v>
      </c>
      <c r="X11" s="247">
        <v>0</v>
      </c>
      <c r="Y11" s="247">
        <v>0</v>
      </c>
      <c r="Z11" s="247">
        <v>0</v>
      </c>
      <c r="AA11" s="247">
        <v>750</v>
      </c>
      <c r="AB11" s="247">
        <v>0</v>
      </c>
      <c r="AC11" s="247">
        <v>0</v>
      </c>
      <c r="AD11" s="247">
        <v>0</v>
      </c>
      <c r="AE11" s="248">
        <v>0</v>
      </c>
      <c r="AF11" s="248">
        <v>0</v>
      </c>
      <c r="AG11" s="248">
        <v>0</v>
      </c>
      <c r="AH11" s="248">
        <v>0</v>
      </c>
      <c r="AI11" s="247">
        <f t="shared" si="0"/>
        <v>750</v>
      </c>
    </row>
    <row r="12" spans="1:35" s="249" customFormat="1" x14ac:dyDescent="0.35">
      <c r="A12" s="246" t="s">
        <v>114</v>
      </c>
      <c r="B12" s="247">
        <v>0</v>
      </c>
      <c r="C12" s="247">
        <v>0</v>
      </c>
      <c r="D12" s="247">
        <v>0</v>
      </c>
      <c r="E12" s="247">
        <v>0</v>
      </c>
      <c r="F12" s="247">
        <v>0</v>
      </c>
      <c r="G12" s="247">
        <v>0</v>
      </c>
      <c r="H12" s="247">
        <v>7500</v>
      </c>
      <c r="I12" s="247">
        <v>0</v>
      </c>
      <c r="J12" s="247">
        <v>0</v>
      </c>
      <c r="K12" s="247">
        <v>0</v>
      </c>
      <c r="L12" s="247">
        <v>0</v>
      </c>
      <c r="M12" s="247">
        <v>1795</v>
      </c>
      <c r="N12" s="247">
        <v>0</v>
      </c>
      <c r="O12" s="247">
        <v>0</v>
      </c>
      <c r="P12" s="247">
        <v>0</v>
      </c>
      <c r="Q12" s="247">
        <v>0</v>
      </c>
      <c r="R12" s="247">
        <v>0</v>
      </c>
      <c r="S12" s="247">
        <v>0</v>
      </c>
      <c r="T12" s="247">
        <v>0</v>
      </c>
      <c r="U12" s="247">
        <v>0</v>
      </c>
      <c r="V12" s="247">
        <v>0</v>
      </c>
      <c r="W12" s="247">
        <v>0</v>
      </c>
      <c r="X12" s="247">
        <v>0</v>
      </c>
      <c r="Y12" s="247">
        <v>0</v>
      </c>
      <c r="Z12" s="247">
        <v>0</v>
      </c>
      <c r="AA12" s="247">
        <v>450</v>
      </c>
      <c r="AB12" s="247">
        <v>10000</v>
      </c>
      <c r="AC12" s="247">
        <v>0</v>
      </c>
      <c r="AD12" s="247">
        <v>0</v>
      </c>
      <c r="AE12" s="248">
        <v>0</v>
      </c>
      <c r="AF12" s="248">
        <v>0</v>
      </c>
      <c r="AG12" s="248">
        <v>480</v>
      </c>
      <c r="AH12" s="248">
        <v>0</v>
      </c>
      <c r="AI12" s="247">
        <f t="shared" si="0"/>
        <v>20225</v>
      </c>
    </row>
    <row r="13" spans="1:35" s="249" customFormat="1" x14ac:dyDescent="0.35">
      <c r="A13" s="246" t="s">
        <v>754</v>
      </c>
      <c r="B13" s="247">
        <v>0</v>
      </c>
      <c r="C13" s="247">
        <v>0</v>
      </c>
      <c r="D13" s="247">
        <v>0</v>
      </c>
      <c r="E13" s="247">
        <v>0</v>
      </c>
      <c r="F13" s="247">
        <v>0</v>
      </c>
      <c r="G13" s="247">
        <v>1000</v>
      </c>
      <c r="H13" s="247">
        <v>0</v>
      </c>
      <c r="I13" s="247">
        <v>0</v>
      </c>
      <c r="J13" s="247">
        <v>0</v>
      </c>
      <c r="K13" s="247">
        <v>0</v>
      </c>
      <c r="L13" s="247">
        <v>0</v>
      </c>
      <c r="M13" s="247">
        <v>0</v>
      </c>
      <c r="N13" s="247">
        <v>0</v>
      </c>
      <c r="O13" s="247">
        <v>0</v>
      </c>
      <c r="P13" s="247">
        <v>0</v>
      </c>
      <c r="Q13" s="247">
        <v>1000</v>
      </c>
      <c r="R13" s="247">
        <v>0</v>
      </c>
      <c r="S13" s="247">
        <v>0</v>
      </c>
      <c r="T13" s="247">
        <v>0</v>
      </c>
      <c r="U13" s="247">
        <v>0</v>
      </c>
      <c r="V13" s="247">
        <v>0</v>
      </c>
      <c r="W13" s="247">
        <v>0</v>
      </c>
      <c r="X13" s="247">
        <v>0</v>
      </c>
      <c r="Y13" s="247">
        <v>0</v>
      </c>
      <c r="Z13" s="247">
        <v>0</v>
      </c>
      <c r="AA13" s="247">
        <v>0</v>
      </c>
      <c r="AB13" s="247">
        <v>0</v>
      </c>
      <c r="AC13" s="247">
        <v>0</v>
      </c>
      <c r="AD13" s="247">
        <v>0</v>
      </c>
      <c r="AE13" s="248">
        <v>0</v>
      </c>
      <c r="AF13" s="248">
        <v>0</v>
      </c>
      <c r="AG13" s="248">
        <v>350</v>
      </c>
      <c r="AH13" s="248">
        <v>0</v>
      </c>
      <c r="AI13" s="247">
        <f t="shared" si="0"/>
        <v>2350</v>
      </c>
    </row>
    <row r="14" spans="1:35" s="249" customFormat="1" x14ac:dyDescent="0.35">
      <c r="A14" s="246" t="s">
        <v>431</v>
      </c>
      <c r="B14" s="247">
        <v>0</v>
      </c>
      <c r="C14" s="247">
        <v>1500</v>
      </c>
      <c r="D14" s="247">
        <v>0</v>
      </c>
      <c r="E14" s="247">
        <v>0</v>
      </c>
      <c r="F14" s="247">
        <v>0</v>
      </c>
      <c r="G14" s="247">
        <v>0</v>
      </c>
      <c r="H14" s="247">
        <v>0</v>
      </c>
      <c r="I14" s="247">
        <v>0</v>
      </c>
      <c r="J14" s="247">
        <v>0</v>
      </c>
      <c r="K14" s="247">
        <v>0</v>
      </c>
      <c r="L14" s="247">
        <v>0</v>
      </c>
      <c r="M14" s="247">
        <v>0</v>
      </c>
      <c r="N14" s="247">
        <v>0</v>
      </c>
      <c r="O14" s="247">
        <v>0</v>
      </c>
      <c r="P14" s="247">
        <v>0</v>
      </c>
      <c r="Q14" s="247">
        <v>1000</v>
      </c>
      <c r="R14" s="247">
        <v>0</v>
      </c>
      <c r="S14" s="247">
        <v>0</v>
      </c>
      <c r="T14" s="247">
        <v>0</v>
      </c>
      <c r="U14" s="247">
        <v>15000</v>
      </c>
      <c r="V14" s="247">
        <v>0</v>
      </c>
      <c r="W14" s="247">
        <v>0</v>
      </c>
      <c r="X14" s="247">
        <v>0</v>
      </c>
      <c r="Y14" s="247">
        <v>0</v>
      </c>
      <c r="Z14" s="247">
        <v>0</v>
      </c>
      <c r="AA14" s="247">
        <v>0</v>
      </c>
      <c r="AB14" s="247">
        <v>0</v>
      </c>
      <c r="AC14" s="247">
        <v>0</v>
      </c>
      <c r="AD14" s="247">
        <v>0</v>
      </c>
      <c r="AE14" s="248">
        <v>0</v>
      </c>
      <c r="AF14" s="248">
        <v>0</v>
      </c>
      <c r="AG14" s="248">
        <v>650</v>
      </c>
      <c r="AH14" s="248">
        <v>0</v>
      </c>
      <c r="AI14" s="247">
        <f t="shared" si="0"/>
        <v>18150</v>
      </c>
    </row>
    <row r="15" spans="1:35" s="249" customFormat="1" x14ac:dyDescent="0.35">
      <c r="A15" s="246" t="s">
        <v>2587</v>
      </c>
      <c r="B15" s="247">
        <v>0</v>
      </c>
      <c r="C15" s="247">
        <v>0</v>
      </c>
      <c r="D15" s="247">
        <v>0</v>
      </c>
      <c r="E15" s="247">
        <v>0</v>
      </c>
      <c r="F15" s="247">
        <v>0</v>
      </c>
      <c r="G15" s="247">
        <v>530</v>
      </c>
      <c r="H15" s="247">
        <v>0</v>
      </c>
      <c r="I15" s="247">
        <v>0</v>
      </c>
      <c r="J15" s="247">
        <v>0</v>
      </c>
      <c r="K15" s="247">
        <v>0</v>
      </c>
      <c r="L15" s="247">
        <v>0</v>
      </c>
      <c r="M15" s="247">
        <v>0</v>
      </c>
      <c r="N15" s="247">
        <v>0</v>
      </c>
      <c r="O15" s="247">
        <v>0</v>
      </c>
      <c r="P15" s="247">
        <v>0</v>
      </c>
      <c r="Q15" s="247">
        <v>0</v>
      </c>
      <c r="R15" s="247">
        <v>0</v>
      </c>
      <c r="S15" s="247">
        <v>0</v>
      </c>
      <c r="T15" s="247">
        <v>0</v>
      </c>
      <c r="U15" s="247">
        <v>0</v>
      </c>
      <c r="V15" s="247">
        <v>0</v>
      </c>
      <c r="W15" s="247">
        <v>0</v>
      </c>
      <c r="X15" s="247">
        <v>0</v>
      </c>
      <c r="Y15" s="247">
        <v>0</v>
      </c>
      <c r="Z15" s="247">
        <v>0</v>
      </c>
      <c r="AA15" s="247">
        <v>0</v>
      </c>
      <c r="AB15" s="247">
        <v>0</v>
      </c>
      <c r="AC15" s="247">
        <v>0</v>
      </c>
      <c r="AD15" s="247">
        <v>0</v>
      </c>
      <c r="AE15" s="248">
        <v>0</v>
      </c>
      <c r="AF15" s="248">
        <v>0</v>
      </c>
      <c r="AG15" s="248">
        <v>350</v>
      </c>
      <c r="AH15" s="248">
        <v>0</v>
      </c>
      <c r="AI15" s="247">
        <f t="shared" si="0"/>
        <v>880</v>
      </c>
    </row>
    <row r="16" spans="1:35" s="249" customFormat="1" x14ac:dyDescent="0.35">
      <c r="A16" s="246" t="s">
        <v>531</v>
      </c>
      <c r="B16" s="247">
        <v>0</v>
      </c>
      <c r="C16" s="247">
        <v>0</v>
      </c>
      <c r="D16" s="247">
        <v>350</v>
      </c>
      <c r="E16" s="247">
        <v>0</v>
      </c>
      <c r="F16" s="247">
        <v>350</v>
      </c>
      <c r="G16" s="247">
        <v>0</v>
      </c>
      <c r="H16" s="247">
        <v>0</v>
      </c>
      <c r="I16" s="247">
        <v>0</v>
      </c>
      <c r="J16" s="247">
        <v>0</v>
      </c>
      <c r="K16" s="247">
        <v>1495</v>
      </c>
      <c r="L16" s="247">
        <v>0</v>
      </c>
      <c r="M16" s="247">
        <v>1795</v>
      </c>
      <c r="N16" s="247">
        <v>0</v>
      </c>
      <c r="O16" s="247">
        <v>0</v>
      </c>
      <c r="P16" s="247">
        <v>0</v>
      </c>
      <c r="Q16" s="247">
        <v>0</v>
      </c>
      <c r="R16" s="247">
        <v>0</v>
      </c>
      <c r="S16" s="247">
        <v>0</v>
      </c>
      <c r="T16" s="247">
        <v>0</v>
      </c>
      <c r="U16" s="247">
        <v>0</v>
      </c>
      <c r="V16" s="247">
        <v>0</v>
      </c>
      <c r="W16" s="247">
        <v>0</v>
      </c>
      <c r="X16" s="247">
        <v>0</v>
      </c>
      <c r="Y16" s="247">
        <v>0</v>
      </c>
      <c r="Z16" s="247">
        <v>750</v>
      </c>
      <c r="AA16" s="247">
        <v>450</v>
      </c>
      <c r="AB16" s="247">
        <v>3500</v>
      </c>
      <c r="AC16" s="247">
        <v>0</v>
      </c>
      <c r="AD16" s="247">
        <v>0</v>
      </c>
      <c r="AE16" s="248">
        <v>0</v>
      </c>
      <c r="AF16" s="248">
        <v>0</v>
      </c>
      <c r="AG16" s="248">
        <v>1000</v>
      </c>
      <c r="AH16" s="248">
        <v>0</v>
      </c>
      <c r="AI16" s="247">
        <f t="shared" si="0"/>
        <v>9690</v>
      </c>
    </row>
    <row r="17" spans="1:35" s="249" customFormat="1" x14ac:dyDescent="0.35">
      <c r="A17" s="246" t="s">
        <v>727</v>
      </c>
      <c r="B17" s="247">
        <v>0</v>
      </c>
      <c r="C17" s="247">
        <v>0</v>
      </c>
      <c r="D17" s="247">
        <v>0</v>
      </c>
      <c r="E17" s="247">
        <v>0</v>
      </c>
      <c r="F17" s="247">
        <v>0</v>
      </c>
      <c r="G17" s="247">
        <v>3000</v>
      </c>
      <c r="H17" s="247">
        <v>0</v>
      </c>
      <c r="I17" s="247">
        <v>0</v>
      </c>
      <c r="J17" s="247">
        <v>0</v>
      </c>
      <c r="K17" s="247">
        <v>2065</v>
      </c>
      <c r="L17" s="247">
        <v>0</v>
      </c>
      <c r="M17" s="247">
        <v>0</v>
      </c>
      <c r="N17" s="247">
        <v>0</v>
      </c>
      <c r="O17" s="247">
        <v>0</v>
      </c>
      <c r="P17" s="247">
        <v>0</v>
      </c>
      <c r="Q17" s="247">
        <v>0</v>
      </c>
      <c r="R17" s="247">
        <v>0</v>
      </c>
      <c r="S17" s="247">
        <v>0</v>
      </c>
      <c r="T17" s="247">
        <v>0</v>
      </c>
      <c r="U17" s="247">
        <v>1000</v>
      </c>
      <c r="V17" s="247">
        <v>0</v>
      </c>
      <c r="W17" s="247">
        <v>2500</v>
      </c>
      <c r="X17" s="247">
        <v>0</v>
      </c>
      <c r="Y17" s="247">
        <v>0</v>
      </c>
      <c r="Z17" s="247">
        <v>0</v>
      </c>
      <c r="AA17" s="247">
        <v>4500</v>
      </c>
      <c r="AB17" s="247">
        <v>4500</v>
      </c>
      <c r="AC17" s="247">
        <v>0</v>
      </c>
      <c r="AD17" s="247">
        <v>0</v>
      </c>
      <c r="AE17" s="248">
        <v>0</v>
      </c>
      <c r="AF17" s="248">
        <v>0</v>
      </c>
      <c r="AG17" s="248">
        <v>300</v>
      </c>
      <c r="AH17" s="248">
        <v>0</v>
      </c>
      <c r="AI17" s="247">
        <f t="shared" si="0"/>
        <v>17865</v>
      </c>
    </row>
    <row r="18" spans="1:35" s="249" customFormat="1" x14ac:dyDescent="0.35">
      <c r="A18" s="246" t="s">
        <v>2588</v>
      </c>
      <c r="B18" s="247">
        <v>0</v>
      </c>
      <c r="C18" s="247">
        <v>0</v>
      </c>
      <c r="D18" s="247">
        <v>0</v>
      </c>
      <c r="E18" s="247">
        <v>0</v>
      </c>
      <c r="F18" s="247">
        <v>0</v>
      </c>
      <c r="G18" s="247">
        <v>0</v>
      </c>
      <c r="H18" s="247">
        <v>0</v>
      </c>
      <c r="I18" s="247">
        <v>0</v>
      </c>
      <c r="J18" s="247">
        <v>0</v>
      </c>
      <c r="K18" s="247">
        <v>0</v>
      </c>
      <c r="L18" s="247">
        <v>0</v>
      </c>
      <c r="M18" s="247">
        <v>0</v>
      </c>
      <c r="N18" s="247">
        <v>0</v>
      </c>
      <c r="O18" s="247">
        <v>0</v>
      </c>
      <c r="P18" s="247">
        <v>0</v>
      </c>
      <c r="Q18" s="247">
        <v>0</v>
      </c>
      <c r="R18" s="247">
        <v>0</v>
      </c>
      <c r="S18" s="247">
        <v>0</v>
      </c>
      <c r="T18" s="247">
        <v>0</v>
      </c>
      <c r="U18" s="247">
        <v>0</v>
      </c>
      <c r="V18" s="247">
        <v>0</v>
      </c>
      <c r="W18" s="247">
        <v>0</v>
      </c>
      <c r="X18" s="247">
        <v>0</v>
      </c>
      <c r="Y18" s="247">
        <v>0</v>
      </c>
      <c r="Z18" s="247">
        <v>0</v>
      </c>
      <c r="AA18" s="247">
        <v>0</v>
      </c>
      <c r="AB18" s="247">
        <v>0</v>
      </c>
      <c r="AC18" s="247">
        <v>0</v>
      </c>
      <c r="AD18" s="247">
        <v>0</v>
      </c>
      <c r="AE18" s="248">
        <v>0</v>
      </c>
      <c r="AF18" s="248">
        <v>0</v>
      </c>
      <c r="AG18" s="248">
        <v>350</v>
      </c>
      <c r="AH18" s="248">
        <v>0</v>
      </c>
      <c r="AI18" s="247">
        <f t="shared" si="0"/>
        <v>350</v>
      </c>
    </row>
    <row r="19" spans="1:35" s="249" customFormat="1" x14ac:dyDescent="0.35">
      <c r="A19" s="246" t="s">
        <v>2589</v>
      </c>
      <c r="B19" s="247">
        <v>0</v>
      </c>
      <c r="C19" s="247">
        <v>0</v>
      </c>
      <c r="D19" s="247">
        <v>0</v>
      </c>
      <c r="E19" s="247">
        <v>0</v>
      </c>
      <c r="F19" s="247">
        <v>0</v>
      </c>
      <c r="G19" s="247">
        <v>500</v>
      </c>
      <c r="H19" s="247">
        <v>0</v>
      </c>
      <c r="I19" s="247">
        <v>0</v>
      </c>
      <c r="J19" s="247">
        <v>0</v>
      </c>
      <c r="K19" s="247">
        <v>0</v>
      </c>
      <c r="L19" s="247">
        <v>0</v>
      </c>
      <c r="M19" s="247">
        <v>0</v>
      </c>
      <c r="N19" s="247">
        <v>0</v>
      </c>
      <c r="O19" s="247">
        <v>0</v>
      </c>
      <c r="P19" s="247">
        <v>0</v>
      </c>
      <c r="Q19" s="247">
        <v>0</v>
      </c>
      <c r="R19" s="247">
        <v>0</v>
      </c>
      <c r="S19" s="247">
        <v>0</v>
      </c>
      <c r="T19" s="247">
        <v>0</v>
      </c>
      <c r="U19" s="247">
        <v>0</v>
      </c>
      <c r="V19" s="247">
        <v>0</v>
      </c>
      <c r="W19" s="247">
        <v>0</v>
      </c>
      <c r="X19" s="247">
        <v>0</v>
      </c>
      <c r="Y19" s="247">
        <v>0</v>
      </c>
      <c r="Z19" s="247">
        <v>0</v>
      </c>
      <c r="AA19" s="247">
        <v>0</v>
      </c>
      <c r="AB19" s="247">
        <v>0</v>
      </c>
      <c r="AC19" s="247">
        <v>0</v>
      </c>
      <c r="AD19" s="247">
        <v>0</v>
      </c>
      <c r="AE19" s="248">
        <v>0</v>
      </c>
      <c r="AF19" s="248">
        <v>0</v>
      </c>
      <c r="AG19" s="248">
        <v>0</v>
      </c>
      <c r="AH19" s="248">
        <v>0</v>
      </c>
      <c r="AI19" s="247">
        <f t="shared" si="0"/>
        <v>500</v>
      </c>
    </row>
    <row r="20" spans="1:35" s="249" customFormat="1" x14ac:dyDescent="0.35">
      <c r="A20" s="246" t="s">
        <v>2389</v>
      </c>
      <c r="B20" s="247">
        <v>0</v>
      </c>
      <c r="C20" s="247">
        <v>0</v>
      </c>
      <c r="D20" s="247">
        <v>0</v>
      </c>
      <c r="E20" s="247">
        <v>0</v>
      </c>
      <c r="F20" s="247">
        <v>0</v>
      </c>
      <c r="G20" s="247">
        <v>0</v>
      </c>
      <c r="H20" s="247">
        <v>0</v>
      </c>
      <c r="I20" s="247">
        <v>0</v>
      </c>
      <c r="J20" s="247">
        <v>0</v>
      </c>
      <c r="K20" s="247">
        <v>0</v>
      </c>
      <c r="L20" s="247">
        <v>0</v>
      </c>
      <c r="M20" s="247">
        <v>0</v>
      </c>
      <c r="N20" s="247">
        <v>0</v>
      </c>
      <c r="O20" s="247">
        <v>0</v>
      </c>
      <c r="P20" s="247">
        <v>0</v>
      </c>
      <c r="Q20" s="247">
        <v>0</v>
      </c>
      <c r="R20" s="247">
        <v>0</v>
      </c>
      <c r="S20" s="247">
        <v>0</v>
      </c>
      <c r="T20" s="247">
        <v>0</v>
      </c>
      <c r="U20" s="247">
        <v>0</v>
      </c>
      <c r="V20" s="247">
        <v>0</v>
      </c>
      <c r="W20" s="247">
        <v>0</v>
      </c>
      <c r="X20" s="247">
        <v>0</v>
      </c>
      <c r="Y20" s="247">
        <v>0</v>
      </c>
      <c r="Z20" s="247">
        <v>0</v>
      </c>
      <c r="AA20" s="247">
        <v>0</v>
      </c>
      <c r="AB20" s="247">
        <v>3500</v>
      </c>
      <c r="AC20" s="247">
        <v>0</v>
      </c>
      <c r="AD20" s="247">
        <v>0</v>
      </c>
      <c r="AE20" s="248">
        <v>0</v>
      </c>
      <c r="AF20" s="248">
        <v>0</v>
      </c>
      <c r="AG20" s="248">
        <v>0</v>
      </c>
      <c r="AH20" s="248">
        <v>0</v>
      </c>
      <c r="AI20" s="247">
        <f t="shared" si="0"/>
        <v>3500</v>
      </c>
    </row>
    <row r="21" spans="1:35" s="249" customFormat="1" x14ac:dyDescent="0.35">
      <c r="A21" s="246" t="s">
        <v>761</v>
      </c>
      <c r="B21" s="247">
        <v>0</v>
      </c>
      <c r="C21" s="247">
        <v>0</v>
      </c>
      <c r="D21" s="247">
        <v>0</v>
      </c>
      <c r="E21" s="247">
        <v>0</v>
      </c>
      <c r="F21" s="247">
        <v>0</v>
      </c>
      <c r="G21" s="247">
        <v>1000</v>
      </c>
      <c r="H21" s="247">
        <v>0</v>
      </c>
      <c r="I21" s="247">
        <v>0</v>
      </c>
      <c r="J21" s="247">
        <v>0</v>
      </c>
      <c r="K21" s="247">
        <v>0</v>
      </c>
      <c r="L21" s="247">
        <v>0</v>
      </c>
      <c r="M21" s="247">
        <v>0</v>
      </c>
      <c r="N21" s="247">
        <v>0</v>
      </c>
      <c r="O21" s="247">
        <v>0</v>
      </c>
      <c r="P21" s="247">
        <v>0</v>
      </c>
      <c r="Q21" s="247">
        <v>0</v>
      </c>
      <c r="R21" s="247">
        <v>0</v>
      </c>
      <c r="S21" s="247">
        <v>0</v>
      </c>
      <c r="T21" s="247">
        <v>0</v>
      </c>
      <c r="U21" s="247">
        <v>0</v>
      </c>
      <c r="V21" s="247">
        <v>0</v>
      </c>
      <c r="W21" s="247">
        <v>0</v>
      </c>
      <c r="X21" s="247">
        <v>0</v>
      </c>
      <c r="Y21" s="247">
        <v>0</v>
      </c>
      <c r="Z21" s="247">
        <v>0</v>
      </c>
      <c r="AA21" s="247">
        <v>0</v>
      </c>
      <c r="AB21" s="247">
        <v>0</v>
      </c>
      <c r="AC21" s="247">
        <v>0</v>
      </c>
      <c r="AD21" s="247">
        <v>0</v>
      </c>
      <c r="AE21" s="248">
        <v>0</v>
      </c>
      <c r="AF21" s="248">
        <v>0</v>
      </c>
      <c r="AG21" s="248">
        <v>350</v>
      </c>
      <c r="AH21" s="248">
        <v>0</v>
      </c>
      <c r="AI21" s="247">
        <f t="shared" si="0"/>
        <v>1350</v>
      </c>
    </row>
    <row r="22" spans="1:35" s="249" customFormat="1" x14ac:dyDescent="0.35">
      <c r="A22" s="246" t="s">
        <v>2198</v>
      </c>
      <c r="B22" s="247">
        <v>0</v>
      </c>
      <c r="C22" s="247">
        <v>0</v>
      </c>
      <c r="D22" s="247">
        <v>0</v>
      </c>
      <c r="E22" s="247">
        <v>0</v>
      </c>
      <c r="F22" s="247">
        <v>0</v>
      </c>
      <c r="G22" s="247">
        <v>0</v>
      </c>
      <c r="H22" s="247">
        <v>0</v>
      </c>
      <c r="I22" s="247">
        <v>0</v>
      </c>
      <c r="J22" s="247">
        <v>0</v>
      </c>
      <c r="K22" s="247">
        <v>0</v>
      </c>
      <c r="L22" s="247">
        <v>0</v>
      </c>
      <c r="M22" s="247">
        <v>0</v>
      </c>
      <c r="N22" s="247">
        <v>0</v>
      </c>
      <c r="O22" s="247">
        <v>0</v>
      </c>
      <c r="P22" s="247">
        <v>0</v>
      </c>
      <c r="Q22" s="247">
        <v>0</v>
      </c>
      <c r="R22" s="247">
        <v>0</v>
      </c>
      <c r="S22" s="247">
        <v>0</v>
      </c>
      <c r="T22" s="247">
        <v>0</v>
      </c>
      <c r="U22" s="247">
        <v>0</v>
      </c>
      <c r="V22" s="247">
        <v>0</v>
      </c>
      <c r="W22" s="247">
        <v>0</v>
      </c>
      <c r="X22" s="247">
        <v>0</v>
      </c>
      <c r="Y22" s="247">
        <v>0</v>
      </c>
      <c r="Z22" s="247">
        <v>0</v>
      </c>
      <c r="AA22" s="247">
        <v>450</v>
      </c>
      <c r="AB22" s="247">
        <v>0</v>
      </c>
      <c r="AC22" s="247">
        <v>0</v>
      </c>
      <c r="AD22" s="247">
        <v>0</v>
      </c>
      <c r="AE22" s="248">
        <v>0</v>
      </c>
      <c r="AF22" s="248">
        <v>0</v>
      </c>
      <c r="AG22" s="248">
        <v>430</v>
      </c>
      <c r="AH22" s="248">
        <v>0</v>
      </c>
      <c r="AI22" s="247">
        <f t="shared" si="0"/>
        <v>880</v>
      </c>
    </row>
    <row r="23" spans="1:35" s="246" customFormat="1" x14ac:dyDescent="0.35">
      <c r="A23" s="246" t="s">
        <v>1137</v>
      </c>
      <c r="B23" s="247">
        <v>0</v>
      </c>
      <c r="C23" s="247">
        <v>2850</v>
      </c>
      <c r="D23" s="247">
        <v>0</v>
      </c>
      <c r="E23" s="247">
        <v>0</v>
      </c>
      <c r="F23" s="247">
        <v>0</v>
      </c>
      <c r="G23" s="247">
        <v>500</v>
      </c>
      <c r="H23" s="247">
        <v>0</v>
      </c>
      <c r="I23" s="247">
        <v>1000</v>
      </c>
      <c r="J23" s="247">
        <v>0</v>
      </c>
      <c r="K23" s="247">
        <v>0</v>
      </c>
      <c r="L23" s="247">
        <v>0</v>
      </c>
      <c r="M23" s="247">
        <v>1795</v>
      </c>
      <c r="N23" s="247">
        <v>0</v>
      </c>
      <c r="O23" s="247">
        <v>1000</v>
      </c>
      <c r="P23" s="247">
        <v>3000</v>
      </c>
      <c r="Q23" s="247">
        <v>0</v>
      </c>
      <c r="R23" s="247">
        <v>0</v>
      </c>
      <c r="S23" s="247">
        <v>0</v>
      </c>
      <c r="T23" s="247">
        <v>0</v>
      </c>
      <c r="U23" s="247">
        <v>500</v>
      </c>
      <c r="V23" s="247">
        <v>0</v>
      </c>
      <c r="W23" s="247">
        <v>20166</v>
      </c>
      <c r="X23" s="247">
        <v>0</v>
      </c>
      <c r="Y23" s="247">
        <v>0</v>
      </c>
      <c r="Z23" s="247">
        <v>0</v>
      </c>
      <c r="AA23" s="247">
        <v>0</v>
      </c>
      <c r="AB23" s="247">
        <v>0</v>
      </c>
      <c r="AC23" s="247">
        <v>1200</v>
      </c>
      <c r="AD23" s="247">
        <v>1000</v>
      </c>
      <c r="AE23" s="248">
        <v>500</v>
      </c>
      <c r="AF23" s="248">
        <v>3000</v>
      </c>
      <c r="AG23" s="248">
        <v>4788</v>
      </c>
      <c r="AH23" s="248">
        <v>0</v>
      </c>
      <c r="AI23" s="247">
        <f t="shared" si="0"/>
        <v>41299</v>
      </c>
    </row>
    <row r="24" spans="1:35" s="246" customFormat="1" x14ac:dyDescent="0.35">
      <c r="A24" s="246" t="s">
        <v>425</v>
      </c>
      <c r="B24" s="247">
        <v>0</v>
      </c>
      <c r="C24" s="247">
        <v>1500</v>
      </c>
      <c r="D24" s="247">
        <v>0</v>
      </c>
      <c r="E24" s="247">
        <v>0</v>
      </c>
      <c r="F24" s="247">
        <v>0</v>
      </c>
      <c r="G24" s="247">
        <v>0</v>
      </c>
      <c r="H24" s="247">
        <v>0</v>
      </c>
      <c r="I24" s="247">
        <v>0</v>
      </c>
      <c r="J24" s="247">
        <v>0</v>
      </c>
      <c r="K24" s="247">
        <v>0</v>
      </c>
      <c r="L24" s="247">
        <v>0</v>
      </c>
      <c r="M24" s="247">
        <v>0</v>
      </c>
      <c r="N24" s="247">
        <v>0</v>
      </c>
      <c r="O24" s="247">
        <v>0</v>
      </c>
      <c r="P24" s="247">
        <v>0</v>
      </c>
      <c r="Q24" s="247">
        <v>0</v>
      </c>
      <c r="R24" s="247">
        <v>0</v>
      </c>
      <c r="S24" s="247">
        <v>0</v>
      </c>
      <c r="T24" s="247">
        <v>0</v>
      </c>
      <c r="U24" s="247">
        <v>0</v>
      </c>
      <c r="V24" s="247">
        <v>0</v>
      </c>
      <c r="W24" s="247">
        <v>0</v>
      </c>
      <c r="X24" s="247">
        <v>0</v>
      </c>
      <c r="Y24" s="247">
        <v>0</v>
      </c>
      <c r="Z24" s="247">
        <v>0</v>
      </c>
      <c r="AA24" s="247">
        <v>0</v>
      </c>
      <c r="AB24" s="247">
        <v>0</v>
      </c>
      <c r="AC24" s="247">
        <v>0</v>
      </c>
      <c r="AD24" s="247">
        <v>0</v>
      </c>
      <c r="AE24" s="248">
        <v>250</v>
      </c>
      <c r="AF24" s="248">
        <v>0</v>
      </c>
      <c r="AG24" s="248">
        <v>775</v>
      </c>
      <c r="AH24" s="248">
        <v>0</v>
      </c>
      <c r="AI24" s="247">
        <f t="shared" si="0"/>
        <v>2525</v>
      </c>
    </row>
    <row r="25" spans="1:35" s="246" customFormat="1" x14ac:dyDescent="0.35">
      <c r="A25" s="246" t="s">
        <v>129</v>
      </c>
      <c r="B25" s="247">
        <v>0</v>
      </c>
      <c r="C25" s="247">
        <v>0</v>
      </c>
      <c r="D25" s="247">
        <v>0</v>
      </c>
      <c r="E25" s="247">
        <v>0</v>
      </c>
      <c r="F25" s="247">
        <v>0</v>
      </c>
      <c r="G25" s="247">
        <v>500</v>
      </c>
      <c r="H25" s="247">
        <v>0</v>
      </c>
      <c r="I25" s="247">
        <v>0</v>
      </c>
      <c r="J25" s="247">
        <v>0</v>
      </c>
      <c r="K25" s="247">
        <v>0</v>
      </c>
      <c r="L25" s="247">
        <v>0</v>
      </c>
      <c r="M25" s="247">
        <v>0</v>
      </c>
      <c r="N25" s="247">
        <v>0</v>
      </c>
      <c r="O25" s="247">
        <v>0</v>
      </c>
      <c r="P25" s="247">
        <v>0</v>
      </c>
      <c r="Q25" s="247">
        <v>0</v>
      </c>
      <c r="R25" s="247">
        <v>0</v>
      </c>
      <c r="S25" s="247">
        <v>0</v>
      </c>
      <c r="T25" s="247">
        <v>0</v>
      </c>
      <c r="U25" s="247">
        <v>0</v>
      </c>
      <c r="V25" s="247">
        <v>0</v>
      </c>
      <c r="W25" s="247">
        <v>0</v>
      </c>
      <c r="X25" s="247">
        <v>0</v>
      </c>
      <c r="Y25" s="247">
        <v>0</v>
      </c>
      <c r="Z25" s="247">
        <v>0</v>
      </c>
      <c r="AA25" s="247">
        <v>0</v>
      </c>
      <c r="AB25" s="247">
        <v>42500</v>
      </c>
      <c r="AC25" s="247">
        <v>0</v>
      </c>
      <c r="AD25" s="247">
        <v>0</v>
      </c>
      <c r="AE25" s="248">
        <v>0</v>
      </c>
      <c r="AF25" s="248">
        <v>1500</v>
      </c>
      <c r="AG25" s="248">
        <v>2000</v>
      </c>
      <c r="AH25" s="248">
        <v>0</v>
      </c>
      <c r="AI25" s="247">
        <f t="shared" si="0"/>
        <v>46500</v>
      </c>
    </row>
    <row r="26" spans="1:35" s="246" customFormat="1" x14ac:dyDescent="0.35">
      <c r="A26" s="246" t="s">
        <v>2264</v>
      </c>
      <c r="B26" s="247">
        <v>0</v>
      </c>
      <c r="C26" s="247">
        <v>0</v>
      </c>
      <c r="D26" s="247">
        <v>0</v>
      </c>
      <c r="E26" s="247">
        <v>0</v>
      </c>
      <c r="F26" s="247">
        <v>0</v>
      </c>
      <c r="G26" s="247">
        <v>1000</v>
      </c>
      <c r="H26" s="247">
        <v>0</v>
      </c>
      <c r="I26" s="247">
        <v>0</v>
      </c>
      <c r="J26" s="247">
        <v>0</v>
      </c>
      <c r="K26" s="247">
        <v>0</v>
      </c>
      <c r="L26" s="247">
        <v>0</v>
      </c>
      <c r="M26" s="247">
        <v>0</v>
      </c>
      <c r="N26" s="247">
        <v>0</v>
      </c>
      <c r="O26" s="247">
        <v>0</v>
      </c>
      <c r="P26" s="247">
        <v>0</v>
      </c>
      <c r="Q26" s="247">
        <v>0</v>
      </c>
      <c r="R26" s="247">
        <v>0</v>
      </c>
      <c r="S26" s="247">
        <v>0</v>
      </c>
      <c r="T26" s="247">
        <v>0</v>
      </c>
      <c r="U26" s="247">
        <v>0</v>
      </c>
      <c r="V26" s="247">
        <v>500</v>
      </c>
      <c r="W26" s="247">
        <v>0</v>
      </c>
      <c r="X26" s="247">
        <v>0</v>
      </c>
      <c r="Y26" s="247">
        <v>0</v>
      </c>
      <c r="Z26" s="247">
        <v>0</v>
      </c>
      <c r="AA26" s="247">
        <v>500</v>
      </c>
      <c r="AB26" s="247">
        <v>0</v>
      </c>
      <c r="AC26" s="247">
        <v>0</v>
      </c>
      <c r="AD26" s="247">
        <v>0</v>
      </c>
      <c r="AE26" s="248">
        <v>0</v>
      </c>
      <c r="AF26" s="248">
        <v>1500</v>
      </c>
      <c r="AG26" s="248">
        <v>350</v>
      </c>
      <c r="AH26" s="248">
        <v>0</v>
      </c>
      <c r="AI26" s="247">
        <f t="shared" si="0"/>
        <v>3850</v>
      </c>
    </row>
    <row r="27" spans="1:35" s="246" customFormat="1" x14ac:dyDescent="0.35">
      <c r="A27" s="246" t="s">
        <v>1778</v>
      </c>
      <c r="B27" s="247">
        <v>0</v>
      </c>
      <c r="C27" s="247">
        <v>1500</v>
      </c>
      <c r="D27" s="247">
        <v>0</v>
      </c>
      <c r="E27" s="247">
        <v>0</v>
      </c>
      <c r="F27" s="247">
        <v>0</v>
      </c>
      <c r="G27" s="247">
        <v>0</v>
      </c>
      <c r="H27" s="247">
        <v>0</v>
      </c>
      <c r="I27" s="247">
        <v>0</v>
      </c>
      <c r="J27" s="247">
        <v>0</v>
      </c>
      <c r="K27" s="247">
        <v>0</v>
      </c>
      <c r="L27" s="247">
        <v>0</v>
      </c>
      <c r="M27" s="247">
        <v>0</v>
      </c>
      <c r="N27" s="247">
        <v>0</v>
      </c>
      <c r="O27" s="247">
        <v>0</v>
      </c>
      <c r="P27" s="247">
        <v>0</v>
      </c>
      <c r="Q27" s="247">
        <v>0</v>
      </c>
      <c r="R27" s="247">
        <v>0</v>
      </c>
      <c r="S27" s="247">
        <v>0</v>
      </c>
      <c r="T27" s="247">
        <v>0</v>
      </c>
      <c r="U27" s="247">
        <v>2000</v>
      </c>
      <c r="V27" s="247">
        <v>450</v>
      </c>
      <c r="W27" s="247">
        <v>1200</v>
      </c>
      <c r="X27" s="247">
        <v>0</v>
      </c>
      <c r="Y27" s="247">
        <v>0</v>
      </c>
      <c r="Z27" s="247">
        <v>0</v>
      </c>
      <c r="AA27" s="247">
        <v>0</v>
      </c>
      <c r="AB27" s="247">
        <v>0</v>
      </c>
      <c r="AC27" s="247">
        <v>0</v>
      </c>
      <c r="AD27" s="247">
        <v>0</v>
      </c>
      <c r="AE27" s="248">
        <v>500</v>
      </c>
      <c r="AF27" s="248">
        <v>1500</v>
      </c>
      <c r="AG27" s="248">
        <v>550</v>
      </c>
      <c r="AH27" s="248">
        <v>0</v>
      </c>
      <c r="AI27" s="247">
        <f t="shared" si="0"/>
        <v>7700</v>
      </c>
    </row>
    <row r="28" spans="1:35" s="246" customFormat="1" x14ac:dyDescent="0.35">
      <c r="A28" s="246" t="s">
        <v>132</v>
      </c>
      <c r="B28" s="247">
        <v>0</v>
      </c>
      <c r="C28" s="247">
        <v>0</v>
      </c>
      <c r="D28" s="247">
        <v>350</v>
      </c>
      <c r="E28" s="247">
        <v>0</v>
      </c>
      <c r="F28" s="247">
        <v>350</v>
      </c>
      <c r="G28" s="247">
        <v>0</v>
      </c>
      <c r="H28" s="247">
        <v>0</v>
      </c>
      <c r="I28" s="247">
        <v>0</v>
      </c>
      <c r="J28" s="247">
        <v>0</v>
      </c>
      <c r="K28" s="247">
        <v>0</v>
      </c>
      <c r="L28" s="247">
        <v>0</v>
      </c>
      <c r="M28" s="247">
        <v>1795</v>
      </c>
      <c r="N28" s="247">
        <v>0</v>
      </c>
      <c r="O28" s="247">
        <v>0</v>
      </c>
      <c r="P28" s="247">
        <v>0</v>
      </c>
      <c r="Q28" s="247"/>
      <c r="R28" s="247">
        <v>0</v>
      </c>
      <c r="S28" s="247">
        <v>0</v>
      </c>
      <c r="T28" s="247">
        <v>0</v>
      </c>
      <c r="U28" s="247">
        <v>0</v>
      </c>
      <c r="V28" s="247">
        <v>0</v>
      </c>
      <c r="W28" s="247">
        <v>0</v>
      </c>
      <c r="X28" s="247">
        <v>0</v>
      </c>
      <c r="Y28" s="247">
        <v>0</v>
      </c>
      <c r="Z28" s="247">
        <v>0</v>
      </c>
      <c r="AA28" s="247">
        <v>0</v>
      </c>
      <c r="AB28" s="247">
        <v>0</v>
      </c>
      <c r="AC28" s="247">
        <v>0</v>
      </c>
      <c r="AD28" s="247">
        <v>0</v>
      </c>
      <c r="AE28" s="248">
        <v>0</v>
      </c>
      <c r="AF28" s="248">
        <v>0</v>
      </c>
      <c r="AG28" s="248">
        <v>4260</v>
      </c>
      <c r="AH28" s="248">
        <v>0</v>
      </c>
      <c r="AI28" s="247">
        <f t="shared" si="0"/>
        <v>6755</v>
      </c>
    </row>
    <row r="29" spans="1:35" s="246" customFormat="1" x14ac:dyDescent="0.35">
      <c r="A29" s="246" t="s">
        <v>141</v>
      </c>
      <c r="B29" s="247">
        <v>0</v>
      </c>
      <c r="C29" s="247">
        <v>5000</v>
      </c>
      <c r="D29" s="247">
        <v>0</v>
      </c>
      <c r="E29" s="247">
        <v>0</v>
      </c>
      <c r="F29" s="247">
        <v>0</v>
      </c>
      <c r="G29" s="247">
        <v>0</v>
      </c>
      <c r="H29" s="247">
        <v>0</v>
      </c>
      <c r="I29" s="247">
        <v>0</v>
      </c>
      <c r="J29" s="247">
        <v>0</v>
      </c>
      <c r="K29" s="247">
        <v>2000</v>
      </c>
      <c r="L29" s="247">
        <v>600</v>
      </c>
      <c r="M29" s="247">
        <v>1795</v>
      </c>
      <c r="N29" s="247">
        <v>0</v>
      </c>
      <c r="O29" s="247">
        <v>0</v>
      </c>
      <c r="P29" s="247">
        <v>3000</v>
      </c>
      <c r="Q29" s="247">
        <v>1000</v>
      </c>
      <c r="R29" s="247">
        <v>10000</v>
      </c>
      <c r="S29" s="247">
        <v>0</v>
      </c>
      <c r="T29" s="247">
        <v>0</v>
      </c>
      <c r="U29" s="247">
        <v>0</v>
      </c>
      <c r="V29" s="247">
        <v>0</v>
      </c>
      <c r="W29" s="247">
        <v>0</v>
      </c>
      <c r="X29" s="247">
        <v>0</v>
      </c>
      <c r="Y29" s="247">
        <v>0</v>
      </c>
      <c r="Z29" s="247">
        <v>7000</v>
      </c>
      <c r="AA29" s="247">
        <v>5000</v>
      </c>
      <c r="AB29" s="247">
        <v>30000</v>
      </c>
      <c r="AC29" s="247">
        <v>0</v>
      </c>
      <c r="AD29" s="247">
        <v>5000</v>
      </c>
      <c r="AE29" s="248">
        <v>2500</v>
      </c>
      <c r="AF29" s="248">
        <v>1500</v>
      </c>
      <c r="AG29" s="248">
        <v>2500</v>
      </c>
      <c r="AH29" s="248">
        <v>0</v>
      </c>
      <c r="AI29" s="247">
        <f t="shared" si="0"/>
        <v>76895</v>
      </c>
    </row>
    <row r="30" spans="1:35" s="246" customFormat="1" x14ac:dyDescent="0.35">
      <c r="A30" s="246" t="s">
        <v>880</v>
      </c>
      <c r="B30" s="247">
        <v>0</v>
      </c>
      <c r="C30" s="247">
        <v>0</v>
      </c>
      <c r="D30" s="247">
        <v>0</v>
      </c>
      <c r="E30" s="247">
        <v>0</v>
      </c>
      <c r="F30" s="247">
        <v>0</v>
      </c>
      <c r="G30" s="247">
        <v>500</v>
      </c>
      <c r="H30" s="247">
        <v>0</v>
      </c>
      <c r="I30" s="247">
        <v>0</v>
      </c>
      <c r="J30" s="247">
        <v>0</v>
      </c>
      <c r="K30" s="247">
        <v>0</v>
      </c>
      <c r="L30" s="247">
        <v>0</v>
      </c>
      <c r="M30" s="247">
        <v>0</v>
      </c>
      <c r="N30" s="247">
        <v>0</v>
      </c>
      <c r="O30" s="247">
        <v>0</v>
      </c>
      <c r="P30" s="247">
        <v>0</v>
      </c>
      <c r="Q30" s="247">
        <v>0</v>
      </c>
      <c r="R30" s="247">
        <v>0</v>
      </c>
      <c r="S30" s="247">
        <v>0</v>
      </c>
      <c r="T30" s="247">
        <v>0</v>
      </c>
      <c r="U30" s="247">
        <v>0</v>
      </c>
      <c r="V30" s="247">
        <v>0</v>
      </c>
      <c r="W30" s="247">
        <v>0</v>
      </c>
      <c r="X30" s="247">
        <v>0</v>
      </c>
      <c r="Y30" s="247">
        <v>0</v>
      </c>
      <c r="Z30" s="247">
        <v>0</v>
      </c>
      <c r="AA30" s="247">
        <v>0</v>
      </c>
      <c r="AB30" s="247">
        <v>0</v>
      </c>
      <c r="AC30" s="247">
        <v>0</v>
      </c>
      <c r="AD30" s="247">
        <v>0</v>
      </c>
      <c r="AE30" s="248">
        <v>0</v>
      </c>
      <c r="AF30" s="248">
        <v>0</v>
      </c>
      <c r="AG30" s="248">
        <v>350</v>
      </c>
      <c r="AH30" s="248">
        <v>0</v>
      </c>
      <c r="AI30" s="247">
        <f t="shared" si="0"/>
        <v>850</v>
      </c>
    </row>
    <row r="31" spans="1:35" s="246" customFormat="1" x14ac:dyDescent="0.35">
      <c r="A31" s="246" t="s">
        <v>1625</v>
      </c>
      <c r="B31" s="247">
        <v>0</v>
      </c>
      <c r="C31" s="247">
        <v>0</v>
      </c>
      <c r="D31" s="247">
        <v>0</v>
      </c>
      <c r="E31" s="247">
        <v>0</v>
      </c>
      <c r="F31" s="247">
        <v>0</v>
      </c>
      <c r="G31" s="247">
        <v>0</v>
      </c>
      <c r="H31" s="247">
        <v>0</v>
      </c>
      <c r="I31" s="247">
        <v>0</v>
      </c>
      <c r="J31" s="247">
        <v>0</v>
      </c>
      <c r="K31" s="247">
        <v>0</v>
      </c>
      <c r="L31" s="247">
        <v>0</v>
      </c>
      <c r="M31" s="247">
        <v>0</v>
      </c>
      <c r="N31" s="247">
        <v>0</v>
      </c>
      <c r="O31" s="247">
        <v>0</v>
      </c>
      <c r="P31" s="247">
        <v>0</v>
      </c>
      <c r="Q31" s="247">
        <v>1000</v>
      </c>
      <c r="R31" s="247">
        <v>0</v>
      </c>
      <c r="S31" s="247">
        <v>0</v>
      </c>
      <c r="T31" s="247">
        <v>0</v>
      </c>
      <c r="U31" s="247">
        <v>0</v>
      </c>
      <c r="V31" s="247">
        <v>0</v>
      </c>
      <c r="W31" s="247">
        <v>4000</v>
      </c>
      <c r="X31" s="247">
        <v>0</v>
      </c>
      <c r="Y31" s="247">
        <v>0</v>
      </c>
      <c r="Z31" s="247">
        <v>0</v>
      </c>
      <c r="AA31" s="247">
        <v>0</v>
      </c>
      <c r="AB31" s="247">
        <v>0</v>
      </c>
      <c r="AC31" s="247">
        <v>0</v>
      </c>
      <c r="AD31" s="247">
        <v>0</v>
      </c>
      <c r="AE31" s="248">
        <v>0</v>
      </c>
      <c r="AF31" s="248">
        <v>0</v>
      </c>
      <c r="AG31" s="248">
        <v>350</v>
      </c>
      <c r="AH31" s="248">
        <v>0</v>
      </c>
      <c r="AI31" s="247">
        <f t="shared" si="0"/>
        <v>5350</v>
      </c>
    </row>
    <row r="32" spans="1:35" s="246" customFormat="1" x14ac:dyDescent="0.35">
      <c r="A32" s="246" t="s">
        <v>923</v>
      </c>
      <c r="B32" s="247">
        <v>0</v>
      </c>
      <c r="C32" s="247">
        <v>0</v>
      </c>
      <c r="D32" s="247">
        <v>0</v>
      </c>
      <c r="E32" s="247">
        <v>0</v>
      </c>
      <c r="F32" s="247">
        <v>0</v>
      </c>
      <c r="G32" s="247">
        <v>0</v>
      </c>
      <c r="H32" s="247">
        <v>0</v>
      </c>
      <c r="I32" s="247">
        <v>0</v>
      </c>
      <c r="J32" s="247">
        <v>0</v>
      </c>
      <c r="K32" s="247">
        <v>3000</v>
      </c>
      <c r="L32" s="247">
        <v>0</v>
      </c>
      <c r="M32" s="247">
        <v>0</v>
      </c>
      <c r="N32" s="247">
        <v>0</v>
      </c>
      <c r="O32" s="247">
        <v>0</v>
      </c>
      <c r="P32" s="247">
        <v>0</v>
      </c>
      <c r="Q32" s="247">
        <v>0</v>
      </c>
      <c r="R32" s="247">
        <v>0</v>
      </c>
      <c r="S32" s="247">
        <v>0</v>
      </c>
      <c r="T32" s="247">
        <v>0</v>
      </c>
      <c r="U32" s="247">
        <v>0</v>
      </c>
      <c r="V32" s="247">
        <v>0</v>
      </c>
      <c r="W32" s="247">
        <v>3750</v>
      </c>
      <c r="X32" s="247">
        <v>0</v>
      </c>
      <c r="Y32" s="247">
        <v>0</v>
      </c>
      <c r="Z32" s="247">
        <v>0</v>
      </c>
      <c r="AA32" s="247">
        <v>0</v>
      </c>
      <c r="AB32" s="247">
        <v>0</v>
      </c>
      <c r="AC32" s="247">
        <v>0</v>
      </c>
      <c r="AD32" s="247">
        <v>0</v>
      </c>
      <c r="AE32" s="248">
        <v>250</v>
      </c>
      <c r="AF32" s="248">
        <v>0</v>
      </c>
      <c r="AG32" s="248">
        <v>250</v>
      </c>
      <c r="AH32" s="248">
        <v>0</v>
      </c>
      <c r="AI32" s="247">
        <f t="shared" si="0"/>
        <v>7250</v>
      </c>
    </row>
    <row r="33" spans="1:35" s="246" customFormat="1" x14ac:dyDescent="0.35">
      <c r="A33" s="246" t="s">
        <v>490</v>
      </c>
      <c r="B33" s="247">
        <v>0</v>
      </c>
      <c r="C33" s="247">
        <v>0</v>
      </c>
      <c r="D33" s="247">
        <v>600</v>
      </c>
      <c r="E33" s="247">
        <v>0</v>
      </c>
      <c r="F33" s="247">
        <v>600</v>
      </c>
      <c r="G33" s="247">
        <v>750</v>
      </c>
      <c r="H33" s="247">
        <v>0</v>
      </c>
      <c r="I33" s="247">
        <v>0</v>
      </c>
      <c r="J33" s="247">
        <v>60</v>
      </c>
      <c r="K33" s="247">
        <v>0</v>
      </c>
      <c r="L33" s="247">
        <v>0</v>
      </c>
      <c r="M33" s="247">
        <v>0</v>
      </c>
      <c r="N33" s="247">
        <v>0</v>
      </c>
      <c r="O33" s="247">
        <v>0</v>
      </c>
      <c r="P33" s="247">
        <v>0</v>
      </c>
      <c r="Q33" s="247">
        <v>0</v>
      </c>
      <c r="R33" s="247">
        <v>0</v>
      </c>
      <c r="S33" s="247">
        <v>0</v>
      </c>
      <c r="T33" s="247">
        <v>0</v>
      </c>
      <c r="U33" s="247">
        <v>0</v>
      </c>
      <c r="V33" s="247">
        <v>0</v>
      </c>
      <c r="W33" s="247">
        <v>0</v>
      </c>
      <c r="X33" s="247">
        <v>0</v>
      </c>
      <c r="Y33" s="247">
        <v>0</v>
      </c>
      <c r="Z33" s="247">
        <v>0</v>
      </c>
      <c r="AA33" s="247">
        <v>650</v>
      </c>
      <c r="AB33" s="247">
        <v>0</v>
      </c>
      <c r="AC33" s="247">
        <v>0</v>
      </c>
      <c r="AD33" s="247">
        <v>1300</v>
      </c>
      <c r="AE33" s="248">
        <v>0</v>
      </c>
      <c r="AF33" s="248">
        <v>0</v>
      </c>
      <c r="AG33" s="248">
        <v>455</v>
      </c>
      <c r="AH33" s="248">
        <v>0</v>
      </c>
      <c r="AI33" s="247">
        <f t="shared" si="0"/>
        <v>4415</v>
      </c>
    </row>
    <row r="34" spans="1:35" s="246" customFormat="1" ht="14.25" customHeight="1" x14ac:dyDescent="0.35">
      <c r="A34" s="246" t="s">
        <v>586</v>
      </c>
      <c r="B34" s="247">
        <v>0</v>
      </c>
      <c r="C34" s="247">
        <v>0</v>
      </c>
      <c r="D34" s="247">
        <v>350</v>
      </c>
      <c r="E34" s="247">
        <v>0</v>
      </c>
      <c r="F34" s="247">
        <v>0</v>
      </c>
      <c r="G34" s="247">
        <v>0</v>
      </c>
      <c r="H34" s="247">
        <v>0</v>
      </c>
      <c r="I34" s="247">
        <v>0</v>
      </c>
      <c r="J34" s="247">
        <v>0</v>
      </c>
      <c r="K34" s="247">
        <v>0</v>
      </c>
      <c r="L34" s="247">
        <v>0</v>
      </c>
      <c r="M34" s="247">
        <v>0</v>
      </c>
      <c r="N34" s="247">
        <v>0</v>
      </c>
      <c r="O34" s="247">
        <v>0</v>
      </c>
      <c r="P34" s="247">
        <v>0</v>
      </c>
      <c r="Q34" s="247">
        <v>0</v>
      </c>
      <c r="R34" s="247">
        <v>0</v>
      </c>
      <c r="S34" s="247">
        <v>0</v>
      </c>
      <c r="T34" s="247">
        <v>0</v>
      </c>
      <c r="U34" s="247">
        <v>0</v>
      </c>
      <c r="V34" s="247">
        <v>0</v>
      </c>
      <c r="W34" s="247">
        <v>0</v>
      </c>
      <c r="X34" s="247">
        <v>0</v>
      </c>
      <c r="Y34" s="247">
        <v>0</v>
      </c>
      <c r="Z34" s="247">
        <v>0</v>
      </c>
      <c r="AA34" s="247">
        <v>0</v>
      </c>
      <c r="AB34" s="247">
        <v>0</v>
      </c>
      <c r="AC34" s="247">
        <v>0</v>
      </c>
      <c r="AD34" s="247">
        <v>0</v>
      </c>
      <c r="AE34" s="248">
        <v>0</v>
      </c>
      <c r="AF34" s="248">
        <v>0</v>
      </c>
      <c r="AG34" s="248">
        <v>350</v>
      </c>
      <c r="AH34" s="248">
        <v>0</v>
      </c>
      <c r="AI34" s="247">
        <f t="shared" ref="AI34:AI58" si="1">SUM(B34:AH34)</f>
        <v>700</v>
      </c>
    </row>
    <row r="35" spans="1:35" s="246" customFormat="1" x14ac:dyDescent="0.35">
      <c r="A35" s="246" t="s">
        <v>2590</v>
      </c>
      <c r="B35" s="247">
        <v>0</v>
      </c>
      <c r="C35" s="247">
        <v>0</v>
      </c>
      <c r="D35" s="247">
        <v>0</v>
      </c>
      <c r="E35" s="247">
        <v>0</v>
      </c>
      <c r="F35" s="247">
        <v>0</v>
      </c>
      <c r="G35" s="247">
        <v>500</v>
      </c>
      <c r="H35" s="247">
        <v>0</v>
      </c>
      <c r="I35" s="247">
        <v>0</v>
      </c>
      <c r="J35" s="247">
        <v>0</v>
      </c>
      <c r="K35" s="247">
        <v>0</v>
      </c>
      <c r="L35" s="247">
        <v>0</v>
      </c>
      <c r="M35" s="247">
        <v>0</v>
      </c>
      <c r="N35" s="247">
        <v>0</v>
      </c>
      <c r="O35" s="247">
        <v>0</v>
      </c>
      <c r="P35" s="247">
        <v>0</v>
      </c>
      <c r="Q35" s="247">
        <v>0</v>
      </c>
      <c r="R35" s="247">
        <v>0</v>
      </c>
      <c r="S35" s="247">
        <v>0</v>
      </c>
      <c r="T35" s="247">
        <v>0</v>
      </c>
      <c r="U35" s="247">
        <v>0</v>
      </c>
      <c r="V35" s="247">
        <v>0</v>
      </c>
      <c r="W35" s="247">
        <v>0</v>
      </c>
      <c r="X35" s="247">
        <v>0</v>
      </c>
      <c r="Y35" s="247">
        <v>0</v>
      </c>
      <c r="Z35" s="247">
        <v>0</v>
      </c>
      <c r="AA35" s="247">
        <v>0</v>
      </c>
      <c r="AB35" s="247">
        <v>0</v>
      </c>
      <c r="AC35" s="247">
        <v>0</v>
      </c>
      <c r="AD35" s="247">
        <v>0</v>
      </c>
      <c r="AE35" s="248">
        <v>0</v>
      </c>
      <c r="AF35" s="248">
        <v>0</v>
      </c>
      <c r="AG35" s="248">
        <v>350</v>
      </c>
      <c r="AH35" s="248">
        <v>0</v>
      </c>
      <c r="AI35" s="247">
        <f t="shared" si="1"/>
        <v>850</v>
      </c>
    </row>
    <row r="36" spans="1:35" s="246" customFormat="1" x14ac:dyDescent="0.35">
      <c r="A36" s="246" t="s">
        <v>2591</v>
      </c>
      <c r="B36" s="247">
        <v>0</v>
      </c>
      <c r="C36" s="247">
        <v>1500</v>
      </c>
      <c r="D36" s="247">
        <v>0</v>
      </c>
      <c r="E36" s="247">
        <v>0</v>
      </c>
      <c r="F36" s="247">
        <v>0</v>
      </c>
      <c r="G36" s="247">
        <v>0</v>
      </c>
      <c r="H36" s="247">
        <v>0</v>
      </c>
      <c r="I36" s="247">
        <v>0</v>
      </c>
      <c r="J36" s="247">
        <v>0</v>
      </c>
      <c r="K36" s="247">
        <v>0</v>
      </c>
      <c r="L36" s="247">
        <v>0</v>
      </c>
      <c r="M36" s="247">
        <v>0</v>
      </c>
      <c r="N36" s="247">
        <v>0</v>
      </c>
      <c r="O36" s="247">
        <v>0</v>
      </c>
      <c r="P36" s="247">
        <v>0</v>
      </c>
      <c r="Q36" s="247">
        <v>0</v>
      </c>
      <c r="R36" s="247">
        <v>0</v>
      </c>
      <c r="S36" s="247">
        <v>0</v>
      </c>
      <c r="T36" s="247">
        <v>0</v>
      </c>
      <c r="U36" s="247">
        <v>0</v>
      </c>
      <c r="V36" s="247">
        <v>0</v>
      </c>
      <c r="W36" s="247">
        <v>0</v>
      </c>
      <c r="X36" s="247">
        <v>0</v>
      </c>
      <c r="Y36" s="247">
        <v>0</v>
      </c>
      <c r="Z36" s="247">
        <v>0</v>
      </c>
      <c r="AA36" s="247">
        <v>0</v>
      </c>
      <c r="AB36" s="247">
        <v>0</v>
      </c>
      <c r="AC36" s="247">
        <v>0</v>
      </c>
      <c r="AD36" s="247">
        <v>0</v>
      </c>
      <c r="AE36" s="248">
        <v>0</v>
      </c>
      <c r="AF36" s="248">
        <v>0</v>
      </c>
      <c r="AG36" s="248">
        <v>350</v>
      </c>
      <c r="AH36" s="248">
        <v>0</v>
      </c>
      <c r="AI36" s="247">
        <f t="shared" si="1"/>
        <v>1850</v>
      </c>
    </row>
    <row r="37" spans="1:35" s="246" customFormat="1" x14ac:dyDescent="0.35">
      <c r="A37" s="246" t="s">
        <v>1348</v>
      </c>
      <c r="B37" s="247">
        <v>0</v>
      </c>
      <c r="C37" s="247">
        <v>0</v>
      </c>
      <c r="D37" s="247">
        <v>0</v>
      </c>
      <c r="E37" s="247">
        <v>0</v>
      </c>
      <c r="F37" s="247">
        <v>0</v>
      </c>
      <c r="G37" s="247">
        <v>0</v>
      </c>
      <c r="H37" s="247">
        <v>0</v>
      </c>
      <c r="I37" s="247">
        <v>0</v>
      </c>
      <c r="J37" s="247">
        <v>0</v>
      </c>
      <c r="K37" s="247">
        <v>2495</v>
      </c>
      <c r="L37" s="247">
        <v>0</v>
      </c>
      <c r="M37" s="247">
        <v>0</v>
      </c>
      <c r="N37" s="247">
        <v>0</v>
      </c>
      <c r="O37" s="247">
        <v>0</v>
      </c>
      <c r="P37" s="247">
        <v>0</v>
      </c>
      <c r="Q37" s="247">
        <v>0</v>
      </c>
      <c r="R37" s="247">
        <v>0</v>
      </c>
      <c r="S37" s="247">
        <v>0</v>
      </c>
      <c r="T37" s="247">
        <v>0</v>
      </c>
      <c r="U37" s="247">
        <v>0</v>
      </c>
      <c r="V37" s="247">
        <v>0</v>
      </c>
      <c r="W37" s="247">
        <v>0</v>
      </c>
      <c r="X37" s="247">
        <v>0</v>
      </c>
      <c r="Y37" s="247">
        <v>0</v>
      </c>
      <c r="Z37" s="247">
        <v>0</v>
      </c>
      <c r="AA37" s="247">
        <v>2500</v>
      </c>
      <c r="AB37" s="247">
        <v>0</v>
      </c>
      <c r="AC37" s="247">
        <v>1200</v>
      </c>
      <c r="AD37" s="247">
        <v>2500</v>
      </c>
      <c r="AE37" s="248">
        <v>0</v>
      </c>
      <c r="AF37" s="248">
        <v>0</v>
      </c>
      <c r="AG37" s="248">
        <v>375</v>
      </c>
      <c r="AH37" s="248">
        <v>2500</v>
      </c>
      <c r="AI37" s="247">
        <f t="shared" si="1"/>
        <v>11570</v>
      </c>
    </row>
    <row r="38" spans="1:35" s="246" customFormat="1" x14ac:dyDescent="0.35">
      <c r="A38" s="246" t="s">
        <v>1739</v>
      </c>
      <c r="B38" s="247">
        <v>0</v>
      </c>
      <c r="C38" s="247">
        <v>0</v>
      </c>
      <c r="D38" s="247">
        <v>0</v>
      </c>
      <c r="E38" s="247">
        <v>0</v>
      </c>
      <c r="F38" s="247">
        <v>0</v>
      </c>
      <c r="G38" s="247">
        <v>0</v>
      </c>
      <c r="H38" s="247">
        <v>0</v>
      </c>
      <c r="I38" s="247">
        <v>0</v>
      </c>
      <c r="J38" s="247">
        <v>0</v>
      </c>
      <c r="K38" s="247">
        <v>0</v>
      </c>
      <c r="L38" s="247">
        <v>0</v>
      </c>
      <c r="M38" s="247">
        <v>0</v>
      </c>
      <c r="N38" s="247">
        <v>0</v>
      </c>
      <c r="O38" s="247">
        <v>0</v>
      </c>
      <c r="P38" s="247">
        <v>0</v>
      </c>
      <c r="Q38" s="247">
        <v>0</v>
      </c>
      <c r="R38" s="247">
        <v>0</v>
      </c>
      <c r="S38" s="247">
        <v>0</v>
      </c>
      <c r="T38" s="247">
        <v>5000</v>
      </c>
      <c r="U38" s="247">
        <v>0</v>
      </c>
      <c r="V38" s="247">
        <v>0</v>
      </c>
      <c r="W38" s="247">
        <v>0</v>
      </c>
      <c r="X38" s="247">
        <v>0</v>
      </c>
      <c r="Y38" s="247">
        <v>0</v>
      </c>
      <c r="Z38" s="247">
        <v>0</v>
      </c>
      <c r="AA38" s="247">
        <v>0</v>
      </c>
      <c r="AB38" s="247">
        <v>0</v>
      </c>
      <c r="AC38" s="247">
        <v>0</v>
      </c>
      <c r="AD38" s="247">
        <v>0</v>
      </c>
      <c r="AE38" s="248">
        <v>0</v>
      </c>
      <c r="AF38" s="248">
        <v>0</v>
      </c>
      <c r="AG38" s="248">
        <v>0</v>
      </c>
      <c r="AH38" s="248">
        <v>0</v>
      </c>
      <c r="AI38" s="247">
        <f t="shared" si="1"/>
        <v>5000</v>
      </c>
    </row>
    <row r="39" spans="1:35" s="246" customFormat="1" x14ac:dyDescent="0.35">
      <c r="A39" s="246" t="s">
        <v>137</v>
      </c>
      <c r="B39" s="247">
        <v>0</v>
      </c>
      <c r="C39" s="247">
        <v>1500</v>
      </c>
      <c r="D39" s="247">
        <v>350</v>
      </c>
      <c r="E39" s="247">
        <v>0</v>
      </c>
      <c r="F39" s="247">
        <v>0</v>
      </c>
      <c r="G39" s="247">
        <v>0</v>
      </c>
      <c r="H39" s="247">
        <v>0</v>
      </c>
      <c r="I39" s="247">
        <v>0</v>
      </c>
      <c r="J39" s="247">
        <v>0</v>
      </c>
      <c r="K39" s="247">
        <v>0</v>
      </c>
      <c r="L39" s="247">
        <v>0</v>
      </c>
      <c r="M39" s="247">
        <v>0</v>
      </c>
      <c r="N39" s="247">
        <v>0</v>
      </c>
      <c r="O39" s="247">
        <v>1500</v>
      </c>
      <c r="P39" s="247">
        <v>0</v>
      </c>
      <c r="Q39" s="247">
        <v>0</v>
      </c>
      <c r="R39" s="247">
        <v>0</v>
      </c>
      <c r="S39" s="247">
        <v>0</v>
      </c>
      <c r="T39" s="247">
        <v>0</v>
      </c>
      <c r="U39" s="247">
        <v>0</v>
      </c>
      <c r="V39" s="247">
        <v>0</v>
      </c>
      <c r="W39" s="247">
        <v>0</v>
      </c>
      <c r="X39" s="247">
        <v>0</v>
      </c>
      <c r="Y39" s="247">
        <v>0</v>
      </c>
      <c r="Z39" s="247">
        <v>0</v>
      </c>
      <c r="AA39" s="247">
        <v>0</v>
      </c>
      <c r="AB39" s="247">
        <v>0</v>
      </c>
      <c r="AC39" s="247">
        <v>0</v>
      </c>
      <c r="AD39" s="247">
        <v>0</v>
      </c>
      <c r="AE39" s="248">
        <v>250</v>
      </c>
      <c r="AF39" s="248">
        <v>1500</v>
      </c>
      <c r="AG39" s="248">
        <v>1000</v>
      </c>
      <c r="AH39" s="248">
        <v>0</v>
      </c>
      <c r="AI39" s="247">
        <f t="shared" si="1"/>
        <v>6100</v>
      </c>
    </row>
    <row r="40" spans="1:35" s="246" customFormat="1" x14ac:dyDescent="0.35">
      <c r="A40" s="246" t="s">
        <v>596</v>
      </c>
      <c r="B40" s="247">
        <v>0</v>
      </c>
      <c r="C40" s="247">
        <v>0</v>
      </c>
      <c r="D40" s="247">
        <v>0</v>
      </c>
      <c r="E40" s="247">
        <v>4000</v>
      </c>
      <c r="F40" s="247">
        <v>0</v>
      </c>
      <c r="G40" s="247">
        <v>0</v>
      </c>
      <c r="H40" s="247">
        <v>4000</v>
      </c>
      <c r="I40" s="247">
        <v>0</v>
      </c>
      <c r="J40" s="247">
        <v>0</v>
      </c>
      <c r="K40" s="247">
        <v>0</v>
      </c>
      <c r="L40" s="247">
        <v>0</v>
      </c>
      <c r="M40" s="247">
        <v>0</v>
      </c>
      <c r="N40" s="247">
        <v>0</v>
      </c>
      <c r="O40" s="247">
        <v>0</v>
      </c>
      <c r="P40" s="247">
        <v>0</v>
      </c>
      <c r="Q40" s="247">
        <v>1000</v>
      </c>
      <c r="R40" s="247">
        <v>0</v>
      </c>
      <c r="S40" s="247">
        <v>0</v>
      </c>
      <c r="T40" s="247">
        <v>0</v>
      </c>
      <c r="U40" s="247">
        <v>0</v>
      </c>
      <c r="V40" s="247">
        <v>0</v>
      </c>
      <c r="W40" s="247">
        <v>0</v>
      </c>
      <c r="X40" s="247">
        <v>0</v>
      </c>
      <c r="Y40" s="247">
        <v>0</v>
      </c>
      <c r="Z40" s="247">
        <v>0</v>
      </c>
      <c r="AA40" s="247">
        <v>0</v>
      </c>
      <c r="AB40" s="247">
        <v>9000</v>
      </c>
      <c r="AC40" s="247">
        <v>0</v>
      </c>
      <c r="AD40" s="247">
        <v>0</v>
      </c>
      <c r="AE40" s="248">
        <v>0</v>
      </c>
      <c r="AF40" s="248">
        <v>0</v>
      </c>
      <c r="AG40" s="248">
        <v>600</v>
      </c>
      <c r="AH40" s="248">
        <v>0</v>
      </c>
      <c r="AI40" s="250">
        <f t="shared" si="1"/>
        <v>18600</v>
      </c>
    </row>
    <row r="41" spans="1:35" s="246" customFormat="1" x14ac:dyDescent="0.35">
      <c r="A41" s="246" t="s">
        <v>457</v>
      </c>
      <c r="B41" s="247">
        <v>0</v>
      </c>
      <c r="C41" s="247">
        <v>1500</v>
      </c>
      <c r="D41" s="247">
        <v>1000</v>
      </c>
      <c r="E41" s="247">
        <v>0</v>
      </c>
      <c r="F41" s="247">
        <v>1000</v>
      </c>
      <c r="G41" s="247">
        <v>0</v>
      </c>
      <c r="H41" s="247">
        <v>2500</v>
      </c>
      <c r="I41" s="247">
        <v>0</v>
      </c>
      <c r="J41" s="247">
        <v>0</v>
      </c>
      <c r="K41" s="247">
        <v>0</v>
      </c>
      <c r="L41" s="247">
        <v>0</v>
      </c>
      <c r="M41" s="247">
        <v>0</v>
      </c>
      <c r="N41" s="247">
        <v>0</v>
      </c>
      <c r="O41" s="247">
        <v>0</v>
      </c>
      <c r="P41" s="247">
        <v>0</v>
      </c>
      <c r="Q41" s="247">
        <v>2500</v>
      </c>
      <c r="R41" s="247">
        <v>1500</v>
      </c>
      <c r="S41" s="247">
        <v>1000</v>
      </c>
      <c r="T41" s="247">
        <v>2000</v>
      </c>
      <c r="U41" s="247">
        <v>0</v>
      </c>
      <c r="V41" s="247">
        <v>0</v>
      </c>
      <c r="W41" s="247">
        <v>750</v>
      </c>
      <c r="X41" s="247">
        <v>0</v>
      </c>
      <c r="Y41" s="247">
        <v>6000</v>
      </c>
      <c r="Z41" s="247">
        <v>0</v>
      </c>
      <c r="AA41" s="247">
        <v>0</v>
      </c>
      <c r="AB41" s="247">
        <v>10000</v>
      </c>
      <c r="AC41" s="247">
        <v>0</v>
      </c>
      <c r="AD41" s="247">
        <v>0</v>
      </c>
      <c r="AE41" s="248">
        <v>1000</v>
      </c>
      <c r="AF41" s="248">
        <v>1350</v>
      </c>
      <c r="AG41" s="248">
        <v>1150</v>
      </c>
      <c r="AH41" s="248">
        <v>0</v>
      </c>
      <c r="AI41" s="250">
        <f t="shared" si="1"/>
        <v>33250</v>
      </c>
    </row>
    <row r="42" spans="1:35" s="246" customFormat="1" x14ac:dyDescent="0.35">
      <c r="A42" s="246" t="s">
        <v>368</v>
      </c>
      <c r="B42" s="247">
        <v>0</v>
      </c>
      <c r="C42" s="247">
        <v>1500</v>
      </c>
      <c r="D42" s="247">
        <v>0</v>
      </c>
      <c r="E42" s="247">
        <v>0</v>
      </c>
      <c r="F42" s="247">
        <v>0</v>
      </c>
      <c r="G42" s="247">
        <v>2500</v>
      </c>
      <c r="H42" s="247">
        <v>0</v>
      </c>
      <c r="I42" s="247">
        <v>0</v>
      </c>
      <c r="J42" s="247">
        <v>0</v>
      </c>
      <c r="K42" s="247">
        <v>0</v>
      </c>
      <c r="L42" s="247">
        <v>2500</v>
      </c>
      <c r="M42" s="247">
        <v>0</v>
      </c>
      <c r="N42" s="247">
        <v>0</v>
      </c>
      <c r="O42" s="247">
        <v>0</v>
      </c>
      <c r="P42" s="247">
        <v>0</v>
      </c>
      <c r="Q42" s="247">
        <v>0</v>
      </c>
      <c r="R42" s="247">
        <v>0</v>
      </c>
      <c r="S42" s="247">
        <v>0</v>
      </c>
      <c r="T42" s="247">
        <v>0</v>
      </c>
      <c r="U42" s="247">
        <v>0</v>
      </c>
      <c r="V42" s="247">
        <v>0</v>
      </c>
      <c r="W42" s="247">
        <v>0</v>
      </c>
      <c r="X42" s="247">
        <v>0</v>
      </c>
      <c r="Y42" s="247">
        <v>0</v>
      </c>
      <c r="Z42" s="247">
        <v>0</v>
      </c>
      <c r="AA42" s="247">
        <v>2000</v>
      </c>
      <c r="AB42" s="247">
        <v>0</v>
      </c>
      <c r="AC42" s="247">
        <v>0</v>
      </c>
      <c r="AD42" s="247">
        <v>2500</v>
      </c>
      <c r="AE42" s="248">
        <v>0</v>
      </c>
      <c r="AF42" s="248">
        <v>0</v>
      </c>
      <c r="AG42" s="248">
        <v>0</v>
      </c>
      <c r="AH42" s="248">
        <v>0</v>
      </c>
      <c r="AI42" s="250">
        <f t="shared" si="1"/>
        <v>11000</v>
      </c>
    </row>
    <row r="43" spans="1:35" s="246" customFormat="1" x14ac:dyDescent="0.35">
      <c r="A43" s="246" t="s">
        <v>1586</v>
      </c>
      <c r="B43" s="247">
        <v>0</v>
      </c>
      <c r="C43" s="247">
        <v>0</v>
      </c>
      <c r="D43" s="247">
        <v>0</v>
      </c>
      <c r="E43" s="247">
        <v>0</v>
      </c>
      <c r="F43" s="247">
        <v>0</v>
      </c>
      <c r="G43" s="247">
        <v>0</v>
      </c>
      <c r="H43" s="247">
        <v>0</v>
      </c>
      <c r="I43" s="247">
        <v>0</v>
      </c>
      <c r="J43" s="247">
        <v>0</v>
      </c>
      <c r="K43" s="247">
        <v>0</v>
      </c>
      <c r="L43" s="247">
        <v>0</v>
      </c>
      <c r="M43" s="247">
        <v>0</v>
      </c>
      <c r="N43" s="247">
        <v>0</v>
      </c>
      <c r="O43" s="247">
        <v>0</v>
      </c>
      <c r="P43" s="247">
        <v>0</v>
      </c>
      <c r="Q43" s="247">
        <v>5000</v>
      </c>
      <c r="R43" s="247">
        <v>0</v>
      </c>
      <c r="S43" s="247">
        <v>0</v>
      </c>
      <c r="T43" s="247">
        <v>0</v>
      </c>
      <c r="U43" s="247">
        <v>0</v>
      </c>
      <c r="V43" s="247">
        <v>0</v>
      </c>
      <c r="W43" s="247">
        <v>0</v>
      </c>
      <c r="X43" s="247">
        <v>0</v>
      </c>
      <c r="Y43" s="247">
        <v>0</v>
      </c>
      <c r="Z43" s="247">
        <v>0</v>
      </c>
      <c r="AA43" s="247">
        <v>0</v>
      </c>
      <c r="AB43" s="247">
        <v>0</v>
      </c>
      <c r="AC43" s="247">
        <v>0</v>
      </c>
      <c r="AD43" s="247">
        <v>0</v>
      </c>
      <c r="AE43" s="248">
        <v>0</v>
      </c>
      <c r="AF43" s="248">
        <v>1500</v>
      </c>
      <c r="AG43" s="248">
        <v>350</v>
      </c>
      <c r="AH43" s="248">
        <v>0</v>
      </c>
      <c r="AI43" s="250">
        <f t="shared" si="1"/>
        <v>6850</v>
      </c>
    </row>
    <row r="44" spans="1:35" s="246" customFormat="1" x14ac:dyDescent="0.35">
      <c r="A44" s="246" t="s">
        <v>265</v>
      </c>
      <c r="B44" s="247">
        <v>0</v>
      </c>
      <c r="C44" s="247">
        <v>2850</v>
      </c>
      <c r="D44" s="247">
        <v>0</v>
      </c>
      <c r="E44" s="247">
        <v>0</v>
      </c>
      <c r="F44" s="247">
        <v>0</v>
      </c>
      <c r="G44" s="247">
        <v>0</v>
      </c>
      <c r="H44" s="247">
        <v>0</v>
      </c>
      <c r="I44" s="247">
        <v>0</v>
      </c>
      <c r="J44" s="247">
        <v>0</v>
      </c>
      <c r="K44" s="247">
        <v>0</v>
      </c>
      <c r="L44" s="247">
        <v>0</v>
      </c>
      <c r="M44" s="247">
        <v>0</v>
      </c>
      <c r="N44" s="247">
        <v>0</v>
      </c>
      <c r="O44" s="247">
        <v>0</v>
      </c>
      <c r="P44" s="247">
        <v>0</v>
      </c>
      <c r="Q44" s="247">
        <v>0</v>
      </c>
      <c r="R44" s="247">
        <v>0</v>
      </c>
      <c r="S44" s="247">
        <v>0</v>
      </c>
      <c r="T44" s="247">
        <v>0</v>
      </c>
      <c r="U44" s="247">
        <v>0</v>
      </c>
      <c r="V44" s="247">
        <v>0</v>
      </c>
      <c r="W44" s="247">
        <v>0</v>
      </c>
      <c r="X44" s="247">
        <v>0</v>
      </c>
      <c r="Y44" s="247">
        <v>0</v>
      </c>
      <c r="Z44" s="247">
        <v>0</v>
      </c>
      <c r="AA44" s="247">
        <v>0</v>
      </c>
      <c r="AB44" s="247">
        <v>0</v>
      </c>
      <c r="AC44" s="247">
        <v>0</v>
      </c>
      <c r="AD44" s="247">
        <v>0</v>
      </c>
      <c r="AE44" s="248">
        <v>0</v>
      </c>
      <c r="AF44" s="248">
        <v>1500</v>
      </c>
      <c r="AG44" s="248">
        <v>480</v>
      </c>
      <c r="AH44" s="248">
        <v>0</v>
      </c>
      <c r="AI44" s="250">
        <f t="shared" si="1"/>
        <v>4830</v>
      </c>
    </row>
    <row r="45" spans="1:35" s="249" customFormat="1" x14ac:dyDescent="0.35">
      <c r="A45" s="246" t="s">
        <v>140</v>
      </c>
      <c r="B45" s="247">
        <v>0</v>
      </c>
      <c r="C45" s="247">
        <v>0</v>
      </c>
      <c r="D45" s="247">
        <v>0</v>
      </c>
      <c r="E45" s="247">
        <v>0</v>
      </c>
      <c r="F45" s="247">
        <v>0</v>
      </c>
      <c r="G45" s="247">
        <v>0</v>
      </c>
      <c r="H45" s="247">
        <v>0</v>
      </c>
      <c r="I45" s="247">
        <v>1000</v>
      </c>
      <c r="J45" s="247">
        <v>0</v>
      </c>
      <c r="K45" s="247">
        <v>2295</v>
      </c>
      <c r="L45" s="247">
        <v>0</v>
      </c>
      <c r="M45" s="247">
        <v>1795</v>
      </c>
      <c r="N45" s="247">
        <v>0</v>
      </c>
      <c r="O45" s="247">
        <v>0</v>
      </c>
      <c r="P45" s="247">
        <v>0</v>
      </c>
      <c r="Q45" s="247">
        <v>1000</v>
      </c>
      <c r="R45" s="247">
        <v>0</v>
      </c>
      <c r="S45" s="247">
        <v>0</v>
      </c>
      <c r="T45" s="247">
        <v>2500</v>
      </c>
      <c r="U45" s="247">
        <v>0</v>
      </c>
      <c r="V45" s="247">
        <v>0</v>
      </c>
      <c r="W45" s="247">
        <v>13000</v>
      </c>
      <c r="X45" s="247">
        <v>0</v>
      </c>
      <c r="Y45" s="247">
        <v>0</v>
      </c>
      <c r="Z45" s="247">
        <v>0</v>
      </c>
      <c r="AA45" s="247">
        <v>2000</v>
      </c>
      <c r="AB45" s="247">
        <v>7500</v>
      </c>
      <c r="AC45" s="247">
        <v>0</v>
      </c>
      <c r="AD45" s="247">
        <v>0</v>
      </c>
      <c r="AE45" s="248">
        <v>0</v>
      </c>
      <c r="AF45" s="248">
        <v>0</v>
      </c>
      <c r="AG45" s="248">
        <v>6500</v>
      </c>
      <c r="AH45" s="248">
        <v>0</v>
      </c>
      <c r="AI45" s="250">
        <f t="shared" si="1"/>
        <v>37590</v>
      </c>
    </row>
    <row r="46" spans="1:35" s="249" customFormat="1" x14ac:dyDescent="0.35">
      <c r="A46" s="246" t="s">
        <v>338</v>
      </c>
      <c r="B46" s="247">
        <v>0</v>
      </c>
      <c r="C46" s="247">
        <v>1500</v>
      </c>
      <c r="D46" s="247">
        <v>0</v>
      </c>
      <c r="E46" s="247">
        <v>0</v>
      </c>
      <c r="F46" s="247">
        <v>0</v>
      </c>
      <c r="G46" s="247">
        <v>425</v>
      </c>
      <c r="H46" s="247">
        <v>0</v>
      </c>
      <c r="I46" s="247">
        <v>0</v>
      </c>
      <c r="J46" s="247">
        <v>15960</v>
      </c>
      <c r="K46" s="247">
        <v>0</v>
      </c>
      <c r="L46" s="247">
        <v>0</v>
      </c>
      <c r="M46" s="247">
        <v>0</v>
      </c>
      <c r="N46" s="247">
        <v>1000</v>
      </c>
      <c r="O46" s="247">
        <v>0</v>
      </c>
      <c r="P46" s="247">
        <v>0</v>
      </c>
      <c r="Q46" s="247">
        <v>0</v>
      </c>
      <c r="R46" s="247">
        <v>0</v>
      </c>
      <c r="S46" s="247">
        <v>750</v>
      </c>
      <c r="T46" s="247">
        <v>0</v>
      </c>
      <c r="U46" s="247">
        <v>0</v>
      </c>
      <c r="V46" s="247">
        <v>0</v>
      </c>
      <c r="W46" s="247">
        <v>0</v>
      </c>
      <c r="X46" s="247">
        <v>0</v>
      </c>
      <c r="Y46" s="247">
        <v>0</v>
      </c>
      <c r="Z46" s="247">
        <v>0</v>
      </c>
      <c r="AA46" s="247">
        <v>450</v>
      </c>
      <c r="AB46" s="247">
        <v>0</v>
      </c>
      <c r="AC46" s="247">
        <v>0</v>
      </c>
      <c r="AD46" s="247">
        <v>0</v>
      </c>
      <c r="AE46" s="248">
        <v>0</v>
      </c>
      <c r="AF46" s="248">
        <v>1500</v>
      </c>
      <c r="AG46" s="248">
        <v>650</v>
      </c>
      <c r="AH46" s="248">
        <v>0</v>
      </c>
      <c r="AI46" s="250">
        <f t="shared" si="1"/>
        <v>22235</v>
      </c>
    </row>
    <row r="47" spans="1:35" s="249" customFormat="1" x14ac:dyDescent="0.35">
      <c r="A47" s="246" t="s">
        <v>1679</v>
      </c>
      <c r="B47" s="247">
        <v>0</v>
      </c>
      <c r="C47" s="247">
        <v>0</v>
      </c>
      <c r="D47" s="247">
        <v>0</v>
      </c>
      <c r="E47" s="247">
        <v>0</v>
      </c>
      <c r="F47" s="247">
        <v>0</v>
      </c>
      <c r="G47" s="247">
        <v>0</v>
      </c>
      <c r="H47" s="247">
        <v>0</v>
      </c>
      <c r="I47" s="247">
        <v>0</v>
      </c>
      <c r="J47" s="247">
        <v>0</v>
      </c>
      <c r="K47" s="247">
        <v>0</v>
      </c>
      <c r="L47" s="247">
        <v>0</v>
      </c>
      <c r="M47" s="247">
        <v>0</v>
      </c>
      <c r="N47" s="247">
        <v>0</v>
      </c>
      <c r="O47" s="247">
        <v>0</v>
      </c>
      <c r="P47" s="247">
        <v>0</v>
      </c>
      <c r="Q47" s="247">
        <v>0</v>
      </c>
      <c r="R47" s="247">
        <v>7500</v>
      </c>
      <c r="S47" s="247">
        <v>0</v>
      </c>
      <c r="T47" s="247">
        <v>0</v>
      </c>
      <c r="U47" s="247">
        <v>0</v>
      </c>
      <c r="V47" s="247">
        <v>0</v>
      </c>
      <c r="W47" s="247">
        <v>0</v>
      </c>
      <c r="X47" s="247">
        <v>0</v>
      </c>
      <c r="Y47" s="247">
        <v>0</v>
      </c>
      <c r="Z47" s="247">
        <v>0</v>
      </c>
      <c r="AA47" s="247">
        <v>0</v>
      </c>
      <c r="AB47" s="247">
        <v>0</v>
      </c>
      <c r="AC47" s="247">
        <v>0</v>
      </c>
      <c r="AD47" s="247">
        <v>0</v>
      </c>
      <c r="AE47" s="248">
        <v>0</v>
      </c>
      <c r="AF47" s="248">
        <v>0</v>
      </c>
      <c r="AG47" s="248">
        <v>480</v>
      </c>
      <c r="AH47" s="248">
        <v>0</v>
      </c>
      <c r="AI47" s="250">
        <f t="shared" si="1"/>
        <v>7980</v>
      </c>
    </row>
    <row r="48" spans="1:35" s="249" customFormat="1" x14ac:dyDescent="0.35">
      <c r="A48" s="246" t="s">
        <v>694</v>
      </c>
      <c r="B48" s="247">
        <v>0</v>
      </c>
      <c r="C48" s="247">
        <v>0</v>
      </c>
      <c r="D48" s="247">
        <v>0</v>
      </c>
      <c r="E48" s="247">
        <v>0</v>
      </c>
      <c r="F48" s="247">
        <v>350</v>
      </c>
      <c r="G48" s="247">
        <v>500</v>
      </c>
      <c r="H48" s="247">
        <v>0</v>
      </c>
      <c r="I48" s="247">
        <v>0</v>
      </c>
      <c r="J48" s="247">
        <v>0</v>
      </c>
      <c r="K48" s="247">
        <v>0</v>
      </c>
      <c r="L48" s="247">
        <v>0</v>
      </c>
      <c r="M48" s="247">
        <v>0</v>
      </c>
      <c r="N48" s="247">
        <v>0</v>
      </c>
      <c r="O48" s="247">
        <v>0</v>
      </c>
      <c r="P48" s="247">
        <v>0</v>
      </c>
      <c r="Q48" s="247">
        <v>0</v>
      </c>
      <c r="R48" s="247">
        <v>0</v>
      </c>
      <c r="S48" s="247">
        <v>0</v>
      </c>
      <c r="T48" s="247">
        <v>0</v>
      </c>
      <c r="U48" s="247">
        <v>0</v>
      </c>
      <c r="V48" s="247">
        <v>0</v>
      </c>
      <c r="W48" s="247">
        <v>0</v>
      </c>
      <c r="X48" s="247">
        <v>0</v>
      </c>
      <c r="Y48" s="247">
        <v>0</v>
      </c>
      <c r="Z48" s="247">
        <v>0</v>
      </c>
      <c r="AA48" s="247">
        <v>0</v>
      </c>
      <c r="AB48" s="247">
        <v>0</v>
      </c>
      <c r="AC48" s="247">
        <v>0</v>
      </c>
      <c r="AD48" s="247">
        <v>0</v>
      </c>
      <c r="AE48" s="248">
        <v>0</v>
      </c>
      <c r="AF48" s="248">
        <v>0</v>
      </c>
      <c r="AG48" s="248">
        <v>350</v>
      </c>
      <c r="AH48" s="248">
        <v>0</v>
      </c>
      <c r="AI48" s="250">
        <f t="shared" si="1"/>
        <v>1200</v>
      </c>
    </row>
    <row r="49" spans="1:35" s="249" customFormat="1" x14ac:dyDescent="0.35">
      <c r="A49" s="246" t="s">
        <v>151</v>
      </c>
      <c r="B49" s="247">
        <v>0</v>
      </c>
      <c r="C49" s="247">
        <v>1500</v>
      </c>
      <c r="D49" s="247">
        <v>0</v>
      </c>
      <c r="E49" s="247">
        <v>0</v>
      </c>
      <c r="F49" s="247">
        <v>0</v>
      </c>
      <c r="G49" s="247">
        <v>0</v>
      </c>
      <c r="H49" s="247">
        <v>0</v>
      </c>
      <c r="I49" s="247">
        <v>0</v>
      </c>
      <c r="J49" s="247">
        <v>0</v>
      </c>
      <c r="K49" s="247">
        <v>0</v>
      </c>
      <c r="L49" s="247">
        <v>0</v>
      </c>
      <c r="M49" s="247">
        <v>0</v>
      </c>
      <c r="N49" s="247">
        <v>0</v>
      </c>
      <c r="O49" s="247">
        <v>0</v>
      </c>
      <c r="P49" s="247">
        <v>0</v>
      </c>
      <c r="Q49" s="247">
        <v>0</v>
      </c>
      <c r="R49" s="247">
        <v>0</v>
      </c>
      <c r="S49" s="247">
        <v>0</v>
      </c>
      <c r="T49" s="247">
        <v>0</v>
      </c>
      <c r="U49" s="247">
        <v>0</v>
      </c>
      <c r="V49" s="247">
        <v>0</v>
      </c>
      <c r="W49" s="247">
        <v>0</v>
      </c>
      <c r="X49" s="247">
        <v>0</v>
      </c>
      <c r="Y49" s="247">
        <v>0</v>
      </c>
      <c r="Z49" s="247">
        <v>0</v>
      </c>
      <c r="AA49" s="247">
        <v>0</v>
      </c>
      <c r="AB49" s="247">
        <v>0</v>
      </c>
      <c r="AC49" s="247">
        <v>0</v>
      </c>
      <c r="AD49" s="247">
        <v>0</v>
      </c>
      <c r="AE49" s="248">
        <v>0</v>
      </c>
      <c r="AF49" s="248">
        <v>0</v>
      </c>
      <c r="AG49" s="248">
        <v>350</v>
      </c>
      <c r="AH49" s="248">
        <v>0</v>
      </c>
      <c r="AI49" s="250">
        <f t="shared" si="1"/>
        <v>1850</v>
      </c>
    </row>
    <row r="50" spans="1:35" s="249" customFormat="1" x14ac:dyDescent="0.35">
      <c r="A50" s="246" t="s">
        <v>2424</v>
      </c>
      <c r="B50" s="247">
        <v>0</v>
      </c>
      <c r="C50" s="247">
        <v>0</v>
      </c>
      <c r="D50" s="247">
        <v>0</v>
      </c>
      <c r="E50" s="247">
        <v>0</v>
      </c>
      <c r="F50" s="247">
        <v>0</v>
      </c>
      <c r="G50" s="247">
        <v>0</v>
      </c>
      <c r="H50" s="247">
        <v>0</v>
      </c>
      <c r="I50" s="247">
        <v>0</v>
      </c>
      <c r="J50" s="247">
        <v>0</v>
      </c>
      <c r="K50" s="247">
        <v>0</v>
      </c>
      <c r="L50" s="247">
        <v>0</v>
      </c>
      <c r="M50" s="247">
        <v>0</v>
      </c>
      <c r="N50" s="247">
        <v>0</v>
      </c>
      <c r="O50" s="247">
        <v>0</v>
      </c>
      <c r="P50" s="247">
        <v>0</v>
      </c>
      <c r="Q50" s="247">
        <v>0</v>
      </c>
      <c r="R50" s="247">
        <v>0</v>
      </c>
      <c r="S50" s="247">
        <v>0</v>
      </c>
      <c r="T50" s="247">
        <v>0</v>
      </c>
      <c r="U50" s="247">
        <v>0</v>
      </c>
      <c r="V50" s="247">
        <v>0</v>
      </c>
      <c r="W50" s="247">
        <v>0</v>
      </c>
      <c r="X50" s="247">
        <v>0</v>
      </c>
      <c r="Y50" s="247">
        <v>0</v>
      </c>
      <c r="Z50" s="247">
        <v>0</v>
      </c>
      <c r="AA50" s="247">
        <v>0</v>
      </c>
      <c r="AB50" s="247">
        <v>3500</v>
      </c>
      <c r="AC50" s="247">
        <v>0</v>
      </c>
      <c r="AD50" s="247">
        <v>0</v>
      </c>
      <c r="AE50" s="248">
        <v>0</v>
      </c>
      <c r="AF50" s="248">
        <v>0</v>
      </c>
      <c r="AG50" s="248">
        <v>350</v>
      </c>
      <c r="AH50" s="248">
        <v>0</v>
      </c>
      <c r="AI50" s="250">
        <f t="shared" si="1"/>
        <v>3850</v>
      </c>
    </row>
    <row r="51" spans="1:35" s="249" customFormat="1" x14ac:dyDescent="0.35">
      <c r="A51" s="246" t="s">
        <v>157</v>
      </c>
      <c r="B51" s="247">
        <v>0</v>
      </c>
      <c r="C51" s="247">
        <v>1500</v>
      </c>
      <c r="D51" s="247">
        <v>600</v>
      </c>
      <c r="E51" s="247">
        <v>0</v>
      </c>
      <c r="F51" s="247">
        <v>600</v>
      </c>
      <c r="G51" s="247">
        <v>500</v>
      </c>
      <c r="H51" s="247">
        <v>385</v>
      </c>
      <c r="I51" s="247">
        <v>0</v>
      </c>
      <c r="J51" s="247">
        <v>0</v>
      </c>
      <c r="K51" s="247">
        <v>0</v>
      </c>
      <c r="L51" s="247">
        <v>0</v>
      </c>
      <c r="M51" s="247">
        <v>0</v>
      </c>
      <c r="N51" s="247">
        <v>0</v>
      </c>
      <c r="O51" s="247">
        <v>0</v>
      </c>
      <c r="P51" s="247">
        <v>0</v>
      </c>
      <c r="Q51" s="247">
        <v>0</v>
      </c>
      <c r="R51" s="247">
        <v>0</v>
      </c>
      <c r="S51" s="247">
        <v>0</v>
      </c>
      <c r="T51" s="247">
        <v>0</v>
      </c>
      <c r="U51" s="247">
        <v>0</v>
      </c>
      <c r="V51" s="247">
        <v>0</v>
      </c>
      <c r="W51" s="247">
        <v>0</v>
      </c>
      <c r="X51" s="247">
        <v>0</v>
      </c>
      <c r="Y51" s="247">
        <v>0</v>
      </c>
      <c r="Z51" s="247">
        <v>0</v>
      </c>
      <c r="AA51" s="247">
        <v>450</v>
      </c>
      <c r="AB51" s="247">
        <v>0</v>
      </c>
      <c r="AC51" s="247">
        <v>0</v>
      </c>
      <c r="AD51" s="247">
        <v>0</v>
      </c>
      <c r="AE51" s="248">
        <v>0</v>
      </c>
      <c r="AF51" s="248">
        <v>0</v>
      </c>
      <c r="AG51" s="248">
        <v>1010</v>
      </c>
      <c r="AH51" s="248">
        <v>0</v>
      </c>
      <c r="AI51" s="250">
        <f t="shared" si="1"/>
        <v>5045</v>
      </c>
    </row>
    <row r="52" spans="1:35" s="249" customFormat="1" x14ac:dyDescent="0.35">
      <c r="A52" s="246" t="s">
        <v>1339</v>
      </c>
      <c r="B52" s="247">
        <v>0</v>
      </c>
      <c r="C52" s="247">
        <v>0</v>
      </c>
      <c r="D52" s="247">
        <v>0</v>
      </c>
      <c r="E52" s="247">
        <v>0</v>
      </c>
      <c r="F52" s="247">
        <v>0</v>
      </c>
      <c r="G52" s="247">
        <v>0</v>
      </c>
      <c r="H52" s="247">
        <v>0</v>
      </c>
      <c r="I52" s="247">
        <v>0</v>
      </c>
      <c r="J52" s="247">
        <v>0</v>
      </c>
      <c r="K52" s="247">
        <v>1500</v>
      </c>
      <c r="L52" s="247">
        <v>0</v>
      </c>
      <c r="M52" s="247">
        <v>0</v>
      </c>
      <c r="N52" s="247">
        <v>0</v>
      </c>
      <c r="O52" s="247">
        <v>0</v>
      </c>
      <c r="P52" s="247">
        <v>0</v>
      </c>
      <c r="Q52" s="247">
        <v>1000</v>
      </c>
      <c r="R52" s="247">
        <v>0</v>
      </c>
      <c r="S52" s="247">
        <v>0</v>
      </c>
      <c r="T52" s="247">
        <v>0</v>
      </c>
      <c r="U52" s="247">
        <v>0</v>
      </c>
      <c r="V52" s="247">
        <v>0</v>
      </c>
      <c r="W52" s="247">
        <v>0</v>
      </c>
      <c r="X52" s="247">
        <v>0</v>
      </c>
      <c r="Y52" s="247">
        <v>0</v>
      </c>
      <c r="Z52" s="247">
        <v>0</v>
      </c>
      <c r="AA52" s="247">
        <v>0</v>
      </c>
      <c r="AB52" s="247">
        <v>25000</v>
      </c>
      <c r="AC52" s="247">
        <v>0</v>
      </c>
      <c r="AD52" s="247">
        <v>0</v>
      </c>
      <c r="AE52" s="248">
        <v>0</v>
      </c>
      <c r="AF52" s="248">
        <v>0</v>
      </c>
      <c r="AG52" s="248">
        <v>1150</v>
      </c>
      <c r="AH52" s="248">
        <v>0</v>
      </c>
      <c r="AI52" s="250">
        <f t="shared" si="1"/>
        <v>28650</v>
      </c>
    </row>
    <row r="53" spans="1:35" s="249" customFormat="1" x14ac:dyDescent="0.35">
      <c r="A53" s="246" t="s">
        <v>808</v>
      </c>
      <c r="B53" s="247">
        <v>0</v>
      </c>
      <c r="C53" s="247">
        <v>0</v>
      </c>
      <c r="D53" s="247">
        <v>0</v>
      </c>
      <c r="E53" s="247">
        <v>0</v>
      </c>
      <c r="F53" s="247">
        <v>0</v>
      </c>
      <c r="G53" s="247">
        <v>0</v>
      </c>
      <c r="H53" s="247">
        <v>0</v>
      </c>
      <c r="I53" s="247">
        <v>0</v>
      </c>
      <c r="J53" s="247">
        <v>0</v>
      </c>
      <c r="K53" s="247">
        <v>0</v>
      </c>
      <c r="L53" s="247">
        <v>0</v>
      </c>
      <c r="M53" s="247">
        <v>0</v>
      </c>
      <c r="N53" s="247">
        <v>0</v>
      </c>
      <c r="O53" s="247">
        <v>0</v>
      </c>
      <c r="P53" s="247">
        <v>0</v>
      </c>
      <c r="Q53" s="247">
        <v>0</v>
      </c>
      <c r="R53" s="247">
        <v>0</v>
      </c>
      <c r="S53" s="247">
        <v>0</v>
      </c>
      <c r="T53" s="247">
        <v>1000</v>
      </c>
      <c r="U53" s="247">
        <v>0</v>
      </c>
      <c r="V53" s="247">
        <v>0</v>
      </c>
      <c r="W53" s="247">
        <v>0</v>
      </c>
      <c r="X53" s="247">
        <v>0</v>
      </c>
      <c r="Y53" s="247">
        <v>1000</v>
      </c>
      <c r="Z53" s="247">
        <v>0</v>
      </c>
      <c r="AA53" s="247">
        <v>500</v>
      </c>
      <c r="AB53" s="247">
        <v>0</v>
      </c>
      <c r="AC53" s="247">
        <v>0</v>
      </c>
      <c r="AD53" s="247">
        <v>0</v>
      </c>
      <c r="AE53" s="248">
        <v>0</v>
      </c>
      <c r="AF53" s="248">
        <v>0</v>
      </c>
      <c r="AG53" s="248">
        <v>430</v>
      </c>
      <c r="AH53" s="248">
        <v>0</v>
      </c>
      <c r="AI53" s="250">
        <f t="shared" si="1"/>
        <v>2930</v>
      </c>
    </row>
    <row r="54" spans="1:35" s="249" customFormat="1" x14ac:dyDescent="0.35">
      <c r="A54" s="246" t="s">
        <v>165</v>
      </c>
      <c r="B54" s="247">
        <v>0</v>
      </c>
      <c r="C54" s="247">
        <v>0</v>
      </c>
      <c r="D54" s="247">
        <v>0</v>
      </c>
      <c r="E54" s="247">
        <v>0</v>
      </c>
      <c r="F54" s="247">
        <v>0</v>
      </c>
      <c r="G54" s="247">
        <v>0</v>
      </c>
      <c r="H54" s="247">
        <v>0</v>
      </c>
      <c r="I54" s="247">
        <v>0</v>
      </c>
      <c r="J54" s="247">
        <v>0</v>
      </c>
      <c r="K54" s="247">
        <v>0</v>
      </c>
      <c r="L54" s="247">
        <v>0</v>
      </c>
      <c r="M54" s="247">
        <v>0</v>
      </c>
      <c r="N54" s="247">
        <v>0</v>
      </c>
      <c r="O54" s="247">
        <v>0</v>
      </c>
      <c r="P54" s="247">
        <v>0</v>
      </c>
      <c r="Q54" s="247">
        <v>0</v>
      </c>
      <c r="R54" s="247">
        <v>0</v>
      </c>
      <c r="S54" s="247">
        <v>0</v>
      </c>
      <c r="T54" s="247">
        <v>0</v>
      </c>
      <c r="U54" s="247">
        <v>0</v>
      </c>
      <c r="V54" s="247">
        <v>0</v>
      </c>
      <c r="W54" s="247">
        <v>0</v>
      </c>
      <c r="X54" s="247">
        <v>0</v>
      </c>
      <c r="Y54" s="247">
        <v>0</v>
      </c>
      <c r="Z54" s="247">
        <v>0</v>
      </c>
      <c r="AA54" s="247">
        <v>1000</v>
      </c>
      <c r="AB54" s="247">
        <v>0</v>
      </c>
      <c r="AC54" s="247">
        <v>0</v>
      </c>
      <c r="AD54" s="247">
        <v>0</v>
      </c>
      <c r="AE54" s="248">
        <v>0</v>
      </c>
      <c r="AF54" s="248">
        <v>0</v>
      </c>
      <c r="AG54" s="248">
        <v>950</v>
      </c>
      <c r="AH54" s="248">
        <v>0</v>
      </c>
      <c r="AI54" s="250">
        <f t="shared" si="1"/>
        <v>1950</v>
      </c>
    </row>
    <row r="55" spans="1:35" s="249" customFormat="1" x14ac:dyDescent="0.35">
      <c r="A55" s="246" t="s">
        <v>2230</v>
      </c>
      <c r="B55" s="247">
        <v>0</v>
      </c>
      <c r="C55" s="247">
        <v>0</v>
      </c>
      <c r="D55" s="247">
        <v>0</v>
      </c>
      <c r="E55" s="247">
        <v>0</v>
      </c>
      <c r="F55" s="247">
        <v>0</v>
      </c>
      <c r="G55" s="247">
        <v>0</v>
      </c>
      <c r="H55" s="247">
        <v>0</v>
      </c>
      <c r="I55" s="247">
        <v>0</v>
      </c>
      <c r="J55" s="247">
        <v>0</v>
      </c>
      <c r="K55" s="247">
        <v>0</v>
      </c>
      <c r="L55" s="247">
        <v>0</v>
      </c>
      <c r="M55" s="247">
        <v>0</v>
      </c>
      <c r="N55" s="247">
        <v>0</v>
      </c>
      <c r="O55" s="247">
        <v>0</v>
      </c>
      <c r="P55" s="247">
        <v>0</v>
      </c>
      <c r="Q55" s="247">
        <v>0</v>
      </c>
      <c r="R55" s="247">
        <v>0</v>
      </c>
      <c r="S55" s="247">
        <v>0</v>
      </c>
      <c r="T55" s="247">
        <v>0</v>
      </c>
      <c r="U55" s="247">
        <v>0</v>
      </c>
      <c r="V55" s="247">
        <v>0</v>
      </c>
      <c r="W55" s="247">
        <v>0</v>
      </c>
      <c r="X55" s="247">
        <v>0</v>
      </c>
      <c r="Y55" s="247">
        <v>0</v>
      </c>
      <c r="Z55" s="247">
        <v>0</v>
      </c>
      <c r="AA55" s="247">
        <v>450</v>
      </c>
      <c r="AB55" s="247">
        <v>0</v>
      </c>
      <c r="AC55" s="247">
        <v>0</v>
      </c>
      <c r="AD55" s="247">
        <v>0</v>
      </c>
      <c r="AE55" s="248">
        <v>0</v>
      </c>
      <c r="AF55" s="248">
        <v>0</v>
      </c>
      <c r="AG55" s="248">
        <v>350</v>
      </c>
      <c r="AH55" s="248">
        <v>0</v>
      </c>
      <c r="AI55" s="250">
        <f t="shared" si="1"/>
        <v>800</v>
      </c>
    </row>
    <row r="56" spans="1:35" s="249" customFormat="1" x14ac:dyDescent="0.35">
      <c r="A56" s="246" t="s">
        <v>175</v>
      </c>
      <c r="B56" s="247">
        <v>0</v>
      </c>
      <c r="C56" s="247">
        <v>2450</v>
      </c>
      <c r="D56" s="247">
        <v>0</v>
      </c>
      <c r="E56" s="247">
        <v>0</v>
      </c>
      <c r="F56" s="247">
        <v>0</v>
      </c>
      <c r="G56" s="247">
        <v>0</v>
      </c>
      <c r="H56" s="247">
        <v>1350</v>
      </c>
      <c r="I56" s="247">
        <v>0</v>
      </c>
      <c r="J56" s="247">
        <v>0</v>
      </c>
      <c r="K56" s="247">
        <v>0</v>
      </c>
      <c r="L56" s="247">
        <v>10000</v>
      </c>
      <c r="M56" s="247">
        <v>0</v>
      </c>
      <c r="N56" s="247">
        <v>0</v>
      </c>
      <c r="O56" s="247">
        <v>0</v>
      </c>
      <c r="P56" s="247">
        <v>0</v>
      </c>
      <c r="Q56" s="247">
        <v>1000</v>
      </c>
      <c r="R56" s="247">
        <v>0</v>
      </c>
      <c r="S56" s="247">
        <v>0</v>
      </c>
      <c r="T56" s="247">
        <v>0</v>
      </c>
      <c r="U56" s="247">
        <v>0</v>
      </c>
      <c r="V56" s="247">
        <v>0</v>
      </c>
      <c r="W56" s="247">
        <v>0</v>
      </c>
      <c r="X56" s="247">
        <v>0</v>
      </c>
      <c r="Y56" s="247">
        <v>0</v>
      </c>
      <c r="Z56" s="247">
        <v>0</v>
      </c>
      <c r="AA56" s="247">
        <v>0</v>
      </c>
      <c r="AB56" s="247">
        <v>10000</v>
      </c>
      <c r="AC56" s="247">
        <v>0</v>
      </c>
      <c r="AD56" s="247">
        <v>0</v>
      </c>
      <c r="AE56" s="248">
        <v>0</v>
      </c>
      <c r="AF56" s="248">
        <v>1500</v>
      </c>
      <c r="AG56" s="248">
        <v>775</v>
      </c>
      <c r="AH56" s="248">
        <v>0</v>
      </c>
      <c r="AI56" s="250">
        <f t="shared" si="1"/>
        <v>27075</v>
      </c>
    </row>
    <row r="57" spans="1:35" s="249" customFormat="1" x14ac:dyDescent="0.35">
      <c r="A57" s="246" t="s">
        <v>330</v>
      </c>
      <c r="B57" s="247">
        <v>0</v>
      </c>
      <c r="C57" s="247">
        <v>1500</v>
      </c>
      <c r="D57" s="247">
        <v>0</v>
      </c>
      <c r="E57" s="247">
        <v>0</v>
      </c>
      <c r="F57" s="247">
        <v>0</v>
      </c>
      <c r="G57" s="247">
        <v>0</v>
      </c>
      <c r="H57" s="247">
        <v>0</v>
      </c>
      <c r="I57" s="247">
        <v>0</v>
      </c>
      <c r="J57" s="247">
        <v>0</v>
      </c>
      <c r="K57" s="247">
        <v>0</v>
      </c>
      <c r="L57" s="247">
        <v>0</v>
      </c>
      <c r="M57" s="247">
        <v>0</v>
      </c>
      <c r="N57" s="247">
        <v>0</v>
      </c>
      <c r="O57" s="247">
        <v>0</v>
      </c>
      <c r="P57" s="247">
        <v>0</v>
      </c>
      <c r="Q57" s="247">
        <v>0</v>
      </c>
      <c r="R57" s="247">
        <v>0</v>
      </c>
      <c r="S57" s="247">
        <v>0</v>
      </c>
      <c r="T57" s="247">
        <v>0</v>
      </c>
      <c r="U57" s="247">
        <v>0</v>
      </c>
      <c r="V57" s="247">
        <v>0</v>
      </c>
      <c r="W57" s="247">
        <v>0</v>
      </c>
      <c r="X57" s="247">
        <v>0</v>
      </c>
      <c r="Y57" s="247">
        <v>0</v>
      </c>
      <c r="Z57" s="247">
        <v>0</v>
      </c>
      <c r="AA57" s="247">
        <v>0</v>
      </c>
      <c r="AB57" s="247">
        <v>0</v>
      </c>
      <c r="AC57" s="247">
        <v>0</v>
      </c>
      <c r="AD57" s="247">
        <v>0</v>
      </c>
      <c r="AE57" s="248">
        <v>0</v>
      </c>
      <c r="AF57" s="248">
        <v>0</v>
      </c>
      <c r="AG57" s="248">
        <v>300</v>
      </c>
      <c r="AH57" s="248">
        <v>0</v>
      </c>
      <c r="AI57" s="250">
        <f t="shared" si="1"/>
        <v>1800</v>
      </c>
    </row>
    <row r="58" spans="1:35" s="249" customFormat="1" x14ac:dyDescent="0.35">
      <c r="A58" s="246" t="s">
        <v>181</v>
      </c>
      <c r="B58" s="247">
        <v>0</v>
      </c>
      <c r="C58" s="247">
        <v>0</v>
      </c>
      <c r="D58" s="247">
        <v>0</v>
      </c>
      <c r="E58" s="247">
        <v>0</v>
      </c>
      <c r="F58" s="247">
        <v>0</v>
      </c>
      <c r="G58" s="247">
        <v>0</v>
      </c>
      <c r="H58" s="247">
        <v>0</v>
      </c>
      <c r="I58" s="247">
        <v>0</v>
      </c>
      <c r="J58" s="247">
        <v>0</v>
      </c>
      <c r="K58" s="247">
        <v>0</v>
      </c>
      <c r="L58" s="247">
        <v>0</v>
      </c>
      <c r="M58" s="247">
        <v>0</v>
      </c>
      <c r="N58" s="247">
        <v>0</v>
      </c>
      <c r="O58" s="247">
        <v>0</v>
      </c>
      <c r="P58" s="247">
        <v>0</v>
      </c>
      <c r="Q58" s="247">
        <v>0</v>
      </c>
      <c r="R58" s="247">
        <v>1000</v>
      </c>
      <c r="S58" s="247">
        <v>0</v>
      </c>
      <c r="T58" s="247">
        <v>0</v>
      </c>
      <c r="U58" s="247">
        <v>0</v>
      </c>
      <c r="V58" s="247">
        <v>0</v>
      </c>
      <c r="W58" s="247">
        <v>0</v>
      </c>
      <c r="X58" s="247">
        <v>0</v>
      </c>
      <c r="Y58" s="247">
        <v>0</v>
      </c>
      <c r="Z58" s="247">
        <v>0</v>
      </c>
      <c r="AA58" s="247">
        <v>0</v>
      </c>
      <c r="AB58" s="247">
        <v>47000</v>
      </c>
      <c r="AC58" s="247">
        <v>0</v>
      </c>
      <c r="AD58" s="247">
        <v>0</v>
      </c>
      <c r="AE58" s="248">
        <v>0</v>
      </c>
      <c r="AF58" s="248">
        <v>0</v>
      </c>
      <c r="AG58" s="248">
        <v>0</v>
      </c>
      <c r="AH58" s="248">
        <v>0</v>
      </c>
      <c r="AI58" s="250">
        <f t="shared" si="1"/>
        <v>48000</v>
      </c>
    </row>
    <row r="59" spans="1:35" x14ac:dyDescent="0.35">
      <c r="A59" s="5" t="s">
        <v>170</v>
      </c>
      <c r="B59" s="250">
        <v>0</v>
      </c>
      <c r="C59" s="250">
        <v>2850</v>
      </c>
      <c r="D59" s="250">
        <v>0</v>
      </c>
      <c r="E59" s="250">
        <v>0</v>
      </c>
      <c r="F59" s="250">
        <v>0</v>
      </c>
      <c r="G59" s="250">
        <v>2000</v>
      </c>
      <c r="H59" s="250">
        <v>0</v>
      </c>
      <c r="I59" s="250">
        <v>1000</v>
      </c>
      <c r="J59" s="250">
        <v>0</v>
      </c>
      <c r="K59" s="250">
        <v>3000</v>
      </c>
      <c r="L59" s="250">
        <v>0</v>
      </c>
      <c r="M59" s="250">
        <v>1795</v>
      </c>
      <c r="N59" s="250">
        <v>1000</v>
      </c>
      <c r="O59" s="250">
        <v>0</v>
      </c>
      <c r="P59" s="250">
        <v>0</v>
      </c>
      <c r="Q59" s="250">
        <v>2500</v>
      </c>
      <c r="R59" s="250">
        <v>3000</v>
      </c>
      <c r="S59" s="250">
        <v>1500</v>
      </c>
      <c r="T59" s="250">
        <v>0</v>
      </c>
      <c r="U59" s="250">
        <v>0</v>
      </c>
      <c r="V59" s="250"/>
      <c r="W59" s="250">
        <v>5000</v>
      </c>
      <c r="X59" s="250">
        <v>0</v>
      </c>
      <c r="Y59" s="250">
        <v>0</v>
      </c>
      <c r="Z59" s="250">
        <v>5000</v>
      </c>
      <c r="AA59" s="250">
        <v>0</v>
      </c>
      <c r="AB59" s="250">
        <v>25000</v>
      </c>
      <c r="AC59" s="250">
        <v>1200</v>
      </c>
      <c r="AD59" s="250">
        <v>1000</v>
      </c>
      <c r="AE59" s="251">
        <v>1000</v>
      </c>
      <c r="AF59" s="251">
        <v>1500</v>
      </c>
      <c r="AG59" s="251">
        <v>2600</v>
      </c>
      <c r="AH59" s="251">
        <v>9020</v>
      </c>
      <c r="AI59" s="250">
        <f t="shared" ref="AI59:AI123" si="2">SUM(B59:AH59)</f>
        <v>69965</v>
      </c>
    </row>
    <row r="60" spans="1:35" x14ac:dyDescent="0.35">
      <c r="A60" s="246" t="s">
        <v>2592</v>
      </c>
      <c r="B60" s="250">
        <v>0</v>
      </c>
      <c r="C60" s="250">
        <v>4000</v>
      </c>
      <c r="D60" s="250">
        <v>0</v>
      </c>
      <c r="E60" s="250">
        <v>0</v>
      </c>
      <c r="F60" s="250">
        <v>0</v>
      </c>
      <c r="G60" s="250">
        <v>0</v>
      </c>
      <c r="H60" s="250">
        <v>0</v>
      </c>
      <c r="I60" s="250">
        <v>2500</v>
      </c>
      <c r="J60" s="250">
        <v>0</v>
      </c>
      <c r="K60" s="250">
        <v>0</v>
      </c>
      <c r="L60" s="250">
        <v>0</v>
      </c>
      <c r="M60" s="250">
        <v>0</v>
      </c>
      <c r="N60" s="250">
        <v>0</v>
      </c>
      <c r="O60" s="250">
        <v>300</v>
      </c>
      <c r="P60" s="250">
        <v>0</v>
      </c>
      <c r="Q60" s="250">
        <v>0</v>
      </c>
      <c r="R60" s="250">
        <v>2500</v>
      </c>
      <c r="S60" s="250">
        <v>2500</v>
      </c>
      <c r="T60" s="250">
        <v>0</v>
      </c>
      <c r="U60" s="250">
        <v>0</v>
      </c>
      <c r="V60" s="250">
        <v>0</v>
      </c>
      <c r="W60" s="250">
        <v>0</v>
      </c>
      <c r="X60" s="250">
        <v>0</v>
      </c>
      <c r="Y60" s="250">
        <v>0</v>
      </c>
      <c r="Z60" s="250">
        <v>0</v>
      </c>
      <c r="AA60" s="250">
        <v>0</v>
      </c>
      <c r="AB60" s="250">
        <v>12500</v>
      </c>
      <c r="AC60" s="250">
        <v>0</v>
      </c>
      <c r="AD60" s="250">
        <v>0</v>
      </c>
      <c r="AE60" s="251">
        <v>1000</v>
      </c>
      <c r="AF60" s="251">
        <v>3000</v>
      </c>
      <c r="AG60" s="251">
        <v>950</v>
      </c>
      <c r="AH60" s="251">
        <v>0</v>
      </c>
      <c r="AI60" s="250">
        <f t="shared" si="2"/>
        <v>29250</v>
      </c>
    </row>
    <row r="61" spans="1:35" x14ac:dyDescent="0.35">
      <c r="A61" s="246" t="s">
        <v>388</v>
      </c>
      <c r="B61" s="250">
        <v>0</v>
      </c>
      <c r="C61" s="250">
        <v>1500</v>
      </c>
      <c r="D61" s="250">
        <v>0</v>
      </c>
      <c r="E61" s="250">
        <v>0</v>
      </c>
      <c r="F61" s="250">
        <v>0</v>
      </c>
      <c r="G61" s="250">
        <v>0</v>
      </c>
      <c r="H61" s="250">
        <v>0</v>
      </c>
      <c r="I61" s="250">
        <v>0</v>
      </c>
      <c r="J61" s="250">
        <v>0</v>
      </c>
      <c r="K61" s="250">
        <v>6250</v>
      </c>
      <c r="L61" s="250">
        <v>0</v>
      </c>
      <c r="M61" s="250">
        <v>0</v>
      </c>
      <c r="N61" s="250">
        <v>0</v>
      </c>
      <c r="O61" s="250">
        <v>0</v>
      </c>
      <c r="P61" s="250">
        <v>0</v>
      </c>
      <c r="Q61" s="250">
        <v>0</v>
      </c>
      <c r="R61" s="250">
        <v>0</v>
      </c>
      <c r="S61" s="250">
        <v>0</v>
      </c>
      <c r="T61" s="250">
        <v>0</v>
      </c>
      <c r="U61" s="250">
        <v>0</v>
      </c>
      <c r="V61" s="250">
        <v>0</v>
      </c>
      <c r="W61" s="250">
        <v>0</v>
      </c>
      <c r="X61" s="250">
        <v>0</v>
      </c>
      <c r="Y61" s="250">
        <v>0</v>
      </c>
      <c r="Z61" s="250">
        <v>0</v>
      </c>
      <c r="AA61" s="250">
        <v>0</v>
      </c>
      <c r="AB61" s="250">
        <v>0</v>
      </c>
      <c r="AC61" s="250">
        <v>0</v>
      </c>
      <c r="AD61" s="250">
        <v>0</v>
      </c>
      <c r="AE61" s="251">
        <v>0</v>
      </c>
      <c r="AF61" s="251">
        <v>0</v>
      </c>
      <c r="AG61" s="251">
        <v>350</v>
      </c>
      <c r="AH61" s="251">
        <v>0</v>
      </c>
      <c r="AI61" s="250">
        <f t="shared" si="2"/>
        <v>8100</v>
      </c>
    </row>
    <row r="62" spans="1:35" x14ac:dyDescent="0.35">
      <c r="A62" s="246" t="s">
        <v>2593</v>
      </c>
      <c r="B62" s="250">
        <v>0</v>
      </c>
      <c r="C62" s="250">
        <v>0</v>
      </c>
      <c r="D62" s="250">
        <v>0</v>
      </c>
      <c r="E62" s="250">
        <v>0</v>
      </c>
      <c r="F62" s="250">
        <v>0</v>
      </c>
      <c r="G62" s="250">
        <v>0</v>
      </c>
      <c r="H62" s="250">
        <v>0</v>
      </c>
      <c r="I62" s="250">
        <v>0</v>
      </c>
      <c r="J62" s="250">
        <v>0</v>
      </c>
      <c r="K62" s="250">
        <v>0</v>
      </c>
      <c r="L62" s="250">
        <v>0</v>
      </c>
      <c r="M62" s="250">
        <v>0</v>
      </c>
      <c r="N62" s="250">
        <v>0</v>
      </c>
      <c r="O62" s="250">
        <v>0</v>
      </c>
      <c r="P62" s="250">
        <v>0</v>
      </c>
      <c r="Q62" s="250">
        <v>0</v>
      </c>
      <c r="R62" s="250">
        <v>0</v>
      </c>
      <c r="S62" s="250">
        <v>0</v>
      </c>
      <c r="T62" s="250">
        <v>0</v>
      </c>
      <c r="U62" s="250">
        <v>0</v>
      </c>
      <c r="V62" s="250">
        <v>0</v>
      </c>
      <c r="W62" s="250">
        <v>750</v>
      </c>
      <c r="X62" s="250">
        <v>0</v>
      </c>
      <c r="Y62" s="250">
        <v>0</v>
      </c>
      <c r="Z62" s="250">
        <v>0</v>
      </c>
      <c r="AA62" s="250">
        <v>0</v>
      </c>
      <c r="AB62" s="250">
        <v>0</v>
      </c>
      <c r="AC62" s="250">
        <v>0</v>
      </c>
      <c r="AD62" s="250">
        <v>0</v>
      </c>
      <c r="AE62" s="251">
        <v>0</v>
      </c>
      <c r="AF62" s="251">
        <v>0</v>
      </c>
      <c r="AG62" s="251">
        <v>350</v>
      </c>
      <c r="AH62" s="251">
        <v>0</v>
      </c>
      <c r="AI62" s="250">
        <f t="shared" si="2"/>
        <v>1100</v>
      </c>
    </row>
    <row r="63" spans="1:35" x14ac:dyDescent="0.35">
      <c r="A63" s="246" t="s">
        <v>1273</v>
      </c>
      <c r="B63" s="250">
        <v>0</v>
      </c>
      <c r="C63" s="250">
        <v>0</v>
      </c>
      <c r="D63" s="250">
        <v>0</v>
      </c>
      <c r="E63" s="250">
        <v>0</v>
      </c>
      <c r="F63" s="250">
        <v>0</v>
      </c>
      <c r="G63" s="250">
        <v>0</v>
      </c>
      <c r="H63" s="250">
        <v>0</v>
      </c>
      <c r="I63" s="250">
        <v>0</v>
      </c>
      <c r="J63" s="250">
        <v>4500</v>
      </c>
      <c r="K63" s="250">
        <v>0</v>
      </c>
      <c r="L63" s="250">
        <v>0</v>
      </c>
      <c r="M63" s="250">
        <v>0</v>
      </c>
      <c r="N63" s="250">
        <v>0</v>
      </c>
      <c r="O63" s="250">
        <v>0</v>
      </c>
      <c r="P63" s="250">
        <v>0</v>
      </c>
      <c r="Q63" s="250">
        <v>0</v>
      </c>
      <c r="R63" s="250">
        <v>0</v>
      </c>
      <c r="S63" s="250">
        <v>0</v>
      </c>
      <c r="T63" s="250">
        <v>0</v>
      </c>
      <c r="U63" s="250">
        <v>0</v>
      </c>
      <c r="V63" s="250">
        <v>0</v>
      </c>
      <c r="W63" s="250">
        <v>0</v>
      </c>
      <c r="X63" s="250">
        <v>0</v>
      </c>
      <c r="Y63" s="250">
        <v>0</v>
      </c>
      <c r="Z63" s="250">
        <v>0</v>
      </c>
      <c r="AA63" s="250">
        <v>0</v>
      </c>
      <c r="AB63" s="250">
        <v>0</v>
      </c>
      <c r="AC63" s="250">
        <v>0</v>
      </c>
      <c r="AD63" s="250">
        <v>0</v>
      </c>
      <c r="AE63" s="251">
        <v>0</v>
      </c>
      <c r="AF63" s="251">
        <v>0</v>
      </c>
      <c r="AG63" s="251">
        <v>350</v>
      </c>
      <c r="AH63" s="251">
        <v>0</v>
      </c>
      <c r="AI63" s="250">
        <f t="shared" si="2"/>
        <v>4850</v>
      </c>
    </row>
    <row r="64" spans="1:35" x14ac:dyDescent="0.35">
      <c r="A64" s="246" t="s">
        <v>193</v>
      </c>
      <c r="B64" s="250">
        <v>0</v>
      </c>
      <c r="C64" s="250">
        <v>1500</v>
      </c>
      <c r="D64" s="250">
        <v>0</v>
      </c>
      <c r="E64" s="250">
        <v>0</v>
      </c>
      <c r="F64" s="250">
        <v>0</v>
      </c>
      <c r="G64" s="250">
        <v>0</v>
      </c>
      <c r="H64" s="250">
        <v>0</v>
      </c>
      <c r="I64" s="250">
        <v>0</v>
      </c>
      <c r="J64" s="250">
        <v>0</v>
      </c>
      <c r="K64" s="250">
        <v>2295</v>
      </c>
      <c r="L64" s="250">
        <v>0</v>
      </c>
      <c r="M64" s="250">
        <v>0</v>
      </c>
      <c r="N64" s="250">
        <v>0</v>
      </c>
      <c r="O64" s="250">
        <v>0</v>
      </c>
      <c r="P64" s="250">
        <v>0</v>
      </c>
      <c r="Q64" s="250">
        <v>0</v>
      </c>
      <c r="R64" s="250">
        <v>0</v>
      </c>
      <c r="S64" s="250">
        <v>0</v>
      </c>
      <c r="T64" s="250">
        <v>0</v>
      </c>
      <c r="U64" s="250">
        <v>3500</v>
      </c>
      <c r="V64" s="250">
        <v>0</v>
      </c>
      <c r="W64" s="250">
        <v>1000</v>
      </c>
      <c r="X64" s="250">
        <v>0</v>
      </c>
      <c r="Y64" s="250">
        <v>0</v>
      </c>
      <c r="Z64" s="250">
        <v>0</v>
      </c>
      <c r="AA64" s="250">
        <v>0</v>
      </c>
      <c r="AB64" s="250">
        <v>0</v>
      </c>
      <c r="AC64" s="250">
        <v>0</v>
      </c>
      <c r="AD64" s="250">
        <v>0</v>
      </c>
      <c r="AE64" s="251">
        <v>0</v>
      </c>
      <c r="AF64" s="251">
        <v>1500</v>
      </c>
      <c r="AG64" s="251">
        <v>650</v>
      </c>
      <c r="AH64" s="251">
        <v>0</v>
      </c>
      <c r="AI64" s="250">
        <f t="shared" si="2"/>
        <v>10445</v>
      </c>
    </row>
    <row r="65" spans="1:35" x14ac:dyDescent="0.35">
      <c r="A65" s="246" t="s">
        <v>1532</v>
      </c>
      <c r="B65" s="250">
        <v>0</v>
      </c>
      <c r="C65" s="250">
        <v>0</v>
      </c>
      <c r="D65" s="250">
        <v>0</v>
      </c>
      <c r="E65" s="250">
        <v>0</v>
      </c>
      <c r="F65" s="250">
        <v>0</v>
      </c>
      <c r="G65" s="250">
        <v>0</v>
      </c>
      <c r="H65" s="250">
        <v>0</v>
      </c>
      <c r="I65" s="250">
        <v>0</v>
      </c>
      <c r="J65" s="250">
        <v>0</v>
      </c>
      <c r="K65" s="250">
        <v>0</v>
      </c>
      <c r="L65" s="250">
        <v>0</v>
      </c>
      <c r="M65" s="250">
        <v>0</v>
      </c>
      <c r="N65" s="250">
        <v>1000</v>
      </c>
      <c r="O65" s="250">
        <v>0</v>
      </c>
      <c r="P65" s="250">
        <v>0</v>
      </c>
      <c r="Q65" s="250">
        <v>0</v>
      </c>
      <c r="R65" s="250">
        <v>0</v>
      </c>
      <c r="S65" s="250">
        <v>0</v>
      </c>
      <c r="T65" s="250">
        <v>0</v>
      </c>
      <c r="U65" s="250">
        <v>0</v>
      </c>
      <c r="V65" s="250">
        <v>0</v>
      </c>
      <c r="W65" s="250">
        <v>0</v>
      </c>
      <c r="X65" s="250">
        <v>0</v>
      </c>
      <c r="Y65" s="250">
        <v>0</v>
      </c>
      <c r="Z65" s="250">
        <v>0</v>
      </c>
      <c r="AA65" s="250">
        <v>0</v>
      </c>
      <c r="AB65" s="250">
        <v>0</v>
      </c>
      <c r="AC65" s="250">
        <v>0</v>
      </c>
      <c r="AD65" s="250">
        <v>0</v>
      </c>
      <c r="AE65" s="251">
        <v>0</v>
      </c>
      <c r="AF65" s="251">
        <v>0</v>
      </c>
      <c r="AG65" s="251">
        <v>300</v>
      </c>
      <c r="AH65" s="251">
        <v>0</v>
      </c>
      <c r="AI65" s="250">
        <f t="shared" si="2"/>
        <v>1300</v>
      </c>
    </row>
    <row r="66" spans="1:35" x14ac:dyDescent="0.35">
      <c r="A66" s="246" t="s">
        <v>2594</v>
      </c>
      <c r="B66" s="250">
        <v>0</v>
      </c>
      <c r="C66" s="250">
        <v>0</v>
      </c>
      <c r="D66" s="250">
        <v>0</v>
      </c>
      <c r="E66" s="250">
        <v>0</v>
      </c>
      <c r="F66" s="250">
        <v>0</v>
      </c>
      <c r="G66" s="250">
        <v>0</v>
      </c>
      <c r="H66" s="250">
        <v>0</v>
      </c>
      <c r="I66" s="250">
        <v>0</v>
      </c>
      <c r="J66" s="250">
        <v>0</v>
      </c>
      <c r="K66" s="250">
        <v>0</v>
      </c>
      <c r="L66" s="250">
        <v>0</v>
      </c>
      <c r="M66" s="250">
        <v>0</v>
      </c>
      <c r="N66" s="250">
        <v>0</v>
      </c>
      <c r="O66" s="250">
        <v>0</v>
      </c>
      <c r="P66" s="250">
        <v>0</v>
      </c>
      <c r="Q66" s="250">
        <v>0</v>
      </c>
      <c r="R66" s="250">
        <v>0</v>
      </c>
      <c r="S66" s="250">
        <v>0</v>
      </c>
      <c r="T66" s="250">
        <v>0</v>
      </c>
      <c r="U66" s="250">
        <v>0</v>
      </c>
      <c r="V66" s="250">
        <v>0</v>
      </c>
      <c r="W66" s="250">
        <v>0</v>
      </c>
      <c r="X66" s="250">
        <v>0</v>
      </c>
      <c r="Y66" s="250">
        <v>0</v>
      </c>
      <c r="Z66" s="250">
        <v>0</v>
      </c>
      <c r="AA66" s="250">
        <v>450</v>
      </c>
      <c r="AB66" s="250">
        <v>0</v>
      </c>
      <c r="AC66" s="250">
        <v>0</v>
      </c>
      <c r="AD66" s="250">
        <v>0</v>
      </c>
      <c r="AE66" s="251">
        <v>0</v>
      </c>
      <c r="AF66" s="251">
        <v>0</v>
      </c>
      <c r="AG66" s="251">
        <v>430</v>
      </c>
      <c r="AH66" s="251">
        <v>0</v>
      </c>
      <c r="AI66" s="250">
        <f t="shared" si="2"/>
        <v>880</v>
      </c>
    </row>
    <row r="67" spans="1:35" x14ac:dyDescent="0.35">
      <c r="A67" s="246" t="s">
        <v>198</v>
      </c>
      <c r="B67" s="250">
        <v>0</v>
      </c>
      <c r="C67" s="250">
        <v>2850</v>
      </c>
      <c r="D67" s="250">
        <v>0</v>
      </c>
      <c r="E67" s="250">
        <v>0</v>
      </c>
      <c r="F67" s="250">
        <v>0</v>
      </c>
      <c r="G67" s="250">
        <v>0</v>
      </c>
      <c r="H67" s="250">
        <v>0</v>
      </c>
      <c r="I67" s="250">
        <v>1000</v>
      </c>
      <c r="J67" s="250">
        <v>0</v>
      </c>
      <c r="K67" s="250">
        <v>0</v>
      </c>
      <c r="L67" s="250">
        <v>0</v>
      </c>
      <c r="M67" s="250">
        <v>0</v>
      </c>
      <c r="N67" s="250">
        <v>0</v>
      </c>
      <c r="O67" s="250">
        <v>0</v>
      </c>
      <c r="P67" s="250">
        <v>3000</v>
      </c>
      <c r="Q67" s="250">
        <v>0</v>
      </c>
      <c r="R67" s="250">
        <v>0</v>
      </c>
      <c r="S67" s="250">
        <v>0</v>
      </c>
      <c r="T67" s="250">
        <v>0</v>
      </c>
      <c r="U67" s="250">
        <v>0</v>
      </c>
      <c r="V67" s="250">
        <v>0</v>
      </c>
      <c r="W67" s="250">
        <v>0</v>
      </c>
      <c r="X67" s="250">
        <v>0</v>
      </c>
      <c r="Y67" s="250">
        <v>0</v>
      </c>
      <c r="Z67" s="250">
        <v>0</v>
      </c>
      <c r="AA67" s="250">
        <v>0</v>
      </c>
      <c r="AB67" s="250">
        <v>0</v>
      </c>
      <c r="AC67" s="250">
        <v>0</v>
      </c>
      <c r="AD67" s="250">
        <v>0</v>
      </c>
      <c r="AE67" s="251">
        <v>250</v>
      </c>
      <c r="AF67" s="251">
        <v>1500</v>
      </c>
      <c r="AG67" s="251">
        <v>350</v>
      </c>
      <c r="AH67" s="251">
        <v>15000</v>
      </c>
      <c r="AI67" s="250">
        <f t="shared" si="2"/>
        <v>23950</v>
      </c>
    </row>
    <row r="68" spans="1:35" x14ac:dyDescent="0.35">
      <c r="A68" s="246" t="s">
        <v>199</v>
      </c>
      <c r="B68" s="250">
        <v>0</v>
      </c>
      <c r="C68" s="250">
        <v>1500</v>
      </c>
      <c r="D68" s="250">
        <v>0</v>
      </c>
      <c r="E68" s="250">
        <v>0</v>
      </c>
      <c r="F68" s="250">
        <v>0</v>
      </c>
      <c r="G68" s="250">
        <v>0</v>
      </c>
      <c r="H68" s="250">
        <v>0</v>
      </c>
      <c r="I68" s="250">
        <v>0</v>
      </c>
      <c r="J68" s="250">
        <v>0</v>
      </c>
      <c r="K68" s="250">
        <v>0</v>
      </c>
      <c r="L68" s="250">
        <v>0</v>
      </c>
      <c r="M68" s="250">
        <v>0</v>
      </c>
      <c r="N68" s="250">
        <v>0</v>
      </c>
      <c r="O68" s="250">
        <v>0</v>
      </c>
      <c r="P68" s="250">
        <v>0</v>
      </c>
      <c r="Q68" s="250">
        <v>0</v>
      </c>
      <c r="R68" s="250">
        <v>0</v>
      </c>
      <c r="S68" s="250">
        <v>0</v>
      </c>
      <c r="T68" s="250">
        <v>0</v>
      </c>
      <c r="U68" s="250">
        <v>0</v>
      </c>
      <c r="V68" s="250">
        <v>0</v>
      </c>
      <c r="W68" s="250">
        <v>0</v>
      </c>
      <c r="X68" s="250">
        <v>0</v>
      </c>
      <c r="Y68" s="250">
        <v>0</v>
      </c>
      <c r="Z68" s="250">
        <v>0</v>
      </c>
      <c r="AA68" s="250">
        <v>0</v>
      </c>
      <c r="AB68" s="250">
        <v>10000</v>
      </c>
      <c r="AC68" s="250">
        <v>0</v>
      </c>
      <c r="AD68" s="250">
        <v>0</v>
      </c>
      <c r="AE68" s="251">
        <v>0</v>
      </c>
      <c r="AF68" s="251">
        <v>1500</v>
      </c>
      <c r="AG68" s="251">
        <v>1150</v>
      </c>
      <c r="AH68" s="251">
        <v>0</v>
      </c>
      <c r="AI68" s="250">
        <f t="shared" si="2"/>
        <v>14150</v>
      </c>
    </row>
    <row r="69" spans="1:35" x14ac:dyDescent="0.35">
      <c r="A69" s="246" t="s">
        <v>2223</v>
      </c>
      <c r="B69" s="250">
        <v>0</v>
      </c>
      <c r="C69" s="250">
        <v>0</v>
      </c>
      <c r="D69" s="250">
        <v>0</v>
      </c>
      <c r="E69" s="250">
        <v>0</v>
      </c>
      <c r="F69" s="250">
        <v>0</v>
      </c>
      <c r="G69" s="250">
        <v>0</v>
      </c>
      <c r="H69" s="250">
        <v>0</v>
      </c>
      <c r="I69" s="250">
        <v>0</v>
      </c>
      <c r="J69" s="250">
        <v>0</v>
      </c>
      <c r="K69" s="250">
        <v>0</v>
      </c>
      <c r="L69" s="250">
        <v>0</v>
      </c>
      <c r="M69" s="250">
        <v>0</v>
      </c>
      <c r="N69" s="250">
        <v>0</v>
      </c>
      <c r="O69" s="250">
        <v>0</v>
      </c>
      <c r="P69" s="250">
        <v>0</v>
      </c>
      <c r="Q69" s="250">
        <v>0</v>
      </c>
      <c r="R69" s="250">
        <v>0</v>
      </c>
      <c r="S69" s="250">
        <v>0</v>
      </c>
      <c r="T69" s="250">
        <v>0</v>
      </c>
      <c r="U69" s="250">
        <v>0</v>
      </c>
      <c r="V69" s="250">
        <v>0</v>
      </c>
      <c r="W69" s="250">
        <v>0</v>
      </c>
      <c r="X69" s="250">
        <v>0</v>
      </c>
      <c r="Y69" s="250">
        <v>0</v>
      </c>
      <c r="Z69" s="250">
        <v>0</v>
      </c>
      <c r="AA69" s="250">
        <v>1000</v>
      </c>
      <c r="AB69" s="250">
        <v>0</v>
      </c>
      <c r="AC69" s="250">
        <v>0</v>
      </c>
      <c r="AD69" s="250">
        <v>0</v>
      </c>
      <c r="AE69" s="251">
        <v>0</v>
      </c>
      <c r="AF69" s="251">
        <v>0</v>
      </c>
      <c r="AG69" s="251">
        <v>480</v>
      </c>
      <c r="AH69" s="251">
        <v>0</v>
      </c>
      <c r="AI69" s="250">
        <f t="shared" si="2"/>
        <v>1480</v>
      </c>
    </row>
    <row r="70" spans="1:35" x14ac:dyDescent="0.35">
      <c r="A70" s="246" t="s">
        <v>2595</v>
      </c>
      <c r="B70" s="250">
        <v>0</v>
      </c>
      <c r="C70" s="250">
        <v>0</v>
      </c>
      <c r="D70" s="250">
        <v>0</v>
      </c>
      <c r="E70" s="250">
        <v>0</v>
      </c>
      <c r="F70" s="250">
        <v>350</v>
      </c>
      <c r="G70" s="250">
        <v>0</v>
      </c>
      <c r="H70" s="250">
        <v>0</v>
      </c>
      <c r="I70" s="250">
        <v>0</v>
      </c>
      <c r="J70" s="250">
        <v>0</v>
      </c>
      <c r="K70" s="250">
        <v>0</v>
      </c>
      <c r="L70" s="250">
        <v>0</v>
      </c>
      <c r="M70" s="250">
        <v>0</v>
      </c>
      <c r="N70" s="250">
        <v>0</v>
      </c>
      <c r="O70" s="250">
        <v>0</v>
      </c>
      <c r="P70" s="250">
        <v>0</v>
      </c>
      <c r="Q70" s="250">
        <v>0</v>
      </c>
      <c r="R70" s="250">
        <v>0</v>
      </c>
      <c r="S70" s="250">
        <v>0</v>
      </c>
      <c r="T70" s="250">
        <v>0</v>
      </c>
      <c r="U70" s="250">
        <v>0</v>
      </c>
      <c r="V70" s="250">
        <v>0</v>
      </c>
      <c r="W70" s="250">
        <v>0</v>
      </c>
      <c r="X70" s="250">
        <v>0</v>
      </c>
      <c r="Y70" s="250">
        <v>0</v>
      </c>
      <c r="Z70" s="250">
        <v>0</v>
      </c>
      <c r="AA70" s="250">
        <v>0</v>
      </c>
      <c r="AB70" s="250">
        <v>0</v>
      </c>
      <c r="AC70" s="250">
        <v>0</v>
      </c>
      <c r="AD70" s="250">
        <v>0</v>
      </c>
      <c r="AE70" s="251">
        <v>0</v>
      </c>
      <c r="AF70" s="251">
        <v>0</v>
      </c>
      <c r="AG70" s="251">
        <v>0</v>
      </c>
      <c r="AH70" s="251">
        <v>0</v>
      </c>
      <c r="AI70" s="250">
        <f t="shared" si="2"/>
        <v>350</v>
      </c>
    </row>
    <row r="71" spans="1:35" x14ac:dyDescent="0.35">
      <c r="A71" s="5" t="s">
        <v>38</v>
      </c>
      <c r="B71" s="250">
        <v>0</v>
      </c>
      <c r="C71" s="250">
        <v>7500</v>
      </c>
      <c r="D71" s="250">
        <v>0</v>
      </c>
      <c r="E71" s="250">
        <v>0</v>
      </c>
      <c r="F71" s="250">
        <v>0</v>
      </c>
      <c r="G71" s="250">
        <v>0</v>
      </c>
      <c r="H71" s="250">
        <v>0</v>
      </c>
      <c r="I71" s="250">
        <v>1000</v>
      </c>
      <c r="J71" s="250">
        <v>0</v>
      </c>
      <c r="K71" s="250">
        <v>2295</v>
      </c>
      <c r="L71" s="250">
        <v>0</v>
      </c>
      <c r="M71" s="250">
        <v>3590</v>
      </c>
      <c r="N71" s="250">
        <v>1600</v>
      </c>
      <c r="O71" s="250">
        <v>2500</v>
      </c>
      <c r="P71" s="250">
        <v>0</v>
      </c>
      <c r="Q71" s="250">
        <v>2500</v>
      </c>
      <c r="R71" s="250">
        <v>2000</v>
      </c>
      <c r="S71" s="250">
        <v>1500</v>
      </c>
      <c r="T71" s="250">
        <v>0</v>
      </c>
      <c r="U71" s="250">
        <v>2500</v>
      </c>
      <c r="V71" s="250">
        <v>0</v>
      </c>
      <c r="W71" s="250">
        <v>5000</v>
      </c>
      <c r="X71" s="250">
        <v>0</v>
      </c>
      <c r="Y71" s="250">
        <v>0</v>
      </c>
      <c r="Z71" s="250">
        <v>10000</v>
      </c>
      <c r="AA71" s="250">
        <v>2500</v>
      </c>
      <c r="AB71" s="250">
        <v>10000</v>
      </c>
      <c r="AC71" s="250">
        <v>0</v>
      </c>
      <c r="AD71" s="250">
        <v>2500</v>
      </c>
      <c r="AE71" s="251">
        <v>5000</v>
      </c>
      <c r="AF71" s="251">
        <v>100000</v>
      </c>
      <c r="AG71" s="251">
        <v>2500</v>
      </c>
      <c r="AH71" s="251">
        <v>100000</v>
      </c>
      <c r="AI71" s="250">
        <f t="shared" si="2"/>
        <v>264485</v>
      </c>
    </row>
    <row r="72" spans="1:35" x14ac:dyDescent="0.35">
      <c r="A72" s="246" t="s">
        <v>2388</v>
      </c>
      <c r="B72" s="250">
        <v>0</v>
      </c>
      <c r="C72" s="250">
        <v>0</v>
      </c>
      <c r="D72" s="250">
        <v>0</v>
      </c>
      <c r="E72" s="250">
        <v>0</v>
      </c>
      <c r="F72" s="250">
        <v>0</v>
      </c>
      <c r="G72" s="250">
        <v>0</v>
      </c>
      <c r="H72" s="250">
        <v>0</v>
      </c>
      <c r="I72" s="250">
        <v>0</v>
      </c>
      <c r="J72" s="250">
        <v>0</v>
      </c>
      <c r="K72" s="250">
        <v>0</v>
      </c>
      <c r="L72" s="250">
        <v>0</v>
      </c>
      <c r="M72" s="250">
        <v>0</v>
      </c>
      <c r="N72" s="250">
        <v>0</v>
      </c>
      <c r="O72" s="250">
        <v>0</v>
      </c>
      <c r="P72" s="250">
        <v>0</v>
      </c>
      <c r="Q72" s="250">
        <v>0</v>
      </c>
      <c r="R72" s="250">
        <v>0</v>
      </c>
      <c r="S72" s="250">
        <v>0</v>
      </c>
      <c r="T72" s="250">
        <v>0</v>
      </c>
      <c r="U72" s="250">
        <v>0</v>
      </c>
      <c r="V72" s="250">
        <v>0</v>
      </c>
      <c r="W72" s="250">
        <v>0</v>
      </c>
      <c r="X72" s="250">
        <v>0</v>
      </c>
      <c r="Y72" s="250">
        <v>0</v>
      </c>
      <c r="Z72" s="250">
        <v>0</v>
      </c>
      <c r="AA72" s="250">
        <v>0</v>
      </c>
      <c r="AB72" s="250">
        <v>10000</v>
      </c>
      <c r="AC72" s="250">
        <v>0</v>
      </c>
      <c r="AD72" s="250">
        <v>0</v>
      </c>
      <c r="AE72" s="251">
        <v>0</v>
      </c>
      <c r="AF72" s="251">
        <v>0</v>
      </c>
      <c r="AG72" s="251">
        <v>300</v>
      </c>
      <c r="AH72" s="251">
        <v>0</v>
      </c>
      <c r="AI72" s="250">
        <f t="shared" si="2"/>
        <v>10300</v>
      </c>
    </row>
    <row r="73" spans="1:35" x14ac:dyDescent="0.35">
      <c r="A73" s="246" t="s">
        <v>1929</v>
      </c>
      <c r="B73" s="250">
        <v>0</v>
      </c>
      <c r="C73" s="250">
        <v>0</v>
      </c>
      <c r="D73" s="250">
        <v>0</v>
      </c>
      <c r="E73" s="250">
        <v>0</v>
      </c>
      <c r="F73" s="250">
        <v>0</v>
      </c>
      <c r="G73" s="250">
        <v>0</v>
      </c>
      <c r="H73" s="250">
        <v>0</v>
      </c>
      <c r="I73" s="250">
        <v>0</v>
      </c>
      <c r="J73" s="250">
        <v>0</v>
      </c>
      <c r="K73" s="250">
        <v>0</v>
      </c>
      <c r="L73" s="250">
        <v>0</v>
      </c>
      <c r="M73" s="250">
        <v>0</v>
      </c>
      <c r="N73" s="250">
        <v>0</v>
      </c>
      <c r="O73" s="250">
        <v>0</v>
      </c>
      <c r="P73" s="250">
        <v>0</v>
      </c>
      <c r="Q73" s="250">
        <v>0</v>
      </c>
      <c r="R73" s="250">
        <v>0</v>
      </c>
      <c r="S73" s="250">
        <v>0</v>
      </c>
      <c r="T73" s="250">
        <v>0</v>
      </c>
      <c r="U73" s="250">
        <v>0</v>
      </c>
      <c r="V73" s="250">
        <v>0</v>
      </c>
      <c r="W73" s="250">
        <v>871</v>
      </c>
      <c r="X73" s="250">
        <v>0</v>
      </c>
      <c r="Y73" s="250">
        <v>0</v>
      </c>
      <c r="Z73" s="250">
        <v>0</v>
      </c>
      <c r="AA73" s="250">
        <v>0</v>
      </c>
      <c r="AB73" s="250">
        <v>0</v>
      </c>
      <c r="AC73" s="250">
        <v>0</v>
      </c>
      <c r="AD73" s="250">
        <v>0</v>
      </c>
      <c r="AE73" s="251">
        <v>0</v>
      </c>
      <c r="AF73" s="251">
        <v>0</v>
      </c>
      <c r="AG73" s="251">
        <v>0</v>
      </c>
      <c r="AH73" s="251">
        <v>0</v>
      </c>
      <c r="AI73" s="250">
        <f t="shared" si="2"/>
        <v>871</v>
      </c>
    </row>
    <row r="74" spans="1:35" x14ac:dyDescent="0.35">
      <c r="A74" s="246" t="s">
        <v>2343</v>
      </c>
      <c r="B74" s="250">
        <v>0</v>
      </c>
      <c r="C74" s="250">
        <v>0</v>
      </c>
      <c r="D74" s="250">
        <v>0</v>
      </c>
      <c r="E74" s="250">
        <v>0</v>
      </c>
      <c r="F74" s="250">
        <v>0</v>
      </c>
      <c r="G74" s="250">
        <v>0</v>
      </c>
      <c r="H74" s="250">
        <v>0</v>
      </c>
      <c r="I74" s="250">
        <v>0</v>
      </c>
      <c r="J74" s="250">
        <v>0</v>
      </c>
      <c r="K74" s="250">
        <v>0</v>
      </c>
      <c r="L74" s="250">
        <v>0</v>
      </c>
      <c r="M74" s="250">
        <v>0</v>
      </c>
      <c r="N74" s="250">
        <v>0</v>
      </c>
      <c r="O74" s="250">
        <v>0</v>
      </c>
      <c r="P74" s="250">
        <v>0</v>
      </c>
      <c r="Q74" s="250">
        <v>0</v>
      </c>
      <c r="R74" s="250">
        <v>0</v>
      </c>
      <c r="S74" s="250">
        <v>0</v>
      </c>
      <c r="T74" s="250">
        <v>0</v>
      </c>
      <c r="U74" s="250">
        <v>0</v>
      </c>
      <c r="V74" s="250">
        <v>0</v>
      </c>
      <c r="W74" s="250">
        <v>0</v>
      </c>
      <c r="X74" s="250">
        <v>0</v>
      </c>
      <c r="Y74" s="250">
        <v>0</v>
      </c>
      <c r="Z74" s="250">
        <v>0</v>
      </c>
      <c r="AA74" s="250">
        <v>750</v>
      </c>
      <c r="AB74" s="250">
        <v>0</v>
      </c>
      <c r="AC74" s="250">
        <v>0</v>
      </c>
      <c r="AD74" s="250">
        <v>0</v>
      </c>
      <c r="AE74" s="251">
        <v>0</v>
      </c>
      <c r="AF74" s="251">
        <v>0</v>
      </c>
      <c r="AG74" s="251">
        <v>0</v>
      </c>
      <c r="AH74" s="251">
        <v>0</v>
      </c>
      <c r="AI74" s="250">
        <f t="shared" si="2"/>
        <v>750</v>
      </c>
    </row>
    <row r="75" spans="1:35" x14ac:dyDescent="0.35">
      <c r="A75" s="246" t="s">
        <v>640</v>
      </c>
      <c r="B75" s="250">
        <v>0</v>
      </c>
      <c r="C75" s="250">
        <v>0</v>
      </c>
      <c r="D75" s="250">
        <v>0</v>
      </c>
      <c r="E75" s="250">
        <v>0</v>
      </c>
      <c r="F75" s="250">
        <v>1000</v>
      </c>
      <c r="G75" s="250">
        <v>0</v>
      </c>
      <c r="H75" s="250">
        <v>0</v>
      </c>
      <c r="I75" s="250">
        <v>0</v>
      </c>
      <c r="J75" s="250">
        <v>0</v>
      </c>
      <c r="K75" s="250">
        <v>0</v>
      </c>
      <c r="L75" s="250">
        <v>0</v>
      </c>
      <c r="M75" s="250">
        <v>0</v>
      </c>
      <c r="N75" s="250">
        <v>0</v>
      </c>
      <c r="O75" s="250">
        <v>0</v>
      </c>
      <c r="P75" s="250">
        <v>0</v>
      </c>
      <c r="Q75" s="250">
        <v>0</v>
      </c>
      <c r="R75" s="250">
        <v>3000</v>
      </c>
      <c r="S75" s="250">
        <v>0</v>
      </c>
      <c r="T75" s="250">
        <v>0</v>
      </c>
      <c r="U75" s="250">
        <v>0</v>
      </c>
      <c r="V75" s="250">
        <v>0</v>
      </c>
      <c r="W75" s="250">
        <v>0</v>
      </c>
      <c r="X75" s="250">
        <v>0</v>
      </c>
      <c r="Y75" s="250">
        <v>0</v>
      </c>
      <c r="Z75" s="250">
        <v>0</v>
      </c>
      <c r="AA75" s="250">
        <v>0</v>
      </c>
      <c r="AB75" s="250">
        <v>0</v>
      </c>
      <c r="AC75" s="250">
        <v>0</v>
      </c>
      <c r="AD75" s="250">
        <v>0</v>
      </c>
      <c r="AE75" s="251">
        <v>0</v>
      </c>
      <c r="AF75" s="251">
        <v>0</v>
      </c>
      <c r="AG75" s="251">
        <v>430</v>
      </c>
      <c r="AH75" s="251">
        <v>0</v>
      </c>
      <c r="AI75" s="250">
        <f t="shared" si="2"/>
        <v>4430</v>
      </c>
    </row>
    <row r="76" spans="1:35" x14ac:dyDescent="0.35">
      <c r="A76" s="246" t="s">
        <v>2234</v>
      </c>
      <c r="B76" s="250">
        <v>0</v>
      </c>
      <c r="C76" s="250">
        <v>0</v>
      </c>
      <c r="D76" s="250">
        <v>0</v>
      </c>
      <c r="E76" s="250">
        <v>0</v>
      </c>
      <c r="F76" s="250">
        <v>0</v>
      </c>
      <c r="G76" s="250">
        <v>0</v>
      </c>
      <c r="H76" s="250">
        <v>0</v>
      </c>
      <c r="I76" s="250">
        <v>0</v>
      </c>
      <c r="J76" s="250">
        <v>0</v>
      </c>
      <c r="K76" s="250">
        <v>0</v>
      </c>
      <c r="L76" s="250">
        <v>0</v>
      </c>
      <c r="M76" s="250">
        <v>0</v>
      </c>
      <c r="N76" s="250">
        <v>0</v>
      </c>
      <c r="O76" s="250">
        <v>0</v>
      </c>
      <c r="P76" s="250">
        <v>0</v>
      </c>
      <c r="Q76" s="250">
        <v>0</v>
      </c>
      <c r="R76" s="250">
        <v>0</v>
      </c>
      <c r="S76" s="250">
        <v>0</v>
      </c>
      <c r="T76" s="250">
        <v>0</v>
      </c>
      <c r="U76" s="250">
        <v>0</v>
      </c>
      <c r="V76" s="250">
        <v>0</v>
      </c>
      <c r="W76" s="250">
        <v>0</v>
      </c>
      <c r="X76" s="250">
        <v>0</v>
      </c>
      <c r="Y76" s="250">
        <v>0</v>
      </c>
      <c r="Z76" s="250">
        <v>0</v>
      </c>
      <c r="AA76" s="250">
        <v>450</v>
      </c>
      <c r="AB76" s="250">
        <v>0</v>
      </c>
      <c r="AC76" s="250">
        <v>0</v>
      </c>
      <c r="AD76" s="250">
        <v>0</v>
      </c>
      <c r="AE76" s="251">
        <v>0</v>
      </c>
      <c r="AF76" s="251">
        <v>0</v>
      </c>
      <c r="AG76" s="251">
        <v>350</v>
      </c>
      <c r="AH76" s="251">
        <v>0</v>
      </c>
      <c r="AI76" s="250">
        <f t="shared" si="2"/>
        <v>800</v>
      </c>
    </row>
    <row r="77" spans="1:35" x14ac:dyDescent="0.35">
      <c r="A77" s="246" t="s">
        <v>862</v>
      </c>
      <c r="B77" s="250">
        <v>0</v>
      </c>
      <c r="C77" s="250">
        <v>0</v>
      </c>
      <c r="D77" s="250">
        <v>0</v>
      </c>
      <c r="E77" s="250">
        <v>0</v>
      </c>
      <c r="F77" s="250">
        <v>0</v>
      </c>
      <c r="G77" s="250">
        <v>785</v>
      </c>
      <c r="H77" s="250">
        <v>0</v>
      </c>
      <c r="I77" s="250">
        <v>0</v>
      </c>
      <c r="J77" s="250">
        <v>0</v>
      </c>
      <c r="K77" s="250">
        <v>0</v>
      </c>
      <c r="L77" s="250">
        <v>0</v>
      </c>
      <c r="M77" s="250">
        <v>0</v>
      </c>
      <c r="N77" s="250">
        <v>0</v>
      </c>
      <c r="O77" s="250">
        <v>0</v>
      </c>
      <c r="P77" s="250">
        <v>0</v>
      </c>
      <c r="Q77" s="250">
        <v>0</v>
      </c>
      <c r="R77" s="250">
        <v>0</v>
      </c>
      <c r="S77" s="250">
        <v>0</v>
      </c>
      <c r="T77" s="250">
        <v>0</v>
      </c>
      <c r="U77" s="250">
        <v>0</v>
      </c>
      <c r="V77" s="250">
        <v>0</v>
      </c>
      <c r="W77" s="250">
        <v>0</v>
      </c>
      <c r="X77" s="250">
        <v>0</v>
      </c>
      <c r="Y77" s="250">
        <v>0</v>
      </c>
      <c r="Z77" s="250">
        <v>0</v>
      </c>
      <c r="AA77" s="250">
        <v>0</v>
      </c>
      <c r="AB77" s="250">
        <v>0</v>
      </c>
      <c r="AC77" s="250">
        <v>0</v>
      </c>
      <c r="AD77" s="250">
        <v>0</v>
      </c>
      <c r="AE77" s="251">
        <v>0</v>
      </c>
      <c r="AF77" s="251">
        <v>0</v>
      </c>
      <c r="AG77" s="251">
        <v>350</v>
      </c>
      <c r="AH77" s="251">
        <v>0</v>
      </c>
      <c r="AI77" s="250">
        <f t="shared" si="2"/>
        <v>1135</v>
      </c>
    </row>
    <row r="78" spans="1:35" x14ac:dyDescent="0.35">
      <c r="A78" s="246" t="s">
        <v>1416</v>
      </c>
      <c r="B78" s="250">
        <v>0</v>
      </c>
      <c r="C78" s="250">
        <v>0</v>
      </c>
      <c r="D78" s="250">
        <v>0</v>
      </c>
      <c r="E78" s="250">
        <v>0</v>
      </c>
      <c r="F78" s="250">
        <v>0</v>
      </c>
      <c r="G78" s="250">
        <v>500</v>
      </c>
      <c r="H78" s="250">
        <v>0</v>
      </c>
      <c r="I78" s="250">
        <v>0</v>
      </c>
      <c r="J78" s="250">
        <v>0</v>
      </c>
      <c r="K78" s="250">
        <v>2000</v>
      </c>
      <c r="L78" s="250">
        <v>0</v>
      </c>
      <c r="M78" s="250">
        <v>0</v>
      </c>
      <c r="N78" s="250">
        <v>0</v>
      </c>
      <c r="O78" s="250">
        <v>0</v>
      </c>
      <c r="P78" s="250">
        <v>0</v>
      </c>
      <c r="Q78" s="250">
        <v>0</v>
      </c>
      <c r="R78" s="250">
        <v>0</v>
      </c>
      <c r="S78" s="250">
        <v>0</v>
      </c>
      <c r="T78" s="250">
        <v>0</v>
      </c>
      <c r="U78" s="250">
        <v>0</v>
      </c>
      <c r="V78" s="250">
        <v>0</v>
      </c>
      <c r="W78" s="250">
        <v>0</v>
      </c>
      <c r="X78" s="250">
        <v>0</v>
      </c>
      <c r="Y78" s="250">
        <v>0</v>
      </c>
      <c r="Z78" s="250">
        <v>0</v>
      </c>
      <c r="AA78" s="250">
        <v>0</v>
      </c>
      <c r="AB78" s="250">
        <v>0</v>
      </c>
      <c r="AC78" s="250">
        <v>0</v>
      </c>
      <c r="AD78" s="250">
        <v>0</v>
      </c>
      <c r="AE78" s="251">
        <v>0</v>
      </c>
      <c r="AF78" s="251">
        <v>0</v>
      </c>
      <c r="AG78" s="251">
        <v>480</v>
      </c>
      <c r="AH78" s="251">
        <v>0</v>
      </c>
      <c r="AI78" s="250">
        <f t="shared" si="2"/>
        <v>2980</v>
      </c>
    </row>
    <row r="79" spans="1:35" x14ac:dyDescent="0.35">
      <c r="A79" s="246" t="s">
        <v>2237</v>
      </c>
      <c r="B79" s="250">
        <v>0</v>
      </c>
      <c r="C79" s="250">
        <v>0</v>
      </c>
      <c r="D79" s="250">
        <v>0</v>
      </c>
      <c r="E79" s="250">
        <v>0</v>
      </c>
      <c r="F79" s="250">
        <v>0</v>
      </c>
      <c r="G79" s="250">
        <v>0</v>
      </c>
      <c r="H79" s="250">
        <v>0</v>
      </c>
      <c r="I79" s="250">
        <v>0</v>
      </c>
      <c r="J79" s="250">
        <v>0</v>
      </c>
      <c r="K79" s="250">
        <v>0</v>
      </c>
      <c r="L79" s="250">
        <v>0</v>
      </c>
      <c r="M79" s="250">
        <v>0</v>
      </c>
      <c r="N79" s="250">
        <v>0</v>
      </c>
      <c r="O79" s="250">
        <v>0</v>
      </c>
      <c r="P79" s="250">
        <v>0</v>
      </c>
      <c r="Q79" s="250">
        <v>0</v>
      </c>
      <c r="R79" s="250">
        <v>0</v>
      </c>
      <c r="S79" s="250">
        <v>0</v>
      </c>
      <c r="T79" s="250">
        <v>0</v>
      </c>
      <c r="U79" s="250">
        <v>0</v>
      </c>
      <c r="V79" s="250">
        <v>0</v>
      </c>
      <c r="W79" s="250">
        <v>0</v>
      </c>
      <c r="X79" s="250">
        <v>0</v>
      </c>
      <c r="Y79" s="250">
        <v>0</v>
      </c>
      <c r="Z79" s="250">
        <v>0</v>
      </c>
      <c r="AA79" s="250">
        <v>500</v>
      </c>
      <c r="AB79" s="250">
        <v>0</v>
      </c>
      <c r="AC79" s="250">
        <v>0</v>
      </c>
      <c r="AD79" s="250">
        <v>0</v>
      </c>
      <c r="AE79" s="251">
        <v>0</v>
      </c>
      <c r="AF79" s="251">
        <v>0</v>
      </c>
      <c r="AG79" s="251">
        <v>350</v>
      </c>
      <c r="AH79" s="251">
        <v>0</v>
      </c>
      <c r="AI79" s="250">
        <f t="shared" si="2"/>
        <v>850</v>
      </c>
    </row>
    <row r="80" spans="1:35" x14ac:dyDescent="0.35">
      <c r="A80" s="246" t="s">
        <v>48</v>
      </c>
      <c r="B80" s="250">
        <v>500</v>
      </c>
      <c r="C80" s="250">
        <v>10000</v>
      </c>
      <c r="D80" s="250">
        <v>500</v>
      </c>
      <c r="E80" s="250">
        <v>7500</v>
      </c>
      <c r="F80" s="250">
        <v>500</v>
      </c>
      <c r="G80" s="250">
        <v>1000</v>
      </c>
      <c r="H80" s="250">
        <v>2500</v>
      </c>
      <c r="I80" s="250">
        <v>1000</v>
      </c>
      <c r="J80" s="250">
        <v>0</v>
      </c>
      <c r="K80" s="250">
        <v>3000</v>
      </c>
      <c r="L80" s="250">
        <v>1200</v>
      </c>
      <c r="M80" s="250">
        <v>5385</v>
      </c>
      <c r="N80" s="250">
        <v>2500</v>
      </c>
      <c r="O80" s="250">
        <v>1000</v>
      </c>
      <c r="P80" s="250">
        <v>3000</v>
      </c>
      <c r="Q80" s="250">
        <v>5000</v>
      </c>
      <c r="R80" s="250">
        <v>0</v>
      </c>
      <c r="S80" s="250">
        <v>3500</v>
      </c>
      <c r="T80" s="250">
        <v>10000</v>
      </c>
      <c r="U80" s="250">
        <v>1000</v>
      </c>
      <c r="V80" s="250">
        <v>0</v>
      </c>
      <c r="W80" s="250">
        <v>11700</v>
      </c>
      <c r="X80" s="250">
        <v>0</v>
      </c>
      <c r="Y80" s="250">
        <v>1000</v>
      </c>
      <c r="Z80" s="250">
        <v>2500</v>
      </c>
      <c r="AA80" s="250">
        <v>2500</v>
      </c>
      <c r="AB80" s="250">
        <v>5000</v>
      </c>
      <c r="AC80" s="250">
        <v>1200</v>
      </c>
      <c r="AD80" s="250">
        <v>1000</v>
      </c>
      <c r="AE80" s="251">
        <v>3000</v>
      </c>
      <c r="AF80" s="251">
        <v>2500</v>
      </c>
      <c r="AG80" s="251">
        <v>3250</v>
      </c>
      <c r="AH80" s="251">
        <v>0</v>
      </c>
      <c r="AI80" s="250">
        <f t="shared" si="2"/>
        <v>92735</v>
      </c>
    </row>
    <row r="81" spans="1:36" x14ac:dyDescent="0.35">
      <c r="A81" s="246" t="s">
        <v>1442</v>
      </c>
      <c r="B81" s="250">
        <v>0</v>
      </c>
      <c r="C81" s="250">
        <v>0</v>
      </c>
      <c r="D81" s="250">
        <v>0</v>
      </c>
      <c r="E81" s="250">
        <v>0</v>
      </c>
      <c r="F81" s="250">
        <v>0</v>
      </c>
      <c r="G81" s="250">
        <v>0</v>
      </c>
      <c r="H81" s="250">
        <v>0</v>
      </c>
      <c r="I81" s="250">
        <v>0</v>
      </c>
      <c r="J81" s="250">
        <v>0</v>
      </c>
      <c r="K81" s="250">
        <v>0</v>
      </c>
      <c r="L81" s="250">
        <v>2500</v>
      </c>
      <c r="M81" s="250">
        <v>0</v>
      </c>
      <c r="N81" s="250">
        <v>0</v>
      </c>
      <c r="O81" s="250">
        <v>0</v>
      </c>
      <c r="P81" s="250">
        <v>0</v>
      </c>
      <c r="Q81" s="250">
        <v>0</v>
      </c>
      <c r="R81" s="250">
        <v>0</v>
      </c>
      <c r="S81" s="250">
        <v>0</v>
      </c>
      <c r="T81" s="250">
        <v>0</v>
      </c>
      <c r="U81" s="250">
        <v>0</v>
      </c>
      <c r="V81" s="250">
        <v>0</v>
      </c>
      <c r="W81" s="250">
        <v>0</v>
      </c>
      <c r="X81" s="250">
        <v>0</v>
      </c>
      <c r="Y81" s="250">
        <v>0</v>
      </c>
      <c r="Z81" s="250">
        <v>0</v>
      </c>
      <c r="AA81" s="250">
        <v>0</v>
      </c>
      <c r="AB81" s="250">
        <v>0</v>
      </c>
      <c r="AC81" s="250">
        <v>0</v>
      </c>
      <c r="AD81" s="250">
        <v>0</v>
      </c>
      <c r="AE81" s="251">
        <v>0</v>
      </c>
      <c r="AF81" s="251">
        <v>0</v>
      </c>
      <c r="AG81" s="251">
        <v>350</v>
      </c>
      <c r="AH81" s="251">
        <v>0</v>
      </c>
      <c r="AI81" s="250">
        <f t="shared" si="2"/>
        <v>2850</v>
      </c>
    </row>
    <row r="82" spans="1:36" x14ac:dyDescent="0.35">
      <c r="A82" s="246" t="s">
        <v>218</v>
      </c>
      <c r="B82" s="250">
        <v>0</v>
      </c>
      <c r="C82" s="250">
        <v>1500</v>
      </c>
      <c r="D82" s="250">
        <v>0</v>
      </c>
      <c r="E82" s="250">
        <v>0</v>
      </c>
      <c r="F82" s="250">
        <v>0</v>
      </c>
      <c r="G82" s="250">
        <v>500</v>
      </c>
      <c r="H82" s="250">
        <v>0</v>
      </c>
      <c r="I82" s="250">
        <v>0</v>
      </c>
      <c r="J82" s="250">
        <v>0</v>
      </c>
      <c r="K82" s="250">
        <v>2295</v>
      </c>
      <c r="L82" s="250">
        <v>0</v>
      </c>
      <c r="M82" s="250">
        <v>0</v>
      </c>
      <c r="N82" s="250">
        <v>0</v>
      </c>
      <c r="O82" s="250">
        <v>0</v>
      </c>
      <c r="P82" s="250">
        <v>0</v>
      </c>
      <c r="Q82" s="250">
        <v>1000</v>
      </c>
      <c r="R82" s="250">
        <v>0</v>
      </c>
      <c r="S82" s="250">
        <v>0</v>
      </c>
      <c r="T82" s="250">
        <v>0</v>
      </c>
      <c r="U82" s="250">
        <v>0</v>
      </c>
      <c r="V82" s="250">
        <v>0</v>
      </c>
      <c r="W82" s="250">
        <v>2250</v>
      </c>
      <c r="X82" s="250">
        <v>0</v>
      </c>
      <c r="Y82" s="250">
        <v>0</v>
      </c>
      <c r="Z82" s="250">
        <v>0</v>
      </c>
      <c r="AA82" s="250">
        <v>0</v>
      </c>
      <c r="AB82" s="250">
        <v>0</v>
      </c>
      <c r="AC82" s="250">
        <v>1200</v>
      </c>
      <c r="AD82" s="250">
        <v>0</v>
      </c>
      <c r="AE82" s="251">
        <v>250</v>
      </c>
      <c r="AF82" s="251">
        <v>1500</v>
      </c>
      <c r="AG82" s="251">
        <v>405</v>
      </c>
      <c r="AH82" s="251">
        <v>0</v>
      </c>
      <c r="AI82" s="250">
        <f t="shared" si="2"/>
        <v>10900</v>
      </c>
    </row>
    <row r="83" spans="1:36" x14ac:dyDescent="0.35">
      <c r="A83" s="246" t="s">
        <v>1157</v>
      </c>
      <c r="B83" s="250">
        <v>0</v>
      </c>
      <c r="C83" s="250">
        <v>0</v>
      </c>
      <c r="D83" s="250">
        <v>0</v>
      </c>
      <c r="E83" s="250">
        <v>0</v>
      </c>
      <c r="F83" s="250">
        <v>0</v>
      </c>
      <c r="G83" s="250">
        <v>0</v>
      </c>
      <c r="H83" s="250">
        <v>0</v>
      </c>
      <c r="I83" s="250">
        <v>0</v>
      </c>
      <c r="J83" s="250">
        <v>0</v>
      </c>
      <c r="K83" s="250">
        <v>0</v>
      </c>
      <c r="L83" s="250">
        <v>0</v>
      </c>
      <c r="M83" s="250">
        <v>0</v>
      </c>
      <c r="N83" s="250">
        <v>0</v>
      </c>
      <c r="O83" s="250">
        <v>0</v>
      </c>
      <c r="P83" s="250">
        <v>0</v>
      </c>
      <c r="Q83" s="250">
        <v>0</v>
      </c>
      <c r="R83" s="250">
        <v>0</v>
      </c>
      <c r="S83" s="250">
        <v>0</v>
      </c>
      <c r="T83" s="250">
        <v>0</v>
      </c>
      <c r="U83" s="250">
        <v>0</v>
      </c>
      <c r="V83" s="250">
        <v>0</v>
      </c>
      <c r="W83" s="250">
        <v>3000</v>
      </c>
      <c r="X83" s="250">
        <v>0</v>
      </c>
      <c r="Y83" s="250">
        <v>0</v>
      </c>
      <c r="Z83" s="250">
        <v>0</v>
      </c>
      <c r="AA83" s="250">
        <v>0</v>
      </c>
      <c r="AB83" s="250">
        <v>0</v>
      </c>
      <c r="AC83" s="250">
        <v>0</v>
      </c>
      <c r="AD83" s="250">
        <v>0</v>
      </c>
      <c r="AE83" s="251">
        <v>0</v>
      </c>
      <c r="AF83" s="251">
        <v>1500</v>
      </c>
      <c r="AG83" s="251">
        <v>500</v>
      </c>
      <c r="AH83" s="251">
        <v>0</v>
      </c>
      <c r="AI83" s="250">
        <f t="shared" si="2"/>
        <v>5000</v>
      </c>
    </row>
    <row r="84" spans="1:36" x14ac:dyDescent="0.35">
      <c r="A84" s="246" t="s">
        <v>2543</v>
      </c>
      <c r="B84" s="250">
        <v>0</v>
      </c>
      <c r="C84" s="250">
        <v>0</v>
      </c>
      <c r="D84" s="250">
        <v>0</v>
      </c>
      <c r="E84" s="250">
        <v>0</v>
      </c>
      <c r="F84" s="250">
        <v>0</v>
      </c>
      <c r="G84" s="250">
        <v>0</v>
      </c>
      <c r="H84" s="250">
        <v>0</v>
      </c>
      <c r="I84" s="250">
        <v>0</v>
      </c>
      <c r="J84" s="250">
        <v>0</v>
      </c>
      <c r="K84" s="250">
        <v>0</v>
      </c>
      <c r="L84" s="250">
        <v>0</v>
      </c>
      <c r="M84" s="250">
        <v>0</v>
      </c>
      <c r="N84" s="250">
        <v>0</v>
      </c>
      <c r="O84" s="250">
        <v>0</v>
      </c>
      <c r="P84" s="250">
        <v>0</v>
      </c>
      <c r="Q84" s="250">
        <v>0</v>
      </c>
      <c r="R84" s="250">
        <v>0</v>
      </c>
      <c r="S84" s="250">
        <v>0</v>
      </c>
      <c r="T84" s="250">
        <v>0</v>
      </c>
      <c r="U84" s="250">
        <v>0</v>
      </c>
      <c r="V84" s="250">
        <v>0</v>
      </c>
      <c r="W84" s="250">
        <v>0</v>
      </c>
      <c r="X84" s="250">
        <v>0</v>
      </c>
      <c r="Y84" s="250">
        <v>0</v>
      </c>
      <c r="Z84" s="250">
        <v>0</v>
      </c>
      <c r="AA84" s="250">
        <v>0</v>
      </c>
      <c r="AB84" s="250">
        <v>0</v>
      </c>
      <c r="AC84" s="250">
        <v>0</v>
      </c>
      <c r="AD84" s="250">
        <v>2000</v>
      </c>
      <c r="AE84" s="251">
        <v>0</v>
      </c>
      <c r="AF84" s="251">
        <v>0</v>
      </c>
      <c r="AG84" s="251">
        <v>350</v>
      </c>
      <c r="AH84" s="251">
        <v>0</v>
      </c>
      <c r="AI84" s="250">
        <f t="shared" si="2"/>
        <v>2350</v>
      </c>
      <c r="AJ84" s="47"/>
    </row>
    <row r="85" spans="1:36" x14ac:dyDescent="0.35">
      <c r="A85" s="246" t="s">
        <v>171</v>
      </c>
      <c r="B85" s="250">
        <v>0</v>
      </c>
      <c r="C85" s="250">
        <v>3500</v>
      </c>
      <c r="D85" s="250">
        <v>0</v>
      </c>
      <c r="E85" s="250">
        <v>0</v>
      </c>
      <c r="F85" s="250">
        <v>0</v>
      </c>
      <c r="G85" s="250">
        <v>5000</v>
      </c>
      <c r="H85" s="250">
        <v>0</v>
      </c>
      <c r="I85" s="250">
        <v>0</v>
      </c>
      <c r="J85" s="250">
        <v>0</v>
      </c>
      <c r="K85" s="250">
        <v>0</v>
      </c>
      <c r="L85" s="250">
        <v>0</v>
      </c>
      <c r="M85" s="250">
        <v>0</v>
      </c>
      <c r="N85" s="250">
        <v>0</v>
      </c>
      <c r="O85" s="250">
        <v>0</v>
      </c>
      <c r="P85" s="250">
        <v>0</v>
      </c>
      <c r="Q85" s="250">
        <v>0</v>
      </c>
      <c r="R85" s="250">
        <v>0</v>
      </c>
      <c r="S85" s="250">
        <v>0</v>
      </c>
      <c r="T85" s="250">
        <v>0</v>
      </c>
      <c r="U85" s="250">
        <v>0</v>
      </c>
      <c r="V85" s="250">
        <v>0</v>
      </c>
      <c r="W85" s="250">
        <v>0</v>
      </c>
      <c r="X85" s="250">
        <v>0</v>
      </c>
      <c r="Y85" s="250">
        <v>0</v>
      </c>
      <c r="Z85" s="250">
        <v>0</v>
      </c>
      <c r="AA85" s="250">
        <v>0</v>
      </c>
      <c r="AB85" s="250">
        <v>0</v>
      </c>
      <c r="AC85" s="250">
        <v>0</v>
      </c>
      <c r="AD85" s="250">
        <v>0</v>
      </c>
      <c r="AE85" s="251">
        <v>0</v>
      </c>
      <c r="AF85" s="251">
        <v>0</v>
      </c>
      <c r="AG85" s="251">
        <v>430</v>
      </c>
      <c r="AH85" s="251">
        <v>0</v>
      </c>
      <c r="AI85" s="250">
        <f t="shared" si="2"/>
        <v>8930</v>
      </c>
    </row>
    <row r="86" spans="1:36" x14ac:dyDescent="0.35">
      <c r="A86" s="246" t="s">
        <v>226</v>
      </c>
      <c r="B86" s="250">
        <v>0</v>
      </c>
      <c r="C86" s="250">
        <v>1500</v>
      </c>
      <c r="D86" s="250">
        <v>0</v>
      </c>
      <c r="E86" s="250">
        <v>0</v>
      </c>
      <c r="F86" s="250">
        <v>0</v>
      </c>
      <c r="G86" s="250">
        <v>0</v>
      </c>
      <c r="H86" s="250">
        <v>0</v>
      </c>
      <c r="I86" s="250">
        <v>2000</v>
      </c>
      <c r="J86" s="250">
        <v>0</v>
      </c>
      <c r="K86" s="250">
        <v>1495</v>
      </c>
      <c r="L86" s="250">
        <v>0</v>
      </c>
      <c r="M86" s="250">
        <v>0</v>
      </c>
      <c r="N86" s="250">
        <v>0</v>
      </c>
      <c r="O86" s="250">
        <v>0</v>
      </c>
      <c r="P86" s="250">
        <v>0</v>
      </c>
      <c r="Q86" s="250">
        <v>1000</v>
      </c>
      <c r="R86" s="250">
        <v>0</v>
      </c>
      <c r="S86" s="250">
        <v>0</v>
      </c>
      <c r="T86" s="250">
        <v>0</v>
      </c>
      <c r="U86" s="250">
        <v>0</v>
      </c>
      <c r="V86" s="250">
        <v>0</v>
      </c>
      <c r="W86" s="250">
        <v>0</v>
      </c>
      <c r="X86" s="250">
        <v>0</v>
      </c>
      <c r="Y86" s="250">
        <v>0</v>
      </c>
      <c r="Z86" s="250">
        <v>0</v>
      </c>
      <c r="AA86" s="250">
        <v>0</v>
      </c>
      <c r="AB86" s="250">
        <v>0</v>
      </c>
      <c r="AC86" s="250">
        <v>0</v>
      </c>
      <c r="AD86" s="250">
        <v>0</v>
      </c>
      <c r="AE86" s="251">
        <v>1000</v>
      </c>
      <c r="AF86" s="251">
        <v>1500</v>
      </c>
      <c r="AG86" s="251">
        <v>1000</v>
      </c>
      <c r="AH86" s="251">
        <v>0</v>
      </c>
      <c r="AI86" s="250">
        <f t="shared" si="2"/>
        <v>9495</v>
      </c>
    </row>
    <row r="87" spans="1:36" x14ac:dyDescent="0.35">
      <c r="A87" s="5" t="s">
        <v>51</v>
      </c>
      <c r="B87" s="250">
        <v>1000</v>
      </c>
      <c r="C87" s="250">
        <v>5000</v>
      </c>
      <c r="D87" s="250">
        <v>0</v>
      </c>
      <c r="E87" s="250">
        <v>2830</v>
      </c>
      <c r="F87" s="250">
        <v>0</v>
      </c>
      <c r="G87" s="250">
        <v>1000</v>
      </c>
      <c r="H87" s="250">
        <v>1000</v>
      </c>
      <c r="I87" s="250">
        <v>0</v>
      </c>
      <c r="J87" s="250">
        <v>0</v>
      </c>
      <c r="K87" s="250">
        <v>0</v>
      </c>
      <c r="L87" s="250">
        <v>0</v>
      </c>
      <c r="M87" s="250">
        <v>1795</v>
      </c>
      <c r="N87" s="250">
        <v>0</v>
      </c>
      <c r="O87" s="250">
        <v>0</v>
      </c>
      <c r="P87" s="250">
        <v>3000</v>
      </c>
      <c r="Q87" s="250">
        <v>1000</v>
      </c>
      <c r="R87" s="250">
        <v>0</v>
      </c>
      <c r="S87" s="250">
        <v>1500</v>
      </c>
      <c r="T87" s="250">
        <v>2500</v>
      </c>
      <c r="U87" s="250">
        <v>1000</v>
      </c>
      <c r="V87" s="250">
        <v>0</v>
      </c>
      <c r="W87" s="250">
        <v>1700</v>
      </c>
      <c r="X87" s="250">
        <v>0</v>
      </c>
      <c r="Y87" s="250">
        <v>0</v>
      </c>
      <c r="Z87" s="250">
        <v>0</v>
      </c>
      <c r="AA87" s="250">
        <v>0</v>
      </c>
      <c r="AB87" s="250">
        <v>5000</v>
      </c>
      <c r="AC87" s="250">
        <v>0</v>
      </c>
      <c r="AD87" s="250">
        <v>0</v>
      </c>
      <c r="AE87" s="251">
        <v>1000</v>
      </c>
      <c r="AF87" s="251">
        <v>1500</v>
      </c>
      <c r="AG87" s="251">
        <v>1025</v>
      </c>
      <c r="AH87" s="251">
        <v>0</v>
      </c>
      <c r="AI87" s="250">
        <f t="shared" si="2"/>
        <v>31850</v>
      </c>
    </row>
    <row r="88" spans="1:36" x14ac:dyDescent="0.35">
      <c r="A88" s="5" t="s">
        <v>204</v>
      </c>
      <c r="B88" s="250">
        <v>0</v>
      </c>
      <c r="C88" s="250">
        <v>15000</v>
      </c>
      <c r="D88" s="250">
        <v>0</v>
      </c>
      <c r="E88" s="250">
        <v>0</v>
      </c>
      <c r="F88" s="250">
        <v>0</v>
      </c>
      <c r="G88" s="250">
        <v>3500</v>
      </c>
      <c r="H88" s="250">
        <v>0</v>
      </c>
      <c r="I88" s="250">
        <v>0</v>
      </c>
      <c r="J88" s="250">
        <v>0</v>
      </c>
      <c r="K88" s="250">
        <v>3495</v>
      </c>
      <c r="L88" s="250">
        <v>0</v>
      </c>
      <c r="M88" s="250">
        <v>0</v>
      </c>
      <c r="N88" s="250">
        <v>0</v>
      </c>
      <c r="O88" s="250">
        <v>0</v>
      </c>
      <c r="P88" s="250">
        <v>0</v>
      </c>
      <c r="Q88" s="250">
        <v>0</v>
      </c>
      <c r="R88" s="250">
        <v>0</v>
      </c>
      <c r="S88" s="250">
        <v>0</v>
      </c>
      <c r="T88" s="250">
        <v>15000</v>
      </c>
      <c r="U88" s="250">
        <v>0</v>
      </c>
      <c r="V88" s="250">
        <v>0</v>
      </c>
      <c r="W88" s="250">
        <v>8000</v>
      </c>
      <c r="X88" s="250">
        <v>0</v>
      </c>
      <c r="Y88" s="250">
        <v>0</v>
      </c>
      <c r="Z88" s="250">
        <v>0</v>
      </c>
      <c r="AA88" s="250">
        <v>3955</v>
      </c>
      <c r="AB88" s="250">
        <v>15000</v>
      </c>
      <c r="AC88" s="250">
        <v>0</v>
      </c>
      <c r="AD88" s="250">
        <v>0</v>
      </c>
      <c r="AE88" s="251">
        <v>0</v>
      </c>
      <c r="AF88" s="251">
        <v>0</v>
      </c>
      <c r="AG88" s="251">
        <v>1050</v>
      </c>
      <c r="AH88" s="251">
        <v>0</v>
      </c>
      <c r="AI88" s="250">
        <f t="shared" si="2"/>
        <v>65000</v>
      </c>
    </row>
    <row r="89" spans="1:36" x14ac:dyDescent="0.35">
      <c r="A89" s="246" t="s">
        <v>2596</v>
      </c>
      <c r="B89" s="250">
        <v>0</v>
      </c>
      <c r="C89" s="250">
        <v>0</v>
      </c>
      <c r="D89" s="250">
        <v>0</v>
      </c>
      <c r="E89" s="250">
        <v>0</v>
      </c>
      <c r="F89" s="250">
        <v>0</v>
      </c>
      <c r="G89" s="250">
        <v>0</v>
      </c>
      <c r="H89" s="250">
        <v>0</v>
      </c>
      <c r="I89" s="250">
        <v>0</v>
      </c>
      <c r="J89" s="250">
        <v>0</v>
      </c>
      <c r="K89" s="250">
        <v>0</v>
      </c>
      <c r="L89" s="250">
        <v>0</v>
      </c>
      <c r="M89" s="250">
        <v>0</v>
      </c>
      <c r="N89" s="250">
        <v>0</v>
      </c>
      <c r="O89" s="250">
        <v>0</v>
      </c>
      <c r="P89" s="250">
        <v>0</v>
      </c>
      <c r="Q89" s="250">
        <v>0</v>
      </c>
      <c r="R89" s="250">
        <v>0</v>
      </c>
      <c r="S89" s="250">
        <v>0</v>
      </c>
      <c r="T89" s="250">
        <v>0</v>
      </c>
      <c r="U89" s="250">
        <v>0</v>
      </c>
      <c r="V89" s="250">
        <v>0</v>
      </c>
      <c r="W89" s="250">
        <v>1500</v>
      </c>
      <c r="X89" s="250">
        <v>0</v>
      </c>
      <c r="Y89" s="250">
        <v>0</v>
      </c>
      <c r="Z89" s="250">
        <v>0</v>
      </c>
      <c r="AA89" s="250">
        <v>0</v>
      </c>
      <c r="AB89" s="250">
        <v>0</v>
      </c>
      <c r="AC89" s="250">
        <v>0</v>
      </c>
      <c r="AD89" s="250">
        <v>0</v>
      </c>
      <c r="AE89" s="251">
        <v>0</v>
      </c>
      <c r="AF89" s="251">
        <v>0</v>
      </c>
      <c r="AG89" s="251">
        <v>430</v>
      </c>
      <c r="AH89" s="251">
        <v>0</v>
      </c>
      <c r="AI89" s="250">
        <f t="shared" si="2"/>
        <v>1930</v>
      </c>
    </row>
    <row r="90" spans="1:36" x14ac:dyDescent="0.35">
      <c r="A90" s="246" t="s">
        <v>2597</v>
      </c>
      <c r="B90" s="250">
        <v>0</v>
      </c>
      <c r="C90" s="250">
        <v>1500</v>
      </c>
      <c r="D90" s="250">
        <v>1500</v>
      </c>
      <c r="E90" s="250">
        <v>0</v>
      </c>
      <c r="F90" s="250">
        <v>0</v>
      </c>
      <c r="G90" s="250">
        <v>0</v>
      </c>
      <c r="H90" s="250">
        <v>0</v>
      </c>
      <c r="I90" s="250">
        <v>0</v>
      </c>
      <c r="J90" s="250">
        <v>0</v>
      </c>
      <c r="K90" s="250">
        <v>0</v>
      </c>
      <c r="L90" s="250">
        <v>0</v>
      </c>
      <c r="M90" s="250">
        <v>0</v>
      </c>
      <c r="N90" s="250">
        <v>0</v>
      </c>
      <c r="O90" s="250">
        <v>0</v>
      </c>
      <c r="P90" s="250">
        <v>0</v>
      </c>
      <c r="Q90" s="250">
        <v>1000</v>
      </c>
      <c r="R90" s="250">
        <v>1000</v>
      </c>
      <c r="S90" s="250">
        <v>0</v>
      </c>
      <c r="T90" s="250">
        <v>1000</v>
      </c>
      <c r="U90" s="250">
        <v>0</v>
      </c>
      <c r="V90" s="250">
        <v>500</v>
      </c>
      <c r="W90" s="250">
        <v>0</v>
      </c>
      <c r="X90" s="250">
        <v>0</v>
      </c>
      <c r="Y90" s="247">
        <v>1000</v>
      </c>
      <c r="Z90" s="250">
        <v>2500</v>
      </c>
      <c r="AA90" s="250">
        <v>1650</v>
      </c>
      <c r="AB90" s="250">
        <v>0</v>
      </c>
      <c r="AC90" s="250">
        <v>0</v>
      </c>
      <c r="AD90" s="250">
        <v>0</v>
      </c>
      <c r="AE90" s="251">
        <v>250</v>
      </c>
      <c r="AF90" s="251">
        <v>0</v>
      </c>
      <c r="AG90" s="251">
        <v>350</v>
      </c>
      <c r="AH90" s="251">
        <v>0</v>
      </c>
      <c r="AI90" s="250">
        <f t="shared" si="2"/>
        <v>12250</v>
      </c>
    </row>
    <row r="91" spans="1:36" x14ac:dyDescent="0.35">
      <c r="A91" s="246" t="s">
        <v>2310</v>
      </c>
      <c r="B91" s="250">
        <v>0</v>
      </c>
      <c r="C91" s="250">
        <v>0</v>
      </c>
      <c r="D91" s="250">
        <v>0</v>
      </c>
      <c r="E91" s="250">
        <v>0</v>
      </c>
      <c r="F91" s="250">
        <v>0</v>
      </c>
      <c r="G91" s="250">
        <v>0</v>
      </c>
      <c r="H91" s="250">
        <v>0</v>
      </c>
      <c r="I91" s="250">
        <v>0</v>
      </c>
      <c r="J91" s="250">
        <v>0</v>
      </c>
      <c r="K91" s="250">
        <v>0</v>
      </c>
      <c r="L91" s="250">
        <v>0</v>
      </c>
      <c r="M91" s="250">
        <v>0</v>
      </c>
      <c r="N91" s="250">
        <v>0</v>
      </c>
      <c r="O91" s="250">
        <v>0</v>
      </c>
      <c r="P91" s="250">
        <v>0</v>
      </c>
      <c r="Q91" s="250">
        <v>0</v>
      </c>
      <c r="R91" s="250">
        <v>0</v>
      </c>
      <c r="S91" s="250">
        <v>0</v>
      </c>
      <c r="T91" s="250">
        <v>0</v>
      </c>
      <c r="U91" s="250">
        <v>0</v>
      </c>
      <c r="V91" s="250">
        <v>0</v>
      </c>
      <c r="W91" s="250">
        <v>0</v>
      </c>
      <c r="X91" s="250">
        <v>0</v>
      </c>
      <c r="Y91" s="247">
        <v>0</v>
      </c>
      <c r="Z91" s="250">
        <v>0</v>
      </c>
      <c r="AA91" s="250">
        <v>750</v>
      </c>
      <c r="AB91" s="250">
        <v>0</v>
      </c>
      <c r="AC91" s="250">
        <v>0</v>
      </c>
      <c r="AD91" s="250">
        <v>0</v>
      </c>
      <c r="AE91" s="251">
        <v>0</v>
      </c>
      <c r="AF91" s="251">
        <v>0</v>
      </c>
      <c r="AG91" s="251">
        <v>0</v>
      </c>
      <c r="AH91" s="251">
        <v>0</v>
      </c>
      <c r="AI91" s="250">
        <f t="shared" si="2"/>
        <v>750</v>
      </c>
    </row>
    <row r="92" spans="1:36" x14ac:dyDescent="0.35">
      <c r="A92" s="5" t="s">
        <v>868</v>
      </c>
      <c r="B92" s="250">
        <v>0</v>
      </c>
      <c r="C92" s="250">
        <v>0</v>
      </c>
      <c r="D92" s="250">
        <v>0</v>
      </c>
      <c r="E92" s="250">
        <v>0</v>
      </c>
      <c r="F92" s="250">
        <v>0</v>
      </c>
      <c r="G92" s="250">
        <v>750</v>
      </c>
      <c r="H92" s="250">
        <v>0</v>
      </c>
      <c r="I92" s="250">
        <v>0</v>
      </c>
      <c r="J92" s="250">
        <v>0</v>
      </c>
      <c r="K92" s="250">
        <v>0</v>
      </c>
      <c r="L92" s="250">
        <v>0</v>
      </c>
      <c r="M92" s="250">
        <v>0</v>
      </c>
      <c r="N92" s="250">
        <v>0</v>
      </c>
      <c r="O92" s="250">
        <v>0</v>
      </c>
      <c r="P92" s="250">
        <v>0</v>
      </c>
      <c r="Q92" s="250">
        <v>0</v>
      </c>
      <c r="R92" s="250">
        <v>0</v>
      </c>
      <c r="S92" s="250">
        <v>0</v>
      </c>
      <c r="T92" s="250">
        <v>0</v>
      </c>
      <c r="U92" s="250">
        <v>0</v>
      </c>
      <c r="V92" s="250">
        <v>0</v>
      </c>
      <c r="W92" s="250">
        <v>0</v>
      </c>
      <c r="X92" s="250">
        <v>0</v>
      </c>
      <c r="Y92" s="250">
        <v>0</v>
      </c>
      <c r="Z92" s="250">
        <v>0</v>
      </c>
      <c r="AA92" s="250">
        <v>0</v>
      </c>
      <c r="AB92" s="250">
        <v>0</v>
      </c>
      <c r="AC92" s="250">
        <v>1500</v>
      </c>
      <c r="AD92" s="250">
        <v>0</v>
      </c>
      <c r="AE92" s="251">
        <v>0</v>
      </c>
      <c r="AF92" s="251">
        <v>0</v>
      </c>
      <c r="AG92" s="251">
        <v>350</v>
      </c>
      <c r="AH92" s="251">
        <v>0</v>
      </c>
      <c r="AI92" s="250">
        <f t="shared" si="2"/>
        <v>2600</v>
      </c>
    </row>
    <row r="93" spans="1:36" x14ac:dyDescent="0.35">
      <c r="A93" s="5" t="s">
        <v>835</v>
      </c>
      <c r="B93" s="250">
        <v>0</v>
      </c>
      <c r="C93" s="250">
        <v>0</v>
      </c>
      <c r="D93" s="250">
        <v>0</v>
      </c>
      <c r="E93" s="250">
        <v>0</v>
      </c>
      <c r="F93" s="250">
        <v>0</v>
      </c>
      <c r="G93" s="250">
        <v>500</v>
      </c>
      <c r="H93" s="250">
        <v>0</v>
      </c>
      <c r="I93" s="250">
        <v>0</v>
      </c>
      <c r="J93" s="250">
        <v>0</v>
      </c>
      <c r="K93" s="250">
        <v>0</v>
      </c>
      <c r="L93" s="250">
        <v>0</v>
      </c>
      <c r="M93" s="250">
        <v>0</v>
      </c>
      <c r="N93" s="250">
        <v>0</v>
      </c>
      <c r="O93" s="250">
        <v>0</v>
      </c>
      <c r="P93" s="250">
        <v>0</v>
      </c>
      <c r="Q93" s="250">
        <v>0</v>
      </c>
      <c r="R93" s="250">
        <v>0</v>
      </c>
      <c r="S93" s="250">
        <v>0</v>
      </c>
      <c r="T93" s="250">
        <v>0</v>
      </c>
      <c r="U93" s="250">
        <v>0</v>
      </c>
      <c r="V93" s="250">
        <v>0</v>
      </c>
      <c r="W93" s="250">
        <v>0</v>
      </c>
      <c r="X93" s="250">
        <v>0</v>
      </c>
      <c r="Y93" s="250">
        <v>0</v>
      </c>
      <c r="Z93" s="250">
        <v>0</v>
      </c>
      <c r="AA93" s="250">
        <v>0</v>
      </c>
      <c r="AB93" s="250">
        <v>0</v>
      </c>
      <c r="AC93" s="250">
        <v>0</v>
      </c>
      <c r="AD93" s="250">
        <v>0</v>
      </c>
      <c r="AE93" s="251">
        <v>250</v>
      </c>
      <c r="AF93" s="251">
        <v>1500</v>
      </c>
      <c r="AG93" s="251">
        <v>430</v>
      </c>
      <c r="AH93" s="251">
        <v>0</v>
      </c>
      <c r="AI93" s="250">
        <f t="shared" si="2"/>
        <v>2680</v>
      </c>
    </row>
    <row r="94" spans="1:36" x14ac:dyDescent="0.35">
      <c r="A94" s="5" t="s">
        <v>864</v>
      </c>
      <c r="B94" s="250">
        <v>0</v>
      </c>
      <c r="C94" s="250">
        <v>0</v>
      </c>
      <c r="D94" s="250">
        <v>0</v>
      </c>
      <c r="E94" s="250">
        <v>0</v>
      </c>
      <c r="F94" s="250">
        <v>0</v>
      </c>
      <c r="G94" s="250">
        <v>800</v>
      </c>
      <c r="H94" s="250">
        <v>0</v>
      </c>
      <c r="I94" s="250">
        <v>0</v>
      </c>
      <c r="J94" s="250">
        <v>0</v>
      </c>
      <c r="K94" s="250">
        <v>0</v>
      </c>
      <c r="L94" s="250">
        <v>0</v>
      </c>
      <c r="M94" s="250">
        <v>0</v>
      </c>
      <c r="N94" s="250">
        <v>0</v>
      </c>
      <c r="O94" s="250">
        <v>0</v>
      </c>
      <c r="P94" s="250">
        <v>0</v>
      </c>
      <c r="Q94" s="250">
        <v>0</v>
      </c>
      <c r="R94" s="250">
        <v>0</v>
      </c>
      <c r="S94" s="250">
        <v>0</v>
      </c>
      <c r="T94" s="250">
        <v>0</v>
      </c>
      <c r="U94" s="250">
        <v>0</v>
      </c>
      <c r="V94" s="250">
        <v>0</v>
      </c>
      <c r="W94" s="250">
        <v>0</v>
      </c>
      <c r="X94" s="250">
        <v>0</v>
      </c>
      <c r="Y94" s="250">
        <v>0</v>
      </c>
      <c r="Z94" s="250">
        <v>0</v>
      </c>
      <c r="AA94" s="250">
        <v>0</v>
      </c>
      <c r="AB94" s="250">
        <v>0</v>
      </c>
      <c r="AC94" s="250">
        <v>0</v>
      </c>
      <c r="AD94" s="250">
        <v>0</v>
      </c>
      <c r="AE94" s="251">
        <v>0</v>
      </c>
      <c r="AF94" s="251">
        <v>0</v>
      </c>
      <c r="AG94" s="251">
        <v>500</v>
      </c>
      <c r="AH94" s="251">
        <v>0</v>
      </c>
      <c r="AI94" s="250">
        <f t="shared" si="2"/>
        <v>1300</v>
      </c>
    </row>
    <row r="95" spans="1:36" x14ac:dyDescent="0.35">
      <c r="A95" s="5" t="s">
        <v>242</v>
      </c>
      <c r="B95" s="250">
        <v>0</v>
      </c>
      <c r="C95" s="250">
        <v>1500</v>
      </c>
      <c r="D95" s="250">
        <v>0</v>
      </c>
      <c r="E95" s="250">
        <v>0</v>
      </c>
      <c r="F95" s="250">
        <v>0</v>
      </c>
      <c r="G95" s="250">
        <v>3500</v>
      </c>
      <c r="H95" s="250">
        <v>0</v>
      </c>
      <c r="I95" s="250">
        <v>0</v>
      </c>
      <c r="J95" s="250">
        <v>0</v>
      </c>
      <c r="K95" s="250">
        <v>0</v>
      </c>
      <c r="L95" s="250">
        <v>0</v>
      </c>
      <c r="M95" s="250">
        <v>0</v>
      </c>
      <c r="N95" s="250">
        <v>0</v>
      </c>
      <c r="O95" s="250">
        <v>0</v>
      </c>
      <c r="P95" s="250">
        <v>0</v>
      </c>
      <c r="Q95" s="250">
        <v>0</v>
      </c>
      <c r="R95" s="250">
        <v>0</v>
      </c>
      <c r="S95" s="250">
        <v>0</v>
      </c>
      <c r="T95" s="250">
        <v>0</v>
      </c>
      <c r="U95" s="250">
        <v>0</v>
      </c>
      <c r="V95" s="250">
        <v>500</v>
      </c>
      <c r="W95" s="250">
        <v>1500</v>
      </c>
      <c r="X95" s="250">
        <v>0</v>
      </c>
      <c r="Y95" s="250">
        <v>0</v>
      </c>
      <c r="Z95" s="250">
        <v>0</v>
      </c>
      <c r="AA95" s="250">
        <v>0</v>
      </c>
      <c r="AB95" s="250">
        <v>0</v>
      </c>
      <c r="AC95" s="250">
        <v>0</v>
      </c>
      <c r="AD95" s="250">
        <v>0</v>
      </c>
      <c r="AE95" s="251">
        <v>500</v>
      </c>
      <c r="AF95" s="251">
        <v>1500</v>
      </c>
      <c r="AG95" s="251">
        <v>550</v>
      </c>
      <c r="AH95" s="251">
        <v>0</v>
      </c>
      <c r="AI95" s="250">
        <f t="shared" si="2"/>
        <v>9550</v>
      </c>
    </row>
    <row r="96" spans="1:36" x14ac:dyDescent="0.35">
      <c r="A96" s="5" t="s">
        <v>1454</v>
      </c>
      <c r="B96" s="250">
        <v>0</v>
      </c>
      <c r="C96" s="250">
        <v>0</v>
      </c>
      <c r="D96" s="250">
        <v>0</v>
      </c>
      <c r="E96" s="250">
        <v>0</v>
      </c>
      <c r="F96" s="250">
        <v>0</v>
      </c>
      <c r="G96" s="250">
        <v>0</v>
      </c>
      <c r="H96" s="250">
        <v>0</v>
      </c>
      <c r="I96" s="250">
        <v>0</v>
      </c>
      <c r="J96" s="250">
        <v>0</v>
      </c>
      <c r="K96" s="250">
        <v>0</v>
      </c>
      <c r="L96" s="250">
        <v>2500</v>
      </c>
      <c r="M96" s="250">
        <v>0</v>
      </c>
      <c r="N96" s="250">
        <v>0</v>
      </c>
      <c r="O96" s="250">
        <v>0</v>
      </c>
      <c r="P96" s="250">
        <v>0</v>
      </c>
      <c r="Q96" s="250">
        <v>0</v>
      </c>
      <c r="R96" s="250">
        <v>0</v>
      </c>
      <c r="S96" s="250">
        <v>0</v>
      </c>
      <c r="T96" s="250">
        <v>0</v>
      </c>
      <c r="U96" s="250">
        <v>0</v>
      </c>
      <c r="V96" s="250">
        <v>0</v>
      </c>
      <c r="W96" s="250">
        <v>0</v>
      </c>
      <c r="X96" s="250">
        <v>0</v>
      </c>
      <c r="Y96" s="250">
        <v>0</v>
      </c>
      <c r="Z96" s="250">
        <v>0</v>
      </c>
      <c r="AA96" s="250">
        <v>0</v>
      </c>
      <c r="AB96" s="250">
        <v>0</v>
      </c>
      <c r="AC96" s="250">
        <v>0</v>
      </c>
      <c r="AD96" s="250">
        <v>0</v>
      </c>
      <c r="AE96" s="251">
        <v>0</v>
      </c>
      <c r="AF96" s="251">
        <v>0</v>
      </c>
      <c r="AG96" s="251">
        <v>1150</v>
      </c>
      <c r="AH96" s="251">
        <v>0</v>
      </c>
      <c r="AI96" s="250">
        <f t="shared" si="2"/>
        <v>3650</v>
      </c>
    </row>
    <row r="97" spans="1:35" x14ac:dyDescent="0.35">
      <c r="A97" s="5" t="s">
        <v>811</v>
      </c>
      <c r="B97" s="250">
        <v>0</v>
      </c>
      <c r="C97" s="250">
        <v>0</v>
      </c>
      <c r="D97" s="250">
        <v>0</v>
      </c>
      <c r="E97" s="250">
        <v>0</v>
      </c>
      <c r="F97" s="250">
        <v>0</v>
      </c>
      <c r="G97" s="250">
        <v>750</v>
      </c>
      <c r="H97" s="250">
        <v>0</v>
      </c>
      <c r="I97" s="250">
        <v>0</v>
      </c>
      <c r="J97" s="250">
        <v>0</v>
      </c>
      <c r="K97" s="250">
        <v>0</v>
      </c>
      <c r="L97" s="250">
        <v>0</v>
      </c>
      <c r="M97" s="250">
        <v>0</v>
      </c>
      <c r="N97" s="250">
        <v>0</v>
      </c>
      <c r="O97" s="250">
        <v>0</v>
      </c>
      <c r="P97" s="250">
        <v>0</v>
      </c>
      <c r="Q97" s="250">
        <v>0</v>
      </c>
      <c r="R97" s="250">
        <v>0</v>
      </c>
      <c r="S97" s="250">
        <v>0</v>
      </c>
      <c r="T97" s="250">
        <v>0</v>
      </c>
      <c r="U97" s="250">
        <v>0</v>
      </c>
      <c r="V97" s="250">
        <v>0</v>
      </c>
      <c r="W97" s="250">
        <v>0</v>
      </c>
      <c r="X97" s="250">
        <v>0</v>
      </c>
      <c r="Y97" s="250">
        <v>0</v>
      </c>
      <c r="Z97" s="250">
        <v>0</v>
      </c>
      <c r="AA97" s="250">
        <v>500</v>
      </c>
      <c r="AB97" s="250">
        <v>0</v>
      </c>
      <c r="AC97" s="250">
        <v>0</v>
      </c>
      <c r="AD97" s="250">
        <v>0</v>
      </c>
      <c r="AE97" s="251">
        <v>0</v>
      </c>
      <c r="AF97" s="251">
        <v>0</v>
      </c>
      <c r="AG97" s="251">
        <v>350</v>
      </c>
      <c r="AH97" s="251">
        <v>0</v>
      </c>
      <c r="AI97" s="250">
        <f t="shared" si="2"/>
        <v>1600</v>
      </c>
    </row>
    <row r="98" spans="1:35" x14ac:dyDescent="0.35">
      <c r="A98" s="5" t="s">
        <v>260</v>
      </c>
      <c r="B98" s="250">
        <v>0</v>
      </c>
      <c r="C98" s="250">
        <v>2850</v>
      </c>
      <c r="D98" s="250">
        <v>0</v>
      </c>
      <c r="E98" s="250">
        <v>0</v>
      </c>
      <c r="F98" s="250">
        <v>0</v>
      </c>
      <c r="G98" s="250">
        <v>1000</v>
      </c>
      <c r="H98" s="250">
        <v>0</v>
      </c>
      <c r="I98" s="250">
        <v>0</v>
      </c>
      <c r="J98" s="250">
        <v>0</v>
      </c>
      <c r="K98" s="250">
        <v>0</v>
      </c>
      <c r="L98" s="250">
        <v>0</v>
      </c>
      <c r="M98" s="250">
        <v>0</v>
      </c>
      <c r="N98" s="250">
        <v>0</v>
      </c>
      <c r="O98" s="250">
        <v>0</v>
      </c>
      <c r="P98" s="250">
        <v>0</v>
      </c>
      <c r="Q98" s="250">
        <v>2500</v>
      </c>
      <c r="R98" s="250">
        <v>0</v>
      </c>
      <c r="S98" s="250">
        <v>1500</v>
      </c>
      <c r="T98" s="250">
        <v>4000</v>
      </c>
      <c r="U98" s="250">
        <v>0</v>
      </c>
      <c r="V98" s="250">
        <v>0</v>
      </c>
      <c r="W98" s="250">
        <v>0</v>
      </c>
      <c r="X98" s="250">
        <v>0</v>
      </c>
      <c r="Y98" s="250">
        <v>1750</v>
      </c>
      <c r="Z98" s="250">
        <v>0</v>
      </c>
      <c r="AA98" s="250">
        <v>0</v>
      </c>
      <c r="AB98" s="250">
        <v>8500</v>
      </c>
      <c r="AC98" s="250">
        <v>0</v>
      </c>
      <c r="AD98" s="250">
        <v>0</v>
      </c>
      <c r="AE98" s="251">
        <v>1000</v>
      </c>
      <c r="AF98" s="251">
        <v>1500</v>
      </c>
      <c r="AG98" s="251">
        <v>430</v>
      </c>
      <c r="AH98" s="251">
        <v>0</v>
      </c>
      <c r="AI98" s="250">
        <f t="shared" si="2"/>
        <v>25030</v>
      </c>
    </row>
    <row r="99" spans="1:35" x14ac:dyDescent="0.35">
      <c r="A99" s="5" t="s">
        <v>410</v>
      </c>
      <c r="B99" s="250">
        <v>0</v>
      </c>
      <c r="C99" s="250">
        <v>1500</v>
      </c>
      <c r="D99" s="250">
        <v>0</v>
      </c>
      <c r="E99" s="250">
        <v>0</v>
      </c>
      <c r="F99" s="250">
        <v>0</v>
      </c>
      <c r="G99" s="250">
        <v>0</v>
      </c>
      <c r="H99" s="250">
        <v>0</v>
      </c>
      <c r="I99" s="250">
        <v>0</v>
      </c>
      <c r="J99" s="250">
        <v>0</v>
      </c>
      <c r="K99" s="250">
        <v>0</v>
      </c>
      <c r="L99" s="250">
        <v>0</v>
      </c>
      <c r="M99" s="250">
        <v>0</v>
      </c>
      <c r="N99" s="250">
        <v>0</v>
      </c>
      <c r="O99" s="250">
        <v>0</v>
      </c>
      <c r="P99" s="250">
        <v>0</v>
      </c>
      <c r="Q99" s="250">
        <v>0</v>
      </c>
      <c r="R99" s="250">
        <v>0</v>
      </c>
      <c r="S99" s="250">
        <v>0</v>
      </c>
      <c r="T99" s="250">
        <v>0</v>
      </c>
      <c r="U99" s="250">
        <v>0</v>
      </c>
      <c r="V99" s="250">
        <v>0</v>
      </c>
      <c r="W99" s="250">
        <v>0</v>
      </c>
      <c r="X99" s="250">
        <v>0</v>
      </c>
      <c r="Y99" s="250">
        <v>0</v>
      </c>
      <c r="Z99" s="250">
        <v>0</v>
      </c>
      <c r="AA99" s="250">
        <v>0</v>
      </c>
      <c r="AB99" s="250">
        <v>0</v>
      </c>
      <c r="AC99" s="250">
        <v>0</v>
      </c>
      <c r="AD99" s="250">
        <v>0</v>
      </c>
      <c r="AE99" s="251">
        <v>0</v>
      </c>
      <c r="AF99" s="251">
        <v>0</v>
      </c>
      <c r="AG99" s="251">
        <v>775</v>
      </c>
      <c r="AH99" s="251">
        <v>0</v>
      </c>
      <c r="AI99" s="250">
        <f t="shared" si="2"/>
        <v>2275</v>
      </c>
    </row>
    <row r="100" spans="1:35" ht="29" x14ac:dyDescent="0.35">
      <c r="A100" s="5" t="s">
        <v>2598</v>
      </c>
      <c r="B100" s="250">
        <v>0</v>
      </c>
      <c r="C100" s="250">
        <v>0</v>
      </c>
      <c r="D100" s="250">
        <v>0</v>
      </c>
      <c r="E100" s="250">
        <v>0</v>
      </c>
      <c r="F100" s="250">
        <v>0</v>
      </c>
      <c r="G100" s="250">
        <v>0</v>
      </c>
      <c r="H100" s="250">
        <v>0</v>
      </c>
      <c r="I100" s="250">
        <v>0</v>
      </c>
      <c r="J100" s="250">
        <v>0</v>
      </c>
      <c r="K100" s="250">
        <v>0</v>
      </c>
      <c r="L100" s="250">
        <v>0</v>
      </c>
      <c r="M100" s="250">
        <v>0</v>
      </c>
      <c r="N100" s="250">
        <v>0</v>
      </c>
      <c r="O100" s="250">
        <v>0</v>
      </c>
      <c r="P100" s="250">
        <v>0</v>
      </c>
      <c r="Q100" s="250">
        <v>0</v>
      </c>
      <c r="R100" s="250">
        <v>0</v>
      </c>
      <c r="S100" s="250">
        <v>0</v>
      </c>
      <c r="T100" s="250">
        <v>0</v>
      </c>
      <c r="U100" s="250">
        <v>0</v>
      </c>
      <c r="V100" s="250">
        <v>0</v>
      </c>
      <c r="W100" s="250">
        <v>0</v>
      </c>
      <c r="X100" s="250">
        <v>0</v>
      </c>
      <c r="Y100" s="250">
        <v>0</v>
      </c>
      <c r="Z100" s="250">
        <v>7500</v>
      </c>
      <c r="AA100" s="250">
        <v>0</v>
      </c>
      <c r="AB100" s="250">
        <v>0</v>
      </c>
      <c r="AC100" s="250">
        <v>0</v>
      </c>
      <c r="AD100" s="250">
        <v>0</v>
      </c>
      <c r="AE100" s="251">
        <v>0</v>
      </c>
      <c r="AF100" s="251">
        <v>0</v>
      </c>
      <c r="AG100" s="251">
        <v>0</v>
      </c>
      <c r="AH100" s="251">
        <v>0</v>
      </c>
      <c r="AI100" s="250">
        <f t="shared" si="2"/>
        <v>7500</v>
      </c>
    </row>
    <row r="101" spans="1:35" x14ac:dyDescent="0.35">
      <c r="A101" s="5" t="s">
        <v>501</v>
      </c>
      <c r="B101" s="250">
        <v>0</v>
      </c>
      <c r="C101" s="250">
        <v>0</v>
      </c>
      <c r="D101" s="250">
        <v>1000</v>
      </c>
      <c r="E101" s="250">
        <v>0</v>
      </c>
      <c r="F101" s="250">
        <v>600</v>
      </c>
      <c r="G101" s="250">
        <v>500</v>
      </c>
      <c r="H101" s="250">
        <v>0</v>
      </c>
      <c r="I101" s="250">
        <v>0</v>
      </c>
      <c r="J101" s="250">
        <v>0</v>
      </c>
      <c r="K101" s="250">
        <v>0</v>
      </c>
      <c r="L101" s="250">
        <v>0</v>
      </c>
      <c r="M101" s="250">
        <v>0</v>
      </c>
      <c r="N101" s="250">
        <v>0</v>
      </c>
      <c r="O101" s="250">
        <v>0</v>
      </c>
      <c r="P101" s="250">
        <v>0</v>
      </c>
      <c r="Q101" s="250">
        <v>0</v>
      </c>
      <c r="R101" s="250">
        <v>0</v>
      </c>
      <c r="S101" s="250">
        <v>0</v>
      </c>
      <c r="T101" s="250">
        <v>0</v>
      </c>
      <c r="U101" s="250">
        <v>0</v>
      </c>
      <c r="V101" s="250">
        <v>1500</v>
      </c>
      <c r="W101" s="250">
        <v>0</v>
      </c>
      <c r="X101" s="250">
        <v>0</v>
      </c>
      <c r="Y101" s="250">
        <v>0</v>
      </c>
      <c r="Z101" s="250">
        <v>0</v>
      </c>
      <c r="AA101" s="250">
        <v>0</v>
      </c>
      <c r="AB101" s="250">
        <v>0</v>
      </c>
      <c r="AC101" s="250">
        <v>0</v>
      </c>
      <c r="AD101" s="250">
        <v>0</v>
      </c>
      <c r="AE101" s="251">
        <v>0</v>
      </c>
      <c r="AF101" s="251">
        <v>0</v>
      </c>
      <c r="AG101" s="251">
        <v>0</v>
      </c>
      <c r="AH101" s="251">
        <v>475</v>
      </c>
      <c r="AI101" s="250">
        <f t="shared" si="2"/>
        <v>4075</v>
      </c>
    </row>
    <row r="102" spans="1:35" x14ac:dyDescent="0.35">
      <c r="A102" s="5" t="s">
        <v>2599</v>
      </c>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c r="AA102" s="250"/>
      <c r="AB102" s="250"/>
      <c r="AC102" s="250"/>
      <c r="AD102" s="250"/>
      <c r="AE102" s="251"/>
      <c r="AF102" s="251"/>
      <c r="AG102" s="251">
        <v>1000</v>
      </c>
      <c r="AH102" s="251">
        <v>0</v>
      </c>
      <c r="AI102" s="250">
        <f t="shared" si="2"/>
        <v>1000</v>
      </c>
    </row>
    <row r="103" spans="1:35" x14ac:dyDescent="0.35">
      <c r="A103" s="5" t="s">
        <v>861</v>
      </c>
      <c r="B103" s="250"/>
      <c r="C103" s="250"/>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47">
        <v>1000</v>
      </c>
      <c r="Z103" s="250"/>
      <c r="AA103" s="250"/>
      <c r="AB103" s="250"/>
      <c r="AC103" s="250"/>
      <c r="AD103" s="250"/>
      <c r="AE103" s="251"/>
      <c r="AF103" s="251"/>
      <c r="AG103" s="251"/>
      <c r="AH103" s="251"/>
      <c r="AI103" s="250">
        <f t="shared" si="2"/>
        <v>1000</v>
      </c>
    </row>
    <row r="104" spans="1:35" x14ac:dyDescent="0.35">
      <c r="A104" s="5" t="s">
        <v>956</v>
      </c>
      <c r="B104" s="250">
        <v>0</v>
      </c>
      <c r="C104" s="250">
        <v>0</v>
      </c>
      <c r="D104" s="250">
        <v>0</v>
      </c>
      <c r="E104" s="250">
        <v>0</v>
      </c>
      <c r="F104" s="250">
        <v>0</v>
      </c>
      <c r="G104" s="250">
        <v>500</v>
      </c>
      <c r="H104" s="250">
        <v>0</v>
      </c>
      <c r="I104" s="250">
        <v>0</v>
      </c>
      <c r="J104" s="250">
        <v>0</v>
      </c>
      <c r="K104" s="250">
        <v>0</v>
      </c>
      <c r="L104" s="250">
        <v>0</v>
      </c>
      <c r="M104" s="250">
        <v>0</v>
      </c>
      <c r="N104" s="250">
        <v>0</v>
      </c>
      <c r="O104" s="250">
        <v>0</v>
      </c>
      <c r="P104" s="250">
        <v>0</v>
      </c>
      <c r="Q104" s="250">
        <v>0</v>
      </c>
      <c r="R104" s="250">
        <v>0</v>
      </c>
      <c r="S104" s="250">
        <v>0</v>
      </c>
      <c r="T104" s="250">
        <v>0</v>
      </c>
      <c r="U104" s="250">
        <v>0</v>
      </c>
      <c r="V104" s="250">
        <v>0</v>
      </c>
      <c r="W104" s="250">
        <v>0</v>
      </c>
      <c r="X104" s="250">
        <v>0</v>
      </c>
      <c r="Y104" s="247">
        <v>0</v>
      </c>
      <c r="Z104" s="250">
        <v>0</v>
      </c>
      <c r="AA104" s="250">
        <v>0</v>
      </c>
      <c r="AB104" s="250">
        <v>0</v>
      </c>
      <c r="AC104" s="250">
        <v>0</v>
      </c>
      <c r="AD104" s="250">
        <v>0</v>
      </c>
      <c r="AE104" s="251">
        <v>0</v>
      </c>
      <c r="AF104" s="251">
        <v>0</v>
      </c>
      <c r="AG104" s="251">
        <v>350</v>
      </c>
      <c r="AH104" s="251">
        <v>0</v>
      </c>
      <c r="AI104" s="250">
        <f t="shared" si="2"/>
        <v>850</v>
      </c>
    </row>
    <row r="105" spans="1:35" x14ac:dyDescent="0.35">
      <c r="A105" s="5" t="s">
        <v>2240</v>
      </c>
      <c r="B105" s="250">
        <v>0</v>
      </c>
      <c r="C105" s="250">
        <v>0</v>
      </c>
      <c r="D105" s="250">
        <v>0</v>
      </c>
      <c r="E105" s="250">
        <v>0</v>
      </c>
      <c r="F105" s="250">
        <v>0</v>
      </c>
      <c r="G105" s="250">
        <v>0</v>
      </c>
      <c r="H105" s="250">
        <v>0</v>
      </c>
      <c r="I105" s="250">
        <v>0</v>
      </c>
      <c r="J105" s="250">
        <v>0</v>
      </c>
      <c r="K105" s="250">
        <v>0</v>
      </c>
      <c r="L105" s="250">
        <v>0</v>
      </c>
      <c r="M105" s="250">
        <v>0</v>
      </c>
      <c r="N105" s="250">
        <v>0</v>
      </c>
      <c r="O105" s="250">
        <v>0</v>
      </c>
      <c r="P105" s="250">
        <v>0</v>
      </c>
      <c r="Q105" s="250">
        <v>0</v>
      </c>
      <c r="R105" s="250">
        <v>0</v>
      </c>
      <c r="S105" s="250">
        <v>0</v>
      </c>
      <c r="T105" s="250">
        <v>0</v>
      </c>
      <c r="U105" s="250">
        <v>0</v>
      </c>
      <c r="V105" s="250">
        <v>500</v>
      </c>
      <c r="W105" s="250">
        <v>0</v>
      </c>
      <c r="X105" s="250">
        <v>0</v>
      </c>
      <c r="Y105" s="247">
        <v>0</v>
      </c>
      <c r="Z105" s="250">
        <v>0</v>
      </c>
      <c r="AA105" s="250">
        <v>650</v>
      </c>
      <c r="AB105" s="250">
        <v>0</v>
      </c>
      <c r="AC105" s="250">
        <v>0</v>
      </c>
      <c r="AD105" s="250">
        <v>0</v>
      </c>
      <c r="AE105" s="251">
        <v>0</v>
      </c>
      <c r="AF105" s="251">
        <v>0</v>
      </c>
      <c r="AG105" s="251">
        <v>0</v>
      </c>
      <c r="AH105" s="251">
        <v>0</v>
      </c>
      <c r="AI105" s="250">
        <f t="shared" si="2"/>
        <v>1150</v>
      </c>
    </row>
    <row r="106" spans="1:35" x14ac:dyDescent="0.35">
      <c r="A106" s="5" t="s">
        <v>998</v>
      </c>
      <c r="B106" s="250">
        <v>0</v>
      </c>
      <c r="C106" s="250">
        <v>0</v>
      </c>
      <c r="D106" s="250">
        <v>0</v>
      </c>
      <c r="E106" s="250">
        <v>0</v>
      </c>
      <c r="F106" s="250">
        <v>0</v>
      </c>
      <c r="G106" s="250">
        <v>535</v>
      </c>
      <c r="H106" s="250">
        <v>0</v>
      </c>
      <c r="I106" s="250">
        <v>0</v>
      </c>
      <c r="J106" s="250">
        <v>0</v>
      </c>
      <c r="K106" s="250">
        <v>0</v>
      </c>
      <c r="L106" s="250">
        <v>0</v>
      </c>
      <c r="M106" s="250">
        <v>0</v>
      </c>
      <c r="N106" s="250">
        <v>0</v>
      </c>
      <c r="O106" s="250">
        <v>0</v>
      </c>
      <c r="P106" s="250">
        <v>0</v>
      </c>
      <c r="Q106" s="250">
        <v>0</v>
      </c>
      <c r="R106" s="250">
        <v>0</v>
      </c>
      <c r="S106" s="250">
        <v>0</v>
      </c>
      <c r="T106" s="250">
        <v>0</v>
      </c>
      <c r="U106" s="250">
        <v>0</v>
      </c>
      <c r="V106" s="250">
        <v>0</v>
      </c>
      <c r="W106" s="250">
        <v>0</v>
      </c>
      <c r="X106" s="250">
        <v>0</v>
      </c>
      <c r="Y106" s="247">
        <v>0</v>
      </c>
      <c r="Z106" s="250">
        <v>0</v>
      </c>
      <c r="AA106" s="250">
        <v>0</v>
      </c>
      <c r="AB106" s="250">
        <v>0</v>
      </c>
      <c r="AC106" s="250">
        <v>0</v>
      </c>
      <c r="AD106" s="250">
        <v>0</v>
      </c>
      <c r="AE106" s="251">
        <v>0</v>
      </c>
      <c r="AF106" s="251">
        <v>0</v>
      </c>
      <c r="AG106" s="251">
        <v>430</v>
      </c>
      <c r="AH106" s="251">
        <v>0</v>
      </c>
      <c r="AI106" s="250">
        <f t="shared" si="2"/>
        <v>965</v>
      </c>
    </row>
    <row r="107" spans="1:35" x14ac:dyDescent="0.35">
      <c r="A107" s="5" t="s">
        <v>865</v>
      </c>
      <c r="B107" s="250">
        <v>0</v>
      </c>
      <c r="C107" s="250">
        <v>0</v>
      </c>
      <c r="D107" s="250">
        <v>0</v>
      </c>
      <c r="E107" s="250">
        <v>0</v>
      </c>
      <c r="F107" s="250">
        <v>0</v>
      </c>
      <c r="G107" s="250">
        <v>500</v>
      </c>
      <c r="H107" s="250">
        <v>0</v>
      </c>
      <c r="I107" s="250">
        <v>0</v>
      </c>
      <c r="J107" s="250">
        <v>0</v>
      </c>
      <c r="K107" s="250">
        <v>0</v>
      </c>
      <c r="L107" s="250">
        <v>0</v>
      </c>
      <c r="M107" s="250">
        <v>0</v>
      </c>
      <c r="N107" s="250">
        <v>0</v>
      </c>
      <c r="O107" s="250">
        <v>0</v>
      </c>
      <c r="P107" s="250">
        <v>0</v>
      </c>
      <c r="Q107" s="250">
        <v>0</v>
      </c>
      <c r="R107" s="250">
        <v>0</v>
      </c>
      <c r="S107" s="250">
        <v>0</v>
      </c>
      <c r="T107" s="250">
        <v>0</v>
      </c>
      <c r="U107" s="250">
        <v>0</v>
      </c>
      <c r="V107" s="250">
        <v>0</v>
      </c>
      <c r="W107" s="250">
        <v>0</v>
      </c>
      <c r="X107" s="250">
        <v>0</v>
      </c>
      <c r="Y107" s="250">
        <v>0</v>
      </c>
      <c r="Z107" s="250">
        <v>0</v>
      </c>
      <c r="AA107" s="250">
        <v>0</v>
      </c>
      <c r="AB107" s="250">
        <v>0</v>
      </c>
      <c r="AC107" s="250">
        <v>0</v>
      </c>
      <c r="AD107" s="250">
        <v>0</v>
      </c>
      <c r="AE107" s="251">
        <v>0</v>
      </c>
      <c r="AF107" s="251">
        <v>0</v>
      </c>
      <c r="AG107" s="251">
        <v>350</v>
      </c>
      <c r="AH107" s="251">
        <v>0</v>
      </c>
      <c r="AI107" s="250">
        <f t="shared" si="2"/>
        <v>850</v>
      </c>
    </row>
    <row r="108" spans="1:35" x14ac:dyDescent="0.35">
      <c r="A108" s="5" t="s">
        <v>967</v>
      </c>
      <c r="B108" s="250">
        <v>0</v>
      </c>
      <c r="C108" s="250">
        <v>0</v>
      </c>
      <c r="D108" s="250">
        <v>0</v>
      </c>
      <c r="E108" s="250">
        <v>0</v>
      </c>
      <c r="F108" s="250">
        <v>0</v>
      </c>
      <c r="G108" s="250">
        <v>500</v>
      </c>
      <c r="H108" s="250">
        <v>0</v>
      </c>
      <c r="I108" s="250">
        <v>0</v>
      </c>
      <c r="J108" s="250">
        <v>0</v>
      </c>
      <c r="K108" s="250">
        <v>0</v>
      </c>
      <c r="L108" s="250">
        <v>0</v>
      </c>
      <c r="M108" s="250">
        <v>0</v>
      </c>
      <c r="N108" s="250">
        <v>0</v>
      </c>
      <c r="O108" s="250">
        <v>0</v>
      </c>
      <c r="P108" s="250">
        <v>0</v>
      </c>
      <c r="Q108" s="250">
        <v>0</v>
      </c>
      <c r="R108" s="250">
        <v>0</v>
      </c>
      <c r="S108" s="250">
        <v>0</v>
      </c>
      <c r="T108" s="250">
        <v>0</v>
      </c>
      <c r="U108" s="250">
        <v>0</v>
      </c>
      <c r="V108" s="250">
        <v>0</v>
      </c>
      <c r="W108" s="250">
        <v>0</v>
      </c>
      <c r="X108" s="250">
        <v>0</v>
      </c>
      <c r="Y108" s="250">
        <v>0</v>
      </c>
      <c r="Z108" s="250">
        <v>0</v>
      </c>
      <c r="AA108" s="250">
        <v>0</v>
      </c>
      <c r="AB108" s="250">
        <v>0</v>
      </c>
      <c r="AC108" s="250">
        <v>0</v>
      </c>
      <c r="AD108" s="250">
        <v>0</v>
      </c>
      <c r="AE108" s="251">
        <v>0</v>
      </c>
      <c r="AF108" s="251">
        <v>0</v>
      </c>
      <c r="AG108" s="251">
        <v>350</v>
      </c>
      <c r="AH108" s="251">
        <v>0</v>
      </c>
      <c r="AI108" s="250">
        <f t="shared" si="2"/>
        <v>850</v>
      </c>
    </row>
    <row r="109" spans="1:35" x14ac:dyDescent="0.35">
      <c r="A109" s="5" t="s">
        <v>2600</v>
      </c>
      <c r="B109" s="250">
        <v>0</v>
      </c>
      <c r="C109" s="250">
        <v>2850</v>
      </c>
      <c r="D109" s="250">
        <v>350</v>
      </c>
      <c r="E109" s="250">
        <v>2500</v>
      </c>
      <c r="F109" s="250">
        <v>350</v>
      </c>
      <c r="G109" s="250">
        <v>500</v>
      </c>
      <c r="H109" s="250">
        <v>0</v>
      </c>
      <c r="I109" s="250">
        <v>1000</v>
      </c>
      <c r="J109" s="250">
        <v>0</v>
      </c>
      <c r="K109" s="250">
        <v>1495</v>
      </c>
      <c r="L109" s="250">
        <v>0</v>
      </c>
      <c r="M109" s="250">
        <v>0</v>
      </c>
      <c r="N109" s="250">
        <v>0</v>
      </c>
      <c r="O109" s="250">
        <v>0</v>
      </c>
      <c r="P109" s="250">
        <v>0</v>
      </c>
      <c r="Q109" s="250">
        <v>3500</v>
      </c>
      <c r="R109" s="250">
        <v>0</v>
      </c>
      <c r="S109" s="250">
        <v>0</v>
      </c>
      <c r="T109" s="250">
        <v>0</v>
      </c>
      <c r="U109" s="250">
        <v>0</v>
      </c>
      <c r="V109" s="250"/>
      <c r="W109" s="250">
        <v>750</v>
      </c>
      <c r="X109" s="250">
        <v>0</v>
      </c>
      <c r="Y109" s="250">
        <v>0</v>
      </c>
      <c r="Z109" s="250">
        <v>0</v>
      </c>
      <c r="AA109" s="250">
        <v>0</v>
      </c>
      <c r="AB109" s="250">
        <v>0</v>
      </c>
      <c r="AC109" s="250">
        <v>1200</v>
      </c>
      <c r="AD109" s="250">
        <v>0</v>
      </c>
      <c r="AE109" s="251">
        <v>1000</v>
      </c>
      <c r="AF109" s="251">
        <v>3000</v>
      </c>
      <c r="AG109" s="251">
        <v>1500</v>
      </c>
      <c r="AH109" s="251">
        <v>0</v>
      </c>
      <c r="AI109" s="250">
        <f t="shared" si="2"/>
        <v>19995</v>
      </c>
    </row>
    <row r="110" spans="1:35" x14ac:dyDescent="0.35">
      <c r="A110" s="5" t="s">
        <v>269</v>
      </c>
      <c r="B110" s="250">
        <v>0</v>
      </c>
      <c r="C110" s="250">
        <v>2850</v>
      </c>
      <c r="D110" s="250">
        <v>0</v>
      </c>
      <c r="E110" s="250">
        <v>0</v>
      </c>
      <c r="F110" s="250">
        <v>350</v>
      </c>
      <c r="G110" s="250">
        <v>0</v>
      </c>
      <c r="H110" s="250">
        <v>0</v>
      </c>
      <c r="I110" s="250">
        <v>0</v>
      </c>
      <c r="J110" s="250">
        <v>0</v>
      </c>
      <c r="K110" s="250">
        <v>0</v>
      </c>
      <c r="L110" s="250">
        <v>0</v>
      </c>
      <c r="M110" s="250">
        <v>0</v>
      </c>
      <c r="N110" s="250">
        <v>0</v>
      </c>
      <c r="O110" s="250">
        <v>0</v>
      </c>
      <c r="P110" s="250">
        <v>3000</v>
      </c>
      <c r="Q110" s="250">
        <v>0</v>
      </c>
      <c r="R110" s="250">
        <v>0</v>
      </c>
      <c r="S110" s="250">
        <v>0</v>
      </c>
      <c r="T110" s="250">
        <v>0</v>
      </c>
      <c r="U110" s="250">
        <v>0</v>
      </c>
      <c r="V110" s="250">
        <v>0</v>
      </c>
      <c r="W110" s="250">
        <v>0</v>
      </c>
      <c r="X110" s="250">
        <v>0</v>
      </c>
      <c r="Y110" s="250">
        <v>0</v>
      </c>
      <c r="Z110" s="250">
        <v>0</v>
      </c>
      <c r="AA110" s="250">
        <v>0</v>
      </c>
      <c r="AB110" s="250">
        <v>0</v>
      </c>
      <c r="AC110" s="250">
        <v>0</v>
      </c>
      <c r="AD110" s="250">
        <v>0</v>
      </c>
      <c r="AE110" s="251">
        <v>250</v>
      </c>
      <c r="AF110" s="251">
        <v>0</v>
      </c>
      <c r="AG110" s="251">
        <v>775</v>
      </c>
      <c r="AH110" s="251">
        <v>0</v>
      </c>
      <c r="AI110" s="250">
        <f t="shared" si="2"/>
        <v>7225</v>
      </c>
    </row>
    <row r="111" spans="1:35" x14ac:dyDescent="0.35">
      <c r="A111" s="5" t="s">
        <v>130</v>
      </c>
      <c r="B111" s="250">
        <v>0</v>
      </c>
      <c r="C111" s="250">
        <v>5000</v>
      </c>
      <c r="D111" s="250">
        <v>600</v>
      </c>
      <c r="E111" s="250">
        <v>0</v>
      </c>
      <c r="F111" s="250">
        <v>600</v>
      </c>
      <c r="G111" s="250">
        <v>0</v>
      </c>
      <c r="H111" s="250">
        <v>0</v>
      </c>
      <c r="I111" s="250">
        <v>0</v>
      </c>
      <c r="J111" s="250">
        <v>0</v>
      </c>
      <c r="K111" s="250">
        <v>0</v>
      </c>
      <c r="L111" s="250">
        <v>0</v>
      </c>
      <c r="M111" s="250">
        <v>1795</v>
      </c>
      <c r="N111" s="250">
        <v>0</v>
      </c>
      <c r="O111" s="250">
        <v>0</v>
      </c>
      <c r="P111" s="250">
        <v>0</v>
      </c>
      <c r="Q111" s="250">
        <v>0</v>
      </c>
      <c r="R111" s="250">
        <v>0</v>
      </c>
      <c r="S111" s="250">
        <v>1000</v>
      </c>
      <c r="T111" s="250">
        <v>0</v>
      </c>
      <c r="U111" s="250">
        <v>2500</v>
      </c>
      <c r="V111" s="250">
        <v>0</v>
      </c>
      <c r="W111" s="250">
        <v>0</v>
      </c>
      <c r="X111" s="250">
        <v>0</v>
      </c>
      <c r="Y111" s="250">
        <v>0</v>
      </c>
      <c r="Z111" s="250">
        <v>0</v>
      </c>
      <c r="AA111" s="250">
        <v>0</v>
      </c>
      <c r="AB111" s="250">
        <v>0</v>
      </c>
      <c r="AC111" s="250">
        <v>0</v>
      </c>
      <c r="AD111" s="250">
        <v>2500</v>
      </c>
      <c r="AE111" s="251">
        <v>0</v>
      </c>
      <c r="AF111" s="251">
        <v>1500</v>
      </c>
      <c r="AG111" s="251">
        <v>1600</v>
      </c>
      <c r="AH111" s="251">
        <v>0</v>
      </c>
      <c r="AI111" s="250">
        <f t="shared" si="2"/>
        <v>17095</v>
      </c>
    </row>
    <row r="112" spans="1:35" x14ac:dyDescent="0.35">
      <c r="A112" s="5" t="s">
        <v>102</v>
      </c>
      <c r="B112" s="250">
        <v>0</v>
      </c>
      <c r="C112" s="250">
        <v>20000</v>
      </c>
      <c r="D112" s="250">
        <v>0</v>
      </c>
      <c r="E112" s="250">
        <v>0</v>
      </c>
      <c r="F112" s="250">
        <v>0</v>
      </c>
      <c r="G112" s="250">
        <v>0</v>
      </c>
      <c r="H112" s="250">
        <v>0</v>
      </c>
      <c r="I112" s="250">
        <v>0</v>
      </c>
      <c r="J112" s="250">
        <v>0</v>
      </c>
      <c r="K112" s="250">
        <v>0</v>
      </c>
      <c r="L112" s="250">
        <v>0</v>
      </c>
      <c r="M112" s="250">
        <v>0</v>
      </c>
      <c r="N112" s="250">
        <v>0</v>
      </c>
      <c r="O112" s="250">
        <v>0</v>
      </c>
      <c r="P112" s="250">
        <v>0</v>
      </c>
      <c r="Q112" s="250">
        <v>0</v>
      </c>
      <c r="R112" s="250">
        <v>0</v>
      </c>
      <c r="S112" s="250">
        <v>0</v>
      </c>
      <c r="T112" s="250">
        <v>0</v>
      </c>
      <c r="U112" s="250">
        <v>0</v>
      </c>
      <c r="V112" s="250">
        <v>0</v>
      </c>
      <c r="W112" s="250">
        <v>0</v>
      </c>
      <c r="X112" s="250">
        <v>0</v>
      </c>
      <c r="Y112" s="250">
        <v>0</v>
      </c>
      <c r="Z112" s="250">
        <v>0</v>
      </c>
      <c r="AA112" s="250">
        <v>0</v>
      </c>
      <c r="AB112" s="250">
        <v>0</v>
      </c>
      <c r="AC112" s="250">
        <v>0</v>
      </c>
      <c r="AD112" s="250">
        <v>0</v>
      </c>
      <c r="AE112" s="251">
        <v>0</v>
      </c>
      <c r="AF112" s="251">
        <v>1500</v>
      </c>
      <c r="AG112" s="251">
        <v>650</v>
      </c>
      <c r="AH112" s="251">
        <v>0</v>
      </c>
      <c r="AI112" s="250">
        <f t="shared" si="2"/>
        <v>22150</v>
      </c>
    </row>
    <row r="113" spans="1:35" x14ac:dyDescent="0.35">
      <c r="A113" s="5" t="s">
        <v>2601</v>
      </c>
      <c r="B113" s="250">
        <v>0</v>
      </c>
      <c r="C113" s="250">
        <v>1500</v>
      </c>
      <c r="D113" s="250">
        <v>0</v>
      </c>
      <c r="E113" s="250">
        <v>0</v>
      </c>
      <c r="F113" s="250">
        <v>0</v>
      </c>
      <c r="G113" s="250">
        <v>0</v>
      </c>
      <c r="H113" s="250">
        <v>0</v>
      </c>
      <c r="I113" s="250">
        <v>0</v>
      </c>
      <c r="J113" s="250">
        <v>0</v>
      </c>
      <c r="K113" s="250">
        <v>0</v>
      </c>
      <c r="L113" s="250">
        <v>0</v>
      </c>
      <c r="M113" s="250">
        <v>0</v>
      </c>
      <c r="N113" s="250">
        <v>0</v>
      </c>
      <c r="O113" s="250">
        <v>0</v>
      </c>
      <c r="P113" s="250">
        <v>0</v>
      </c>
      <c r="Q113" s="250">
        <v>0</v>
      </c>
      <c r="R113" s="250">
        <v>0</v>
      </c>
      <c r="S113" s="250">
        <v>0</v>
      </c>
      <c r="T113" s="250">
        <v>0</v>
      </c>
      <c r="U113" s="250">
        <v>0</v>
      </c>
      <c r="V113" s="250">
        <v>0</v>
      </c>
      <c r="W113" s="250">
        <v>0</v>
      </c>
      <c r="X113" s="250">
        <v>0</v>
      </c>
      <c r="Y113" s="250">
        <v>0</v>
      </c>
      <c r="Z113" s="250">
        <v>0</v>
      </c>
      <c r="AA113" s="250">
        <v>0</v>
      </c>
      <c r="AB113" s="250">
        <v>0</v>
      </c>
      <c r="AC113" s="250">
        <v>0</v>
      </c>
      <c r="AD113" s="250">
        <v>0</v>
      </c>
      <c r="AE113" s="251">
        <v>0</v>
      </c>
      <c r="AF113" s="251">
        <v>0</v>
      </c>
      <c r="AG113" s="251">
        <v>480</v>
      </c>
      <c r="AH113" s="251">
        <v>0</v>
      </c>
      <c r="AI113" s="250">
        <f t="shared" si="2"/>
        <v>1980</v>
      </c>
    </row>
    <row r="114" spans="1:35" x14ac:dyDescent="0.35">
      <c r="A114" s="5" t="s">
        <v>252</v>
      </c>
      <c r="B114" s="250">
        <v>0</v>
      </c>
      <c r="C114" s="250">
        <v>2850</v>
      </c>
      <c r="D114" s="250">
        <v>0</v>
      </c>
      <c r="E114" s="250">
        <v>0</v>
      </c>
      <c r="F114" s="250">
        <v>0</v>
      </c>
      <c r="G114" s="250">
        <v>0</v>
      </c>
      <c r="H114" s="250">
        <v>0</v>
      </c>
      <c r="I114" s="250">
        <v>0</v>
      </c>
      <c r="J114" s="250">
        <v>0</v>
      </c>
      <c r="K114" s="250">
        <v>0</v>
      </c>
      <c r="L114" s="250">
        <v>0</v>
      </c>
      <c r="M114" s="250">
        <v>0</v>
      </c>
      <c r="N114" s="250">
        <v>0</v>
      </c>
      <c r="O114" s="250">
        <v>0</v>
      </c>
      <c r="P114" s="250">
        <v>0</v>
      </c>
      <c r="Q114" s="250">
        <v>0</v>
      </c>
      <c r="R114" s="250">
        <v>0</v>
      </c>
      <c r="S114" s="250">
        <v>0</v>
      </c>
      <c r="T114" s="250">
        <v>0</v>
      </c>
      <c r="U114" s="250">
        <v>0</v>
      </c>
      <c r="V114" s="250">
        <v>0</v>
      </c>
      <c r="W114" s="250">
        <v>0</v>
      </c>
      <c r="X114" s="250">
        <v>0</v>
      </c>
      <c r="Y114" s="250">
        <v>0</v>
      </c>
      <c r="Z114" s="250">
        <v>0</v>
      </c>
      <c r="AA114" s="250">
        <v>0</v>
      </c>
      <c r="AB114" s="250">
        <v>0</v>
      </c>
      <c r="AC114" s="250">
        <v>0</v>
      </c>
      <c r="AD114" s="250">
        <v>0</v>
      </c>
      <c r="AE114" s="251">
        <v>0</v>
      </c>
      <c r="AF114" s="251">
        <v>0</v>
      </c>
      <c r="AG114" s="251">
        <v>350</v>
      </c>
      <c r="AH114" s="251">
        <v>0</v>
      </c>
      <c r="AI114" s="250">
        <f t="shared" si="2"/>
        <v>3200</v>
      </c>
    </row>
    <row r="115" spans="1:35" x14ac:dyDescent="0.35">
      <c r="A115" s="5" t="s">
        <v>268</v>
      </c>
      <c r="B115" s="250">
        <v>0</v>
      </c>
      <c r="C115" s="250">
        <v>1500</v>
      </c>
      <c r="D115" s="250">
        <v>0</v>
      </c>
      <c r="E115" s="250">
        <v>0</v>
      </c>
      <c r="F115" s="250">
        <v>0</v>
      </c>
      <c r="G115" s="250">
        <v>750</v>
      </c>
      <c r="H115" s="250">
        <v>70</v>
      </c>
      <c r="I115" s="250">
        <v>0</v>
      </c>
      <c r="J115" s="250">
        <v>0</v>
      </c>
      <c r="K115" s="250">
        <v>0</v>
      </c>
      <c r="L115" s="250">
        <v>0</v>
      </c>
      <c r="M115" s="250">
        <v>0</v>
      </c>
      <c r="N115" s="250">
        <v>0</v>
      </c>
      <c r="O115" s="250">
        <v>0</v>
      </c>
      <c r="P115" s="250">
        <v>0</v>
      </c>
      <c r="Q115" s="250"/>
      <c r="R115" s="250">
        <v>0</v>
      </c>
      <c r="S115" s="250">
        <v>0</v>
      </c>
      <c r="T115" s="250">
        <v>0</v>
      </c>
      <c r="U115" s="250">
        <v>0</v>
      </c>
      <c r="V115" s="250">
        <v>0</v>
      </c>
      <c r="W115" s="250">
        <v>0</v>
      </c>
      <c r="X115" s="250">
        <v>0</v>
      </c>
      <c r="Y115" s="250">
        <v>0</v>
      </c>
      <c r="Z115" s="250">
        <v>0</v>
      </c>
      <c r="AA115" s="250">
        <v>0</v>
      </c>
      <c r="AB115" s="250">
        <v>0</v>
      </c>
      <c r="AC115" s="250">
        <v>0</v>
      </c>
      <c r="AD115" s="250">
        <v>0</v>
      </c>
      <c r="AE115" s="251">
        <v>0</v>
      </c>
      <c r="AF115" s="251">
        <v>0</v>
      </c>
      <c r="AG115" s="251">
        <v>350</v>
      </c>
      <c r="AH115" s="251">
        <v>0</v>
      </c>
      <c r="AI115" s="250">
        <f t="shared" si="2"/>
        <v>2670</v>
      </c>
    </row>
    <row r="116" spans="1:35" x14ac:dyDescent="0.35">
      <c r="A116" s="5" t="s">
        <v>2602</v>
      </c>
      <c r="B116" s="250">
        <v>0</v>
      </c>
      <c r="C116" s="250">
        <v>0</v>
      </c>
      <c r="D116" s="250">
        <v>0</v>
      </c>
      <c r="E116" s="250">
        <v>0</v>
      </c>
      <c r="F116" s="250">
        <v>0</v>
      </c>
      <c r="G116" s="250">
        <v>500</v>
      </c>
      <c r="H116" s="250">
        <v>0</v>
      </c>
      <c r="I116" s="250">
        <v>0</v>
      </c>
      <c r="J116" s="250">
        <v>0</v>
      </c>
      <c r="K116" s="250">
        <v>0</v>
      </c>
      <c r="L116" s="250">
        <v>0</v>
      </c>
      <c r="M116" s="250">
        <v>0</v>
      </c>
      <c r="N116" s="250">
        <v>0</v>
      </c>
      <c r="O116" s="250">
        <v>0</v>
      </c>
      <c r="P116" s="250">
        <v>0</v>
      </c>
      <c r="Q116" s="250">
        <v>0</v>
      </c>
      <c r="R116" s="250">
        <v>0</v>
      </c>
      <c r="S116" s="250">
        <v>0</v>
      </c>
      <c r="T116" s="250">
        <v>0</v>
      </c>
      <c r="U116" s="250">
        <v>0</v>
      </c>
      <c r="V116" s="250">
        <v>0</v>
      </c>
      <c r="W116" s="250">
        <v>0</v>
      </c>
      <c r="X116" s="250">
        <v>0</v>
      </c>
      <c r="Y116" s="250">
        <v>0</v>
      </c>
      <c r="Z116" s="250">
        <v>0</v>
      </c>
      <c r="AA116" s="250">
        <v>0</v>
      </c>
      <c r="AB116" s="250">
        <v>0</v>
      </c>
      <c r="AC116" s="250">
        <v>0</v>
      </c>
      <c r="AD116" s="250">
        <v>0</v>
      </c>
      <c r="AE116" s="251">
        <v>0</v>
      </c>
      <c r="AF116" s="251">
        <v>0</v>
      </c>
      <c r="AG116" s="251">
        <v>350</v>
      </c>
      <c r="AH116" s="251">
        <v>0</v>
      </c>
      <c r="AI116" s="250">
        <f t="shared" si="2"/>
        <v>850</v>
      </c>
    </row>
    <row r="117" spans="1:35" x14ac:dyDescent="0.35">
      <c r="A117" s="5" t="s">
        <v>378</v>
      </c>
      <c r="B117" s="250">
        <v>0</v>
      </c>
      <c r="C117" s="250">
        <v>1500</v>
      </c>
      <c r="D117" s="250">
        <v>0</v>
      </c>
      <c r="E117" s="250">
        <v>0</v>
      </c>
      <c r="F117" s="250">
        <v>1000</v>
      </c>
      <c r="G117" s="250">
        <v>0</v>
      </c>
      <c r="H117" s="250">
        <v>0</v>
      </c>
      <c r="I117" s="250">
        <v>120</v>
      </c>
      <c r="J117" s="250">
        <v>120</v>
      </c>
      <c r="K117" s="250">
        <v>0</v>
      </c>
      <c r="L117" s="250">
        <v>0</v>
      </c>
      <c r="M117" s="250">
        <v>0</v>
      </c>
      <c r="N117" s="250">
        <v>0</v>
      </c>
      <c r="O117" s="250">
        <v>0</v>
      </c>
      <c r="P117" s="250">
        <v>0</v>
      </c>
      <c r="Q117" s="250">
        <v>0</v>
      </c>
      <c r="R117" s="250">
        <v>0</v>
      </c>
      <c r="S117" s="250">
        <v>0</v>
      </c>
      <c r="T117" s="250">
        <v>0</v>
      </c>
      <c r="U117" s="250">
        <v>0</v>
      </c>
      <c r="V117" s="250">
        <v>0</v>
      </c>
      <c r="W117" s="250">
        <v>0</v>
      </c>
      <c r="X117" s="250">
        <v>0</v>
      </c>
      <c r="Y117" s="250">
        <v>0</v>
      </c>
      <c r="Z117" s="250">
        <v>0</v>
      </c>
      <c r="AA117" s="250">
        <v>0</v>
      </c>
      <c r="AB117" s="250">
        <v>0</v>
      </c>
      <c r="AC117" s="250">
        <v>0</v>
      </c>
      <c r="AD117" s="250">
        <v>0</v>
      </c>
      <c r="AE117" s="251">
        <v>0</v>
      </c>
      <c r="AF117" s="251">
        <v>0</v>
      </c>
      <c r="AG117" s="251">
        <v>0</v>
      </c>
      <c r="AH117" s="251">
        <v>500</v>
      </c>
      <c r="AI117" s="250">
        <f t="shared" si="2"/>
        <v>3240</v>
      </c>
    </row>
    <row r="118" spans="1:35" x14ac:dyDescent="0.35">
      <c r="A118" s="5" t="s">
        <v>276</v>
      </c>
      <c r="B118" s="250">
        <v>0</v>
      </c>
      <c r="C118" s="250">
        <v>2850</v>
      </c>
      <c r="D118" s="250">
        <v>1000</v>
      </c>
      <c r="E118" s="250">
        <v>0</v>
      </c>
      <c r="F118" s="250">
        <v>600</v>
      </c>
      <c r="G118" s="250">
        <v>0</v>
      </c>
      <c r="H118" s="250">
        <v>0</v>
      </c>
      <c r="I118" s="250">
        <v>0</v>
      </c>
      <c r="J118" s="250">
        <v>800</v>
      </c>
      <c r="K118" s="250">
        <v>1500</v>
      </c>
      <c r="L118" s="250">
        <v>0</v>
      </c>
      <c r="M118" s="250">
        <v>0</v>
      </c>
      <c r="N118" s="250">
        <v>0</v>
      </c>
      <c r="O118" s="250">
        <v>0</v>
      </c>
      <c r="P118" s="250">
        <v>0</v>
      </c>
      <c r="Q118" s="250">
        <v>1000</v>
      </c>
      <c r="R118" s="250">
        <v>0</v>
      </c>
      <c r="S118" s="250">
        <v>0</v>
      </c>
      <c r="T118" s="250">
        <v>0</v>
      </c>
      <c r="U118" s="250">
        <v>0</v>
      </c>
      <c r="V118" s="250">
        <v>350</v>
      </c>
      <c r="W118" s="250">
        <v>0</v>
      </c>
      <c r="X118" s="250">
        <v>0</v>
      </c>
      <c r="Y118" s="250">
        <v>0</v>
      </c>
      <c r="Z118" s="250">
        <v>0</v>
      </c>
      <c r="AA118" s="250">
        <v>0</v>
      </c>
      <c r="AB118" s="250">
        <v>0</v>
      </c>
      <c r="AC118" s="250">
        <v>0</v>
      </c>
      <c r="AD118" s="250">
        <v>680</v>
      </c>
      <c r="AE118" s="251">
        <v>500</v>
      </c>
      <c r="AF118" s="251">
        <v>1500</v>
      </c>
      <c r="AG118" s="251">
        <v>430</v>
      </c>
      <c r="AH118" s="251">
        <v>0</v>
      </c>
      <c r="AI118" s="250">
        <f t="shared" si="2"/>
        <v>11210</v>
      </c>
    </row>
    <row r="119" spans="1:35" x14ac:dyDescent="0.35">
      <c r="A119" s="5" t="s">
        <v>2603</v>
      </c>
      <c r="B119" s="250">
        <v>0</v>
      </c>
      <c r="C119" s="250">
        <v>0</v>
      </c>
      <c r="D119" s="250">
        <v>0</v>
      </c>
      <c r="E119" s="250">
        <v>0</v>
      </c>
      <c r="F119" s="250">
        <v>0</v>
      </c>
      <c r="G119" s="250">
        <v>0</v>
      </c>
      <c r="H119" s="250">
        <v>0</v>
      </c>
      <c r="I119" s="250">
        <v>0</v>
      </c>
      <c r="J119" s="250">
        <v>0</v>
      </c>
      <c r="K119" s="250">
        <v>0</v>
      </c>
      <c r="L119" s="250">
        <v>0</v>
      </c>
      <c r="M119" s="250">
        <v>0</v>
      </c>
      <c r="N119" s="250">
        <v>0</v>
      </c>
      <c r="O119" s="250">
        <v>0</v>
      </c>
      <c r="P119" s="250">
        <v>0</v>
      </c>
      <c r="Q119" s="250">
        <v>0</v>
      </c>
      <c r="R119" s="250">
        <v>0</v>
      </c>
      <c r="S119" s="250">
        <v>0</v>
      </c>
      <c r="T119" s="250">
        <v>0</v>
      </c>
      <c r="U119" s="250">
        <v>0</v>
      </c>
      <c r="V119" s="250">
        <v>0</v>
      </c>
      <c r="W119" s="250">
        <v>1500</v>
      </c>
      <c r="X119" s="250">
        <v>0</v>
      </c>
      <c r="Y119" s="250">
        <v>0</v>
      </c>
      <c r="Z119" s="250">
        <v>0</v>
      </c>
      <c r="AA119" s="250">
        <v>0</v>
      </c>
      <c r="AB119" s="250">
        <v>0</v>
      </c>
      <c r="AC119" s="250">
        <v>0</v>
      </c>
      <c r="AD119" s="250">
        <v>0</v>
      </c>
      <c r="AE119" s="251">
        <v>0</v>
      </c>
      <c r="AF119" s="251">
        <v>0</v>
      </c>
      <c r="AG119" s="251">
        <v>0</v>
      </c>
      <c r="AH119" s="251">
        <v>0</v>
      </c>
      <c r="AI119" s="250">
        <f t="shared" si="2"/>
        <v>1500</v>
      </c>
    </row>
    <row r="120" spans="1:35" x14ac:dyDescent="0.35">
      <c r="A120" s="5" t="s">
        <v>2248</v>
      </c>
      <c r="B120" s="250">
        <v>0</v>
      </c>
      <c r="C120" s="250">
        <v>0</v>
      </c>
      <c r="D120" s="250">
        <v>0</v>
      </c>
      <c r="E120" s="250">
        <v>0</v>
      </c>
      <c r="F120" s="250">
        <v>0</v>
      </c>
      <c r="G120" s="250">
        <v>0</v>
      </c>
      <c r="H120" s="250">
        <v>0</v>
      </c>
      <c r="I120" s="250">
        <v>0</v>
      </c>
      <c r="J120" s="250">
        <v>0</v>
      </c>
      <c r="K120" s="250">
        <v>0</v>
      </c>
      <c r="L120" s="250">
        <v>0</v>
      </c>
      <c r="M120" s="250">
        <v>0</v>
      </c>
      <c r="N120" s="250">
        <v>0</v>
      </c>
      <c r="O120" s="250">
        <v>0</v>
      </c>
      <c r="P120" s="250">
        <v>0</v>
      </c>
      <c r="Q120" s="250">
        <v>0</v>
      </c>
      <c r="R120" s="250">
        <v>0</v>
      </c>
      <c r="S120" s="250">
        <v>0</v>
      </c>
      <c r="T120" s="250">
        <v>0</v>
      </c>
      <c r="U120" s="250">
        <v>0</v>
      </c>
      <c r="V120" s="250">
        <v>0</v>
      </c>
      <c r="W120" s="250">
        <v>0</v>
      </c>
      <c r="X120" s="250">
        <v>0</v>
      </c>
      <c r="Y120" s="250">
        <v>0</v>
      </c>
      <c r="Z120" s="250">
        <v>0</v>
      </c>
      <c r="AA120" s="250">
        <v>500</v>
      </c>
      <c r="AB120" s="250">
        <v>0</v>
      </c>
      <c r="AC120" s="250">
        <v>0</v>
      </c>
      <c r="AD120" s="250">
        <v>0</v>
      </c>
      <c r="AE120" s="251">
        <v>0</v>
      </c>
      <c r="AF120" s="251">
        <v>0</v>
      </c>
      <c r="AG120" s="251">
        <v>350</v>
      </c>
      <c r="AH120" s="251">
        <v>0</v>
      </c>
      <c r="AI120" s="250">
        <f t="shared" si="2"/>
        <v>850</v>
      </c>
    </row>
    <row r="121" spans="1:35" x14ac:dyDescent="0.35">
      <c r="A121" s="5" t="s">
        <v>2297</v>
      </c>
      <c r="B121" s="250">
        <v>0</v>
      </c>
      <c r="C121" s="250">
        <v>0</v>
      </c>
      <c r="D121" s="250">
        <v>0</v>
      </c>
      <c r="E121" s="250">
        <v>0</v>
      </c>
      <c r="F121" s="250">
        <v>0</v>
      </c>
      <c r="G121" s="250">
        <v>0</v>
      </c>
      <c r="H121" s="250">
        <v>0</v>
      </c>
      <c r="I121" s="250">
        <v>0</v>
      </c>
      <c r="J121" s="250">
        <v>0</v>
      </c>
      <c r="K121" s="250">
        <v>0</v>
      </c>
      <c r="L121" s="250">
        <v>0</v>
      </c>
      <c r="M121" s="250">
        <v>0</v>
      </c>
      <c r="N121" s="250">
        <v>0</v>
      </c>
      <c r="O121" s="250">
        <v>0</v>
      </c>
      <c r="P121" s="250">
        <v>0</v>
      </c>
      <c r="Q121" s="250">
        <v>0</v>
      </c>
      <c r="R121" s="250">
        <v>0</v>
      </c>
      <c r="S121" s="250">
        <v>0</v>
      </c>
      <c r="T121" s="250">
        <v>0</v>
      </c>
      <c r="U121" s="250">
        <v>0</v>
      </c>
      <c r="V121" s="250">
        <v>0</v>
      </c>
      <c r="W121" s="250">
        <v>0</v>
      </c>
      <c r="X121" s="250">
        <v>0</v>
      </c>
      <c r="Y121" s="250">
        <v>0</v>
      </c>
      <c r="Z121" s="250">
        <v>0</v>
      </c>
      <c r="AA121" s="250">
        <v>500</v>
      </c>
      <c r="AB121" s="250">
        <v>0</v>
      </c>
      <c r="AC121" s="250">
        <v>0</v>
      </c>
      <c r="AD121" s="250">
        <v>0</v>
      </c>
      <c r="AE121" s="251">
        <v>0</v>
      </c>
      <c r="AF121" s="251">
        <v>0</v>
      </c>
      <c r="AG121" s="251">
        <v>350</v>
      </c>
      <c r="AH121" s="251">
        <v>0</v>
      </c>
      <c r="AI121" s="250">
        <f t="shared" si="2"/>
        <v>850</v>
      </c>
    </row>
    <row r="122" spans="1:35" x14ac:dyDescent="0.35">
      <c r="A122" s="5" t="s">
        <v>2604</v>
      </c>
      <c r="B122" s="250">
        <v>0</v>
      </c>
      <c r="C122" s="250">
        <v>925</v>
      </c>
      <c r="D122" s="250">
        <v>0</v>
      </c>
      <c r="E122" s="250">
        <v>0</v>
      </c>
      <c r="F122" s="250">
        <v>0</v>
      </c>
      <c r="G122" s="250">
        <v>80</v>
      </c>
      <c r="H122" s="250">
        <v>0</v>
      </c>
      <c r="I122" s="250">
        <v>0</v>
      </c>
      <c r="J122" s="250">
        <v>0</v>
      </c>
      <c r="K122" s="250">
        <v>1495</v>
      </c>
      <c r="L122" s="250">
        <v>0</v>
      </c>
      <c r="M122" s="250">
        <v>0</v>
      </c>
      <c r="N122" s="250">
        <v>15000</v>
      </c>
      <c r="O122" s="250">
        <v>0</v>
      </c>
      <c r="P122" s="250">
        <v>3000</v>
      </c>
      <c r="Q122" s="250">
        <v>0</v>
      </c>
      <c r="R122" s="250">
        <v>0</v>
      </c>
      <c r="S122" s="250">
        <v>0</v>
      </c>
      <c r="T122" s="250">
        <v>0</v>
      </c>
      <c r="U122" s="250">
        <v>10000</v>
      </c>
      <c r="V122" s="250">
        <v>0</v>
      </c>
      <c r="W122" s="250">
        <v>8250</v>
      </c>
      <c r="X122" s="250">
        <v>0</v>
      </c>
      <c r="Y122" s="250">
        <v>0</v>
      </c>
      <c r="Z122" s="250">
        <v>750</v>
      </c>
      <c r="AA122" s="250">
        <v>0</v>
      </c>
      <c r="AB122" s="250">
        <v>0</v>
      </c>
      <c r="AC122" s="250">
        <v>0</v>
      </c>
      <c r="AD122" s="250">
        <v>0</v>
      </c>
      <c r="AE122" s="251">
        <v>1000</v>
      </c>
      <c r="AF122" s="251">
        <v>1500</v>
      </c>
      <c r="AG122" s="251">
        <v>1875</v>
      </c>
      <c r="AH122" s="251">
        <v>0</v>
      </c>
      <c r="AI122" s="250">
        <f t="shared" si="2"/>
        <v>43875</v>
      </c>
    </row>
    <row r="123" spans="1:35" x14ac:dyDescent="0.35">
      <c r="A123" s="5" t="s">
        <v>288</v>
      </c>
      <c r="B123" s="250">
        <v>0</v>
      </c>
      <c r="C123" s="250">
        <v>1500</v>
      </c>
      <c r="D123" s="250">
        <v>0</v>
      </c>
      <c r="E123" s="250">
        <v>0</v>
      </c>
      <c r="F123" s="250">
        <v>0</v>
      </c>
      <c r="G123" s="250">
        <v>600</v>
      </c>
      <c r="H123" s="250">
        <v>0</v>
      </c>
      <c r="I123" s="250">
        <v>0</v>
      </c>
      <c r="J123" s="250">
        <v>0</v>
      </c>
      <c r="K123" s="250">
        <v>1495</v>
      </c>
      <c r="L123" s="250">
        <v>0</v>
      </c>
      <c r="M123" s="250">
        <v>0</v>
      </c>
      <c r="N123" s="250">
        <v>0</v>
      </c>
      <c r="O123" s="250">
        <v>0</v>
      </c>
      <c r="P123" s="250">
        <v>3000</v>
      </c>
      <c r="Q123" s="250">
        <v>0</v>
      </c>
      <c r="R123" s="250">
        <v>0</v>
      </c>
      <c r="S123" s="250">
        <v>0</v>
      </c>
      <c r="T123" s="250">
        <v>0</v>
      </c>
      <c r="U123" s="250">
        <v>0</v>
      </c>
      <c r="V123" s="250">
        <v>0</v>
      </c>
      <c r="W123" s="250">
        <v>0</v>
      </c>
      <c r="X123" s="250">
        <v>0</v>
      </c>
      <c r="Y123" s="250">
        <v>0</v>
      </c>
      <c r="Z123" s="250">
        <v>20000</v>
      </c>
      <c r="AA123" s="250">
        <v>0</v>
      </c>
      <c r="AB123" s="250">
        <v>0</v>
      </c>
      <c r="AC123" s="250">
        <v>1500</v>
      </c>
      <c r="AD123" s="250">
        <v>2600</v>
      </c>
      <c r="AE123" s="251">
        <v>500</v>
      </c>
      <c r="AF123" s="251">
        <v>1500</v>
      </c>
      <c r="AG123" s="251">
        <v>1640</v>
      </c>
      <c r="AH123" s="251">
        <v>0</v>
      </c>
      <c r="AI123" s="250">
        <f t="shared" si="2"/>
        <v>34335</v>
      </c>
    </row>
    <row r="124" spans="1:35" x14ac:dyDescent="0.35">
      <c r="A124" s="5" t="s">
        <v>2281</v>
      </c>
      <c r="B124" s="250">
        <v>0</v>
      </c>
      <c r="C124" s="250">
        <v>0</v>
      </c>
      <c r="D124" s="250">
        <v>0</v>
      </c>
      <c r="E124" s="250">
        <v>0</v>
      </c>
      <c r="F124" s="250">
        <v>0</v>
      </c>
      <c r="G124" s="250">
        <v>0</v>
      </c>
      <c r="H124" s="250">
        <v>0</v>
      </c>
      <c r="I124" s="250">
        <v>0</v>
      </c>
      <c r="J124" s="250">
        <v>0</v>
      </c>
      <c r="K124" s="250">
        <v>0</v>
      </c>
      <c r="L124" s="250">
        <v>0</v>
      </c>
      <c r="M124" s="250">
        <v>0</v>
      </c>
      <c r="N124" s="250">
        <v>0</v>
      </c>
      <c r="O124" s="250">
        <v>0</v>
      </c>
      <c r="P124" s="250">
        <v>0</v>
      </c>
      <c r="Q124" s="250">
        <v>0</v>
      </c>
      <c r="R124" s="250">
        <v>0</v>
      </c>
      <c r="S124" s="250">
        <v>0</v>
      </c>
      <c r="T124" s="250">
        <v>0</v>
      </c>
      <c r="U124" s="250">
        <v>0</v>
      </c>
      <c r="V124" s="250">
        <v>0</v>
      </c>
      <c r="W124" s="250">
        <v>0</v>
      </c>
      <c r="X124" s="250">
        <v>0</v>
      </c>
      <c r="Y124" s="250">
        <v>0</v>
      </c>
      <c r="Z124" s="250">
        <v>0</v>
      </c>
      <c r="AA124" s="250">
        <v>450</v>
      </c>
      <c r="AB124" s="250">
        <v>0</v>
      </c>
      <c r="AC124" s="250">
        <v>0</v>
      </c>
      <c r="AD124" s="250">
        <v>0</v>
      </c>
      <c r="AE124" s="251">
        <v>0</v>
      </c>
      <c r="AF124" s="251">
        <v>0</v>
      </c>
      <c r="AG124" s="251">
        <v>1000</v>
      </c>
      <c r="AH124" s="251">
        <v>0</v>
      </c>
      <c r="AI124" s="250">
        <f t="shared" ref="AI124:AI189" si="3">SUM(B124:AH124)</f>
        <v>1450</v>
      </c>
    </row>
    <row r="125" spans="1:35" x14ac:dyDescent="0.35">
      <c r="A125" s="5" t="s">
        <v>110</v>
      </c>
      <c r="B125" s="250">
        <v>0</v>
      </c>
      <c r="C125" s="250">
        <v>15000</v>
      </c>
      <c r="D125" s="250">
        <v>500</v>
      </c>
      <c r="E125" s="250">
        <v>0</v>
      </c>
      <c r="F125" s="250">
        <v>300</v>
      </c>
      <c r="G125" s="250">
        <v>1090</v>
      </c>
      <c r="H125" s="250">
        <v>0</v>
      </c>
      <c r="I125" s="250">
        <v>1000</v>
      </c>
      <c r="J125" s="250">
        <v>0</v>
      </c>
      <c r="K125" s="250">
        <v>3990</v>
      </c>
      <c r="L125" s="250">
        <v>8000</v>
      </c>
      <c r="M125" s="250">
        <v>1795</v>
      </c>
      <c r="N125" s="250">
        <v>0</v>
      </c>
      <c r="O125" s="250">
        <v>350</v>
      </c>
      <c r="P125" s="250">
        <v>3000</v>
      </c>
      <c r="Q125" s="250">
        <v>2000</v>
      </c>
      <c r="R125" s="250">
        <v>0</v>
      </c>
      <c r="S125" s="250">
        <v>2500</v>
      </c>
      <c r="T125" s="250">
        <v>0</v>
      </c>
      <c r="U125" s="250">
        <v>2500</v>
      </c>
      <c r="V125" s="250">
        <v>0</v>
      </c>
      <c r="W125" s="250">
        <v>8400</v>
      </c>
      <c r="X125" s="250">
        <v>0</v>
      </c>
      <c r="Y125" s="250">
        <v>0</v>
      </c>
      <c r="Z125" s="250">
        <v>1000</v>
      </c>
      <c r="AA125" s="250">
        <v>400</v>
      </c>
      <c r="AB125" s="250">
        <v>0</v>
      </c>
      <c r="AC125" s="250">
        <v>1200</v>
      </c>
      <c r="AD125" s="250">
        <v>1300</v>
      </c>
      <c r="AE125" s="251">
        <v>1000</v>
      </c>
      <c r="AF125" s="251">
        <v>5000</v>
      </c>
      <c r="AG125" s="251">
        <v>6500</v>
      </c>
      <c r="AH125" s="251">
        <v>0</v>
      </c>
      <c r="AI125" s="250">
        <f t="shared" si="3"/>
        <v>66825</v>
      </c>
    </row>
    <row r="126" spans="1:35" x14ac:dyDescent="0.35">
      <c r="A126" s="5" t="s">
        <v>248</v>
      </c>
      <c r="B126" s="250">
        <v>0</v>
      </c>
      <c r="C126" s="250">
        <v>2850</v>
      </c>
      <c r="D126" s="250">
        <v>0</v>
      </c>
      <c r="E126" s="250">
        <v>0</v>
      </c>
      <c r="F126" s="250">
        <v>0</v>
      </c>
      <c r="G126" s="250">
        <v>530</v>
      </c>
      <c r="H126" s="250">
        <v>0</v>
      </c>
      <c r="I126" s="250">
        <v>0</v>
      </c>
      <c r="J126" s="250">
        <v>0</v>
      </c>
      <c r="K126" s="250">
        <v>0</v>
      </c>
      <c r="L126" s="250">
        <v>0</v>
      </c>
      <c r="M126" s="250">
        <v>1795</v>
      </c>
      <c r="N126" s="250">
        <v>0</v>
      </c>
      <c r="O126" s="250">
        <v>0</v>
      </c>
      <c r="P126" s="250">
        <v>3000</v>
      </c>
      <c r="Q126" s="250">
        <v>0</v>
      </c>
      <c r="R126" s="250">
        <v>5000</v>
      </c>
      <c r="S126" s="250">
        <v>3500</v>
      </c>
      <c r="T126" s="250">
        <v>1000</v>
      </c>
      <c r="U126" s="250">
        <v>0</v>
      </c>
      <c r="V126" s="250">
        <v>0</v>
      </c>
      <c r="W126" s="250">
        <v>0</v>
      </c>
      <c r="X126" s="250">
        <v>0</v>
      </c>
      <c r="Y126" s="250">
        <v>0</v>
      </c>
      <c r="Z126" s="250">
        <v>1000</v>
      </c>
      <c r="AA126" s="250">
        <v>650</v>
      </c>
      <c r="AB126" s="250">
        <v>0</v>
      </c>
      <c r="AC126" s="250">
        <v>0</v>
      </c>
      <c r="AD126" s="250">
        <v>0</v>
      </c>
      <c r="AE126" s="251">
        <v>1000</v>
      </c>
      <c r="AF126" s="251">
        <v>3000</v>
      </c>
      <c r="AG126" s="251">
        <v>4305</v>
      </c>
      <c r="AH126" s="251">
        <v>0</v>
      </c>
      <c r="AI126" s="250">
        <f t="shared" si="3"/>
        <v>27630</v>
      </c>
    </row>
    <row r="127" spans="1:35" x14ac:dyDescent="0.35">
      <c r="A127" s="5" t="s">
        <v>684</v>
      </c>
      <c r="B127" s="250">
        <v>0</v>
      </c>
      <c r="C127" s="250">
        <v>0</v>
      </c>
      <c r="D127" s="250">
        <v>0</v>
      </c>
      <c r="E127" s="250">
        <v>0</v>
      </c>
      <c r="F127" s="250">
        <v>350</v>
      </c>
      <c r="G127" s="250">
        <v>0</v>
      </c>
      <c r="H127" s="250">
        <v>0</v>
      </c>
      <c r="I127" s="250">
        <v>0</v>
      </c>
      <c r="J127" s="250">
        <v>0</v>
      </c>
      <c r="K127" s="250">
        <v>0</v>
      </c>
      <c r="L127" s="250">
        <v>0</v>
      </c>
      <c r="M127" s="250">
        <v>0</v>
      </c>
      <c r="N127" s="250">
        <v>0</v>
      </c>
      <c r="O127" s="250">
        <v>0</v>
      </c>
      <c r="P127" s="250">
        <v>0</v>
      </c>
      <c r="Q127" s="250">
        <v>0</v>
      </c>
      <c r="R127" s="250">
        <v>0</v>
      </c>
      <c r="S127" s="250">
        <v>0</v>
      </c>
      <c r="T127" s="250">
        <v>0</v>
      </c>
      <c r="U127" s="250">
        <v>0</v>
      </c>
      <c r="V127" s="250">
        <v>0</v>
      </c>
      <c r="W127" s="250">
        <v>0</v>
      </c>
      <c r="X127" s="250">
        <v>0</v>
      </c>
      <c r="Y127" s="250">
        <v>0</v>
      </c>
      <c r="Z127" s="250">
        <v>0</v>
      </c>
      <c r="AA127" s="250">
        <v>0</v>
      </c>
      <c r="AB127" s="250">
        <v>0</v>
      </c>
      <c r="AC127" s="250">
        <v>0</v>
      </c>
      <c r="AD127" s="250">
        <v>0</v>
      </c>
      <c r="AE127" s="251">
        <v>0</v>
      </c>
      <c r="AF127" s="251">
        <v>0</v>
      </c>
      <c r="AG127" s="251">
        <v>350</v>
      </c>
      <c r="AH127" s="251">
        <v>0</v>
      </c>
      <c r="AI127" s="250">
        <f t="shared" si="3"/>
        <v>700</v>
      </c>
    </row>
    <row r="128" spans="1:35" x14ac:dyDescent="0.35">
      <c r="A128" s="5" t="s">
        <v>298</v>
      </c>
      <c r="B128" s="250">
        <v>0</v>
      </c>
      <c r="C128" s="250">
        <v>1500</v>
      </c>
      <c r="D128" s="250">
        <v>0</v>
      </c>
      <c r="E128" s="250">
        <v>0</v>
      </c>
      <c r="F128" s="250">
        <v>0</v>
      </c>
      <c r="G128" s="250">
        <v>0</v>
      </c>
      <c r="H128" s="250">
        <v>0</v>
      </c>
      <c r="I128" s="250">
        <v>0</v>
      </c>
      <c r="J128" s="250">
        <v>0</v>
      </c>
      <c r="K128" s="250">
        <v>0</v>
      </c>
      <c r="L128" s="250">
        <v>0</v>
      </c>
      <c r="M128" s="250">
        <v>0</v>
      </c>
      <c r="N128" s="250">
        <v>0</v>
      </c>
      <c r="O128" s="250">
        <v>0</v>
      </c>
      <c r="P128" s="250">
        <v>3000</v>
      </c>
      <c r="Q128" s="250">
        <v>5000</v>
      </c>
      <c r="R128" s="250">
        <v>0</v>
      </c>
      <c r="S128" s="250">
        <v>0</v>
      </c>
      <c r="T128" s="250">
        <v>0</v>
      </c>
      <c r="U128" s="250">
        <v>5000</v>
      </c>
      <c r="V128" s="250">
        <v>0</v>
      </c>
      <c r="W128" s="250">
        <v>4000</v>
      </c>
      <c r="X128" s="250">
        <v>0</v>
      </c>
      <c r="Y128" s="250">
        <v>0</v>
      </c>
      <c r="Z128" s="250">
        <v>0</v>
      </c>
      <c r="AA128" s="250">
        <v>0</v>
      </c>
      <c r="AB128" s="250">
        <v>7500</v>
      </c>
      <c r="AC128" s="250">
        <v>0</v>
      </c>
      <c r="AD128" s="250">
        <v>0</v>
      </c>
      <c r="AE128" s="251">
        <v>750</v>
      </c>
      <c r="AF128" s="251">
        <v>1500</v>
      </c>
      <c r="AG128" s="251">
        <v>2000</v>
      </c>
      <c r="AH128" s="251">
        <v>0</v>
      </c>
      <c r="AI128" s="250">
        <f t="shared" si="3"/>
        <v>30250</v>
      </c>
    </row>
    <row r="129" spans="1:35" x14ac:dyDescent="0.35">
      <c r="A129" s="5" t="s">
        <v>1628</v>
      </c>
      <c r="B129" s="250">
        <v>0</v>
      </c>
      <c r="C129" s="250">
        <v>0</v>
      </c>
      <c r="D129" s="250">
        <v>0</v>
      </c>
      <c r="E129" s="250">
        <v>0</v>
      </c>
      <c r="F129" s="250">
        <v>0</v>
      </c>
      <c r="G129" s="250">
        <v>0</v>
      </c>
      <c r="H129" s="250">
        <v>0</v>
      </c>
      <c r="I129" s="250">
        <v>0</v>
      </c>
      <c r="J129" s="250">
        <v>0</v>
      </c>
      <c r="K129" s="250">
        <v>0</v>
      </c>
      <c r="L129" s="250">
        <v>0</v>
      </c>
      <c r="M129" s="250">
        <v>0</v>
      </c>
      <c r="N129" s="250">
        <v>0</v>
      </c>
      <c r="O129" s="250">
        <v>0</v>
      </c>
      <c r="P129" s="250">
        <v>0</v>
      </c>
      <c r="Q129" s="250">
        <v>1000</v>
      </c>
      <c r="R129" s="250">
        <v>0</v>
      </c>
      <c r="S129" s="250">
        <v>0</v>
      </c>
      <c r="T129" s="250">
        <v>0</v>
      </c>
      <c r="U129" s="250">
        <v>0</v>
      </c>
      <c r="V129" s="250">
        <v>0</v>
      </c>
      <c r="W129" s="250">
        <v>0</v>
      </c>
      <c r="X129" s="250">
        <v>0</v>
      </c>
      <c r="Y129" s="250">
        <v>0</v>
      </c>
      <c r="Z129" s="250">
        <v>0</v>
      </c>
      <c r="AA129" s="250">
        <v>0</v>
      </c>
      <c r="AB129" s="250">
        <v>0</v>
      </c>
      <c r="AC129" s="250">
        <v>0</v>
      </c>
      <c r="AD129" s="250">
        <v>0</v>
      </c>
      <c r="AE129" s="251">
        <v>500</v>
      </c>
      <c r="AF129" s="251">
        <v>0</v>
      </c>
      <c r="AG129" s="251">
        <v>550</v>
      </c>
      <c r="AH129" s="251">
        <v>0</v>
      </c>
      <c r="AI129" s="250">
        <f t="shared" si="3"/>
        <v>2050</v>
      </c>
    </row>
    <row r="130" spans="1:35" x14ac:dyDescent="0.35">
      <c r="A130" s="5" t="s">
        <v>1687</v>
      </c>
      <c r="B130" s="250">
        <v>0</v>
      </c>
      <c r="C130" s="250">
        <v>0</v>
      </c>
      <c r="D130" s="250">
        <v>0</v>
      </c>
      <c r="E130" s="250">
        <v>0</v>
      </c>
      <c r="F130" s="250">
        <v>0</v>
      </c>
      <c r="G130" s="250">
        <v>0</v>
      </c>
      <c r="H130" s="250">
        <v>0</v>
      </c>
      <c r="I130" s="250">
        <v>0</v>
      </c>
      <c r="J130" s="250">
        <v>0</v>
      </c>
      <c r="K130" s="250">
        <v>0</v>
      </c>
      <c r="L130" s="250">
        <v>0</v>
      </c>
      <c r="M130" s="250">
        <v>0</v>
      </c>
      <c r="N130" s="250">
        <v>0</v>
      </c>
      <c r="O130" s="250">
        <v>0</v>
      </c>
      <c r="P130" s="250">
        <v>0</v>
      </c>
      <c r="Q130" s="250">
        <v>0</v>
      </c>
      <c r="R130" s="250">
        <v>1350</v>
      </c>
      <c r="S130" s="250">
        <v>0</v>
      </c>
      <c r="T130" s="250">
        <v>0</v>
      </c>
      <c r="U130" s="250">
        <v>0</v>
      </c>
      <c r="V130" s="250">
        <v>0</v>
      </c>
      <c r="W130" s="250">
        <v>0</v>
      </c>
      <c r="X130" s="250">
        <v>0</v>
      </c>
      <c r="Y130" s="250">
        <v>0</v>
      </c>
      <c r="Z130" s="250">
        <v>0</v>
      </c>
      <c r="AA130" s="250">
        <v>450</v>
      </c>
      <c r="AB130" s="250">
        <v>0</v>
      </c>
      <c r="AC130" s="250">
        <v>0</v>
      </c>
      <c r="AD130" s="250">
        <v>0</v>
      </c>
      <c r="AE130" s="251">
        <v>0</v>
      </c>
      <c r="AF130" s="251">
        <v>0</v>
      </c>
      <c r="AG130" s="251">
        <v>350</v>
      </c>
      <c r="AH130" s="251">
        <v>0</v>
      </c>
      <c r="AI130" s="250">
        <f t="shared" si="3"/>
        <v>2150</v>
      </c>
    </row>
    <row r="131" spans="1:35" x14ac:dyDescent="0.35">
      <c r="A131" s="5" t="s">
        <v>1170</v>
      </c>
      <c r="B131" s="250">
        <v>0</v>
      </c>
      <c r="C131" s="250">
        <v>0</v>
      </c>
      <c r="D131" s="250">
        <v>0</v>
      </c>
      <c r="E131" s="250">
        <v>0</v>
      </c>
      <c r="F131" s="250">
        <v>0</v>
      </c>
      <c r="G131" s="250">
        <v>0</v>
      </c>
      <c r="H131" s="250">
        <v>0</v>
      </c>
      <c r="I131" s="250">
        <v>0</v>
      </c>
      <c r="J131" s="250">
        <v>0</v>
      </c>
      <c r="K131" s="250">
        <v>0</v>
      </c>
      <c r="L131" s="250">
        <v>0</v>
      </c>
      <c r="M131" s="250">
        <v>0</v>
      </c>
      <c r="N131" s="250">
        <v>0</v>
      </c>
      <c r="O131" s="250">
        <v>0</v>
      </c>
      <c r="P131" s="250">
        <v>0</v>
      </c>
      <c r="Q131" s="250">
        <v>2000</v>
      </c>
      <c r="R131" s="250">
        <v>0</v>
      </c>
      <c r="S131" s="250">
        <v>0</v>
      </c>
      <c r="T131" s="250">
        <v>0</v>
      </c>
      <c r="U131" s="250">
        <v>0</v>
      </c>
      <c r="V131" s="250">
        <v>0</v>
      </c>
      <c r="W131" s="250">
        <v>4000</v>
      </c>
      <c r="X131" s="250">
        <v>0</v>
      </c>
      <c r="Y131" s="250">
        <v>0</v>
      </c>
      <c r="Z131" s="250">
        <v>0</v>
      </c>
      <c r="AA131" s="250">
        <v>0</v>
      </c>
      <c r="AB131" s="250">
        <v>0</v>
      </c>
      <c r="AC131" s="250">
        <v>0</v>
      </c>
      <c r="AD131" s="250">
        <v>0</v>
      </c>
      <c r="AE131" s="251">
        <v>0</v>
      </c>
      <c r="AF131" s="251">
        <v>1500</v>
      </c>
      <c r="AG131" s="251">
        <v>430</v>
      </c>
      <c r="AH131" s="251">
        <v>0</v>
      </c>
      <c r="AI131" s="250">
        <f t="shared" si="3"/>
        <v>7930</v>
      </c>
    </row>
    <row r="132" spans="1:35" x14ac:dyDescent="0.35">
      <c r="A132" s="5" t="s">
        <v>2243</v>
      </c>
      <c r="B132" s="250">
        <v>0</v>
      </c>
      <c r="C132" s="250">
        <v>0</v>
      </c>
      <c r="D132" s="250">
        <v>0</v>
      </c>
      <c r="E132" s="250">
        <v>0</v>
      </c>
      <c r="F132" s="250">
        <v>0</v>
      </c>
      <c r="G132" s="250">
        <v>0</v>
      </c>
      <c r="H132" s="250">
        <v>0</v>
      </c>
      <c r="I132" s="250">
        <v>0</v>
      </c>
      <c r="J132" s="250">
        <v>0</v>
      </c>
      <c r="K132" s="250">
        <v>0</v>
      </c>
      <c r="L132" s="250">
        <v>0</v>
      </c>
      <c r="M132" s="250">
        <v>0</v>
      </c>
      <c r="N132" s="250">
        <v>0</v>
      </c>
      <c r="O132" s="250">
        <v>0</v>
      </c>
      <c r="P132" s="250">
        <v>0</v>
      </c>
      <c r="Q132" s="250">
        <v>0</v>
      </c>
      <c r="R132" s="250">
        <v>0</v>
      </c>
      <c r="S132" s="250">
        <v>0</v>
      </c>
      <c r="T132" s="250">
        <v>0</v>
      </c>
      <c r="U132" s="250">
        <v>0</v>
      </c>
      <c r="V132" s="250">
        <v>0</v>
      </c>
      <c r="W132" s="250">
        <v>0</v>
      </c>
      <c r="X132" s="250">
        <v>0</v>
      </c>
      <c r="Y132" s="250">
        <v>0</v>
      </c>
      <c r="Z132" s="250">
        <v>0</v>
      </c>
      <c r="AA132" s="250">
        <v>650</v>
      </c>
      <c r="AB132" s="250">
        <v>0</v>
      </c>
      <c r="AC132" s="250">
        <v>0</v>
      </c>
      <c r="AD132" s="250">
        <v>0</v>
      </c>
      <c r="AE132" s="251">
        <v>0</v>
      </c>
      <c r="AF132" s="251">
        <v>0</v>
      </c>
      <c r="AG132" s="251">
        <v>350</v>
      </c>
      <c r="AH132" s="251">
        <v>0</v>
      </c>
      <c r="AI132" s="250">
        <f t="shared" si="3"/>
        <v>1000</v>
      </c>
    </row>
    <row r="133" spans="1:35" x14ac:dyDescent="0.35">
      <c r="A133" s="5" t="s">
        <v>995</v>
      </c>
      <c r="B133" s="250">
        <v>0</v>
      </c>
      <c r="C133" s="250">
        <v>0</v>
      </c>
      <c r="D133" s="250">
        <v>0</v>
      </c>
      <c r="E133" s="250">
        <v>0</v>
      </c>
      <c r="F133" s="250">
        <v>0</v>
      </c>
      <c r="G133" s="250">
        <v>500</v>
      </c>
      <c r="H133" s="250">
        <v>0</v>
      </c>
      <c r="I133" s="250">
        <v>0</v>
      </c>
      <c r="J133" s="250">
        <v>0</v>
      </c>
      <c r="K133" s="250">
        <v>0</v>
      </c>
      <c r="L133" s="250">
        <v>0</v>
      </c>
      <c r="M133" s="250">
        <v>0</v>
      </c>
      <c r="N133" s="250">
        <v>0</v>
      </c>
      <c r="O133" s="250">
        <v>0</v>
      </c>
      <c r="P133" s="250">
        <v>0</v>
      </c>
      <c r="Q133" s="250">
        <v>0</v>
      </c>
      <c r="R133" s="250">
        <v>0</v>
      </c>
      <c r="S133" s="250">
        <v>0</v>
      </c>
      <c r="T133" s="250">
        <v>0</v>
      </c>
      <c r="U133" s="250">
        <v>0</v>
      </c>
      <c r="V133" s="250">
        <v>0</v>
      </c>
      <c r="W133" s="250">
        <v>0</v>
      </c>
      <c r="X133" s="250">
        <v>0</v>
      </c>
      <c r="Y133" s="250">
        <v>0</v>
      </c>
      <c r="Z133" s="250">
        <v>0</v>
      </c>
      <c r="AA133" s="250">
        <v>0</v>
      </c>
      <c r="AB133" s="250">
        <v>0</v>
      </c>
      <c r="AC133" s="250">
        <v>0</v>
      </c>
      <c r="AD133" s="250">
        <v>0</v>
      </c>
      <c r="AE133" s="251">
        <v>0</v>
      </c>
      <c r="AF133" s="251">
        <v>0</v>
      </c>
      <c r="AG133" s="251">
        <v>350</v>
      </c>
      <c r="AH133" s="251">
        <v>0</v>
      </c>
      <c r="AI133" s="250">
        <f t="shared" si="3"/>
        <v>850</v>
      </c>
    </row>
    <row r="134" spans="1:35" x14ac:dyDescent="0.35">
      <c r="A134" s="5" t="s">
        <v>160</v>
      </c>
      <c r="B134" s="250">
        <v>0</v>
      </c>
      <c r="C134" s="250">
        <v>5000</v>
      </c>
      <c r="D134" s="250">
        <v>0</v>
      </c>
      <c r="E134" s="250">
        <v>0</v>
      </c>
      <c r="F134" s="250">
        <v>0</v>
      </c>
      <c r="G134" s="250">
        <v>1350</v>
      </c>
      <c r="H134" s="250">
        <v>0</v>
      </c>
      <c r="I134" s="250">
        <v>3000</v>
      </c>
      <c r="J134" s="250">
        <v>0</v>
      </c>
      <c r="K134" s="250">
        <v>0</v>
      </c>
      <c r="L134" s="250">
        <v>0</v>
      </c>
      <c r="M134" s="250">
        <v>0</v>
      </c>
      <c r="N134" s="250">
        <v>0</v>
      </c>
      <c r="O134" s="250">
        <v>0</v>
      </c>
      <c r="P134" s="250">
        <v>3000</v>
      </c>
      <c r="Q134" s="250">
        <v>5000</v>
      </c>
      <c r="R134" s="250">
        <v>0</v>
      </c>
      <c r="S134" s="250">
        <v>5000</v>
      </c>
      <c r="T134" s="250">
        <v>0</v>
      </c>
      <c r="U134" s="250">
        <v>0</v>
      </c>
      <c r="V134" s="250">
        <v>0</v>
      </c>
      <c r="W134" s="250">
        <v>0</v>
      </c>
      <c r="X134" s="250">
        <v>0</v>
      </c>
      <c r="Y134" s="250">
        <v>0</v>
      </c>
      <c r="Z134" s="250">
        <v>0</v>
      </c>
      <c r="AA134" s="250">
        <v>0</v>
      </c>
      <c r="AB134" s="250">
        <v>0</v>
      </c>
      <c r="AC134" s="250">
        <v>0</v>
      </c>
      <c r="AD134" s="250">
        <v>3500</v>
      </c>
      <c r="AE134" s="251">
        <v>0</v>
      </c>
      <c r="AF134" s="251">
        <v>3000</v>
      </c>
      <c r="AG134" s="251">
        <v>725</v>
      </c>
      <c r="AH134" s="251">
        <v>0</v>
      </c>
      <c r="AI134" s="250">
        <f t="shared" si="3"/>
        <v>29575</v>
      </c>
    </row>
    <row r="135" spans="1:35" x14ac:dyDescent="0.35">
      <c r="A135" s="5" t="s">
        <v>434</v>
      </c>
      <c r="B135" s="250">
        <v>0</v>
      </c>
      <c r="C135" s="250">
        <v>1500</v>
      </c>
      <c r="D135" s="250">
        <v>0</v>
      </c>
      <c r="E135" s="250">
        <v>0</v>
      </c>
      <c r="F135" s="250">
        <v>0</v>
      </c>
      <c r="G135" s="250">
        <v>500</v>
      </c>
      <c r="H135" s="250">
        <v>0</v>
      </c>
      <c r="I135" s="250">
        <v>0</v>
      </c>
      <c r="J135" s="250">
        <v>6000</v>
      </c>
      <c r="K135" s="250">
        <v>0</v>
      </c>
      <c r="L135" s="250">
        <v>0</v>
      </c>
      <c r="M135" s="250">
        <v>1795</v>
      </c>
      <c r="N135" s="250">
        <v>0</v>
      </c>
      <c r="O135" s="250">
        <v>0</v>
      </c>
      <c r="P135" s="250">
        <v>0</v>
      </c>
      <c r="Q135" s="250">
        <v>0</v>
      </c>
      <c r="R135" s="250">
        <v>7500</v>
      </c>
      <c r="S135" s="250">
        <v>0</v>
      </c>
      <c r="T135" s="250">
        <v>0</v>
      </c>
      <c r="U135" s="250">
        <v>0</v>
      </c>
      <c r="V135" s="250">
        <v>1000</v>
      </c>
      <c r="W135" s="250">
        <v>0</v>
      </c>
      <c r="X135" s="250">
        <v>0</v>
      </c>
      <c r="Y135" s="250">
        <v>0</v>
      </c>
      <c r="Z135" s="250">
        <v>0</v>
      </c>
      <c r="AA135" s="250">
        <v>0</v>
      </c>
      <c r="AB135" s="250">
        <v>0</v>
      </c>
      <c r="AC135" s="250">
        <v>0</v>
      </c>
      <c r="AD135" s="250">
        <v>0</v>
      </c>
      <c r="AE135" s="251">
        <v>0</v>
      </c>
      <c r="AF135" s="251">
        <v>0</v>
      </c>
      <c r="AG135" s="251">
        <v>350</v>
      </c>
      <c r="AH135" s="251">
        <v>0</v>
      </c>
      <c r="AI135" s="250">
        <f t="shared" si="3"/>
        <v>18645</v>
      </c>
    </row>
    <row r="136" spans="1:35" x14ac:dyDescent="0.35">
      <c r="A136" s="5" t="s">
        <v>57</v>
      </c>
      <c r="B136" s="250">
        <v>1000</v>
      </c>
      <c r="C136" s="250">
        <v>5000</v>
      </c>
      <c r="D136" s="250">
        <v>500</v>
      </c>
      <c r="E136" s="250">
        <v>0</v>
      </c>
      <c r="F136" s="250">
        <v>500</v>
      </c>
      <c r="G136" s="250">
        <v>1400</v>
      </c>
      <c r="H136" s="250">
        <v>5000</v>
      </c>
      <c r="I136" s="250">
        <v>1000</v>
      </c>
      <c r="J136" s="250">
        <v>0</v>
      </c>
      <c r="K136" s="250">
        <v>0</v>
      </c>
      <c r="L136" s="250">
        <v>0</v>
      </c>
      <c r="M136" s="250">
        <v>3590</v>
      </c>
      <c r="N136" s="250">
        <v>1000</v>
      </c>
      <c r="O136" s="250">
        <v>0</v>
      </c>
      <c r="P136" s="250">
        <v>3000</v>
      </c>
      <c r="Q136" s="250">
        <v>1500</v>
      </c>
      <c r="R136" s="250">
        <v>2500</v>
      </c>
      <c r="S136" s="250">
        <v>3000</v>
      </c>
      <c r="T136" s="250">
        <v>1500</v>
      </c>
      <c r="U136" s="250">
        <v>1000</v>
      </c>
      <c r="V136" s="250"/>
      <c r="W136" s="250">
        <v>0</v>
      </c>
      <c r="X136" s="250">
        <v>0</v>
      </c>
      <c r="Y136" s="250">
        <v>0</v>
      </c>
      <c r="Z136" s="250">
        <v>3200</v>
      </c>
      <c r="AA136" s="250">
        <v>500</v>
      </c>
      <c r="AB136" s="250">
        <v>12000</v>
      </c>
      <c r="AC136" s="250">
        <v>0</v>
      </c>
      <c r="AD136" s="250">
        <v>1200</v>
      </c>
      <c r="AE136" s="251">
        <v>1000</v>
      </c>
      <c r="AF136" s="251">
        <v>1500</v>
      </c>
      <c r="AG136" s="251">
        <v>1100</v>
      </c>
      <c r="AH136" s="251">
        <v>0</v>
      </c>
      <c r="AI136" s="250">
        <f t="shared" si="3"/>
        <v>51990</v>
      </c>
    </row>
    <row r="137" spans="1:35" x14ac:dyDescent="0.35">
      <c r="A137" s="5" t="s">
        <v>918</v>
      </c>
      <c r="B137" s="250">
        <v>0</v>
      </c>
      <c r="C137" s="250">
        <v>0</v>
      </c>
      <c r="D137" s="250">
        <v>0</v>
      </c>
      <c r="E137" s="250">
        <v>0</v>
      </c>
      <c r="F137" s="250">
        <v>0</v>
      </c>
      <c r="G137" s="250">
        <v>500</v>
      </c>
      <c r="H137" s="250">
        <v>0</v>
      </c>
      <c r="I137" s="250">
        <v>0</v>
      </c>
      <c r="J137" s="250">
        <v>0</v>
      </c>
      <c r="K137" s="250">
        <v>0</v>
      </c>
      <c r="L137" s="250">
        <v>0</v>
      </c>
      <c r="M137" s="250">
        <v>0</v>
      </c>
      <c r="N137" s="250">
        <v>0</v>
      </c>
      <c r="O137" s="250">
        <v>0</v>
      </c>
      <c r="P137" s="250">
        <v>0</v>
      </c>
      <c r="Q137" s="250">
        <v>0</v>
      </c>
      <c r="R137" s="250">
        <v>0</v>
      </c>
      <c r="S137" s="250">
        <v>0</v>
      </c>
      <c r="T137" s="250">
        <v>0</v>
      </c>
      <c r="U137" s="250">
        <v>0</v>
      </c>
      <c r="V137" s="250">
        <v>0</v>
      </c>
      <c r="W137" s="250">
        <v>0</v>
      </c>
      <c r="X137" s="250">
        <v>0</v>
      </c>
      <c r="Y137" s="250">
        <v>2500</v>
      </c>
      <c r="Z137" s="250">
        <v>0</v>
      </c>
      <c r="AA137" s="250">
        <v>500</v>
      </c>
      <c r="AB137" s="250">
        <v>3500</v>
      </c>
      <c r="AC137" s="250">
        <v>0</v>
      </c>
      <c r="AD137" s="250">
        <v>0</v>
      </c>
      <c r="AE137" s="251">
        <v>0</v>
      </c>
      <c r="AF137" s="251">
        <v>0</v>
      </c>
      <c r="AG137" s="251">
        <v>480</v>
      </c>
      <c r="AH137" s="251">
        <v>0</v>
      </c>
      <c r="AI137" s="250">
        <f t="shared" si="3"/>
        <v>7480</v>
      </c>
    </row>
    <row r="138" spans="1:35" x14ac:dyDescent="0.35">
      <c r="A138" s="5" t="s">
        <v>313</v>
      </c>
      <c r="B138" s="250">
        <v>0</v>
      </c>
      <c r="C138" s="250">
        <v>1500</v>
      </c>
      <c r="D138" s="250">
        <v>0</v>
      </c>
      <c r="E138" s="250">
        <v>0</v>
      </c>
      <c r="F138" s="250">
        <v>0</v>
      </c>
      <c r="G138" s="250">
        <v>0</v>
      </c>
      <c r="H138" s="250">
        <v>0</v>
      </c>
      <c r="I138" s="250">
        <v>2500</v>
      </c>
      <c r="J138" s="250">
        <v>0</v>
      </c>
      <c r="K138" s="250">
        <v>0</v>
      </c>
      <c r="L138" s="250">
        <v>0</v>
      </c>
      <c r="M138" s="250">
        <v>0</v>
      </c>
      <c r="N138" s="250">
        <v>1000</v>
      </c>
      <c r="O138" s="250">
        <v>0</v>
      </c>
      <c r="P138" s="250">
        <v>3000</v>
      </c>
      <c r="Q138" s="250">
        <v>0</v>
      </c>
      <c r="R138" s="250">
        <v>0</v>
      </c>
      <c r="S138" s="250">
        <v>0</v>
      </c>
      <c r="T138" s="250">
        <v>0</v>
      </c>
      <c r="U138" s="250">
        <v>5000</v>
      </c>
      <c r="V138" s="250">
        <v>0</v>
      </c>
      <c r="W138" s="250">
        <v>2500</v>
      </c>
      <c r="X138" s="250">
        <v>0</v>
      </c>
      <c r="Y138" s="250">
        <v>0</v>
      </c>
      <c r="Z138" s="250">
        <v>0</v>
      </c>
      <c r="AA138" s="250">
        <v>0</v>
      </c>
      <c r="AB138" s="250">
        <v>0</v>
      </c>
      <c r="AC138" s="250">
        <v>0</v>
      </c>
      <c r="AD138" s="250">
        <v>0</v>
      </c>
      <c r="AE138" s="251">
        <v>250</v>
      </c>
      <c r="AF138" s="251">
        <v>1500</v>
      </c>
      <c r="AG138" s="251">
        <v>350</v>
      </c>
      <c r="AH138" s="251">
        <v>0</v>
      </c>
      <c r="AI138" s="250">
        <f t="shared" si="3"/>
        <v>17600</v>
      </c>
    </row>
    <row r="139" spans="1:35" x14ac:dyDescent="0.35">
      <c r="A139" s="5" t="s">
        <v>317</v>
      </c>
      <c r="B139" s="250">
        <v>0</v>
      </c>
      <c r="C139" s="250">
        <v>0</v>
      </c>
      <c r="D139" s="250">
        <v>0</v>
      </c>
      <c r="E139" s="250">
        <v>0</v>
      </c>
      <c r="F139" s="250">
        <v>600</v>
      </c>
      <c r="G139" s="250">
        <v>750</v>
      </c>
      <c r="H139" s="250">
        <v>0</v>
      </c>
      <c r="I139" s="250">
        <v>0</v>
      </c>
      <c r="J139" s="250">
        <v>0</v>
      </c>
      <c r="K139" s="250">
        <v>0</v>
      </c>
      <c r="L139" s="250">
        <v>0</v>
      </c>
      <c r="M139" s="250">
        <v>0</v>
      </c>
      <c r="N139" s="250">
        <v>0</v>
      </c>
      <c r="O139" s="250">
        <v>0</v>
      </c>
      <c r="P139" s="250">
        <v>0</v>
      </c>
      <c r="Q139" s="250">
        <v>0</v>
      </c>
      <c r="R139" s="250">
        <v>0</v>
      </c>
      <c r="S139" s="250">
        <v>0</v>
      </c>
      <c r="T139" s="250">
        <v>0</v>
      </c>
      <c r="U139" s="250">
        <v>0</v>
      </c>
      <c r="V139" s="250">
        <v>0</v>
      </c>
      <c r="W139" s="250">
        <v>0</v>
      </c>
      <c r="X139" s="250">
        <v>0</v>
      </c>
      <c r="Y139" s="250">
        <v>1000</v>
      </c>
      <c r="Z139" s="250">
        <v>0</v>
      </c>
      <c r="AA139" s="250">
        <v>0</v>
      </c>
      <c r="AB139" s="250">
        <v>0</v>
      </c>
      <c r="AC139" s="250">
        <v>0</v>
      </c>
      <c r="AD139" s="250">
        <v>0</v>
      </c>
      <c r="AE139" s="251">
        <v>0</v>
      </c>
      <c r="AF139" s="251">
        <v>0</v>
      </c>
      <c r="AG139" s="251">
        <v>488</v>
      </c>
      <c r="AH139" s="251">
        <v>0</v>
      </c>
      <c r="AI139" s="250">
        <f t="shared" si="3"/>
        <v>2838</v>
      </c>
    </row>
    <row r="140" spans="1:35" x14ac:dyDescent="0.35">
      <c r="A140" s="5" t="s">
        <v>406</v>
      </c>
      <c r="B140" s="250">
        <v>0</v>
      </c>
      <c r="C140" s="250">
        <v>1500</v>
      </c>
      <c r="D140" s="250">
        <v>0</v>
      </c>
      <c r="E140" s="250">
        <v>0</v>
      </c>
      <c r="F140" s="250">
        <v>350</v>
      </c>
      <c r="G140" s="250">
        <v>0</v>
      </c>
      <c r="H140" s="250">
        <v>0</v>
      </c>
      <c r="I140" s="250">
        <v>0</v>
      </c>
      <c r="J140" s="250">
        <v>0</v>
      </c>
      <c r="K140" s="250">
        <v>0</v>
      </c>
      <c r="L140" s="250">
        <v>0</v>
      </c>
      <c r="M140" s="250">
        <v>0</v>
      </c>
      <c r="N140" s="250">
        <v>0</v>
      </c>
      <c r="O140" s="250">
        <v>0</v>
      </c>
      <c r="P140" s="250">
        <v>0</v>
      </c>
      <c r="Q140" s="250">
        <v>0</v>
      </c>
      <c r="R140" s="250">
        <v>0</v>
      </c>
      <c r="S140" s="250">
        <v>0</v>
      </c>
      <c r="T140" s="250">
        <v>0</v>
      </c>
      <c r="U140" s="250">
        <v>0</v>
      </c>
      <c r="V140" s="250">
        <v>0</v>
      </c>
      <c r="W140" s="250">
        <v>0</v>
      </c>
      <c r="X140" s="250">
        <v>0</v>
      </c>
      <c r="Y140" s="250">
        <v>0</v>
      </c>
      <c r="Z140" s="250">
        <v>0</v>
      </c>
      <c r="AA140" s="250">
        <v>0</v>
      </c>
      <c r="AB140" s="250">
        <v>0</v>
      </c>
      <c r="AC140" s="250">
        <v>0</v>
      </c>
      <c r="AD140" s="250">
        <v>0</v>
      </c>
      <c r="AE140" s="251">
        <v>500</v>
      </c>
      <c r="AF140" s="251">
        <v>1500</v>
      </c>
      <c r="AG140" s="251">
        <v>480</v>
      </c>
      <c r="AH140" s="251">
        <v>0</v>
      </c>
      <c r="AI140" s="250">
        <f t="shared" si="3"/>
        <v>4330</v>
      </c>
    </row>
    <row r="141" spans="1:35" x14ac:dyDescent="0.35">
      <c r="A141" s="5" t="s">
        <v>472</v>
      </c>
      <c r="B141" s="250">
        <v>0</v>
      </c>
      <c r="C141" s="250">
        <v>0</v>
      </c>
      <c r="D141" s="250">
        <v>0</v>
      </c>
      <c r="E141" s="250">
        <v>0</v>
      </c>
      <c r="F141" s="250">
        <v>0</v>
      </c>
      <c r="G141" s="250">
        <v>0</v>
      </c>
      <c r="H141" s="250">
        <v>0</v>
      </c>
      <c r="I141" s="250">
        <v>0</v>
      </c>
      <c r="J141" s="250">
        <v>0</v>
      </c>
      <c r="K141" s="250">
        <v>1495</v>
      </c>
      <c r="L141" s="250">
        <v>0</v>
      </c>
      <c r="M141" s="250">
        <v>0</v>
      </c>
      <c r="N141" s="250">
        <v>0</v>
      </c>
      <c r="O141" s="250">
        <v>0</v>
      </c>
      <c r="P141" s="250">
        <v>0</v>
      </c>
      <c r="Q141" s="250">
        <v>1000</v>
      </c>
      <c r="R141" s="250">
        <v>0</v>
      </c>
      <c r="S141" s="250">
        <v>0</v>
      </c>
      <c r="T141" s="250">
        <v>0</v>
      </c>
      <c r="U141" s="250">
        <v>0</v>
      </c>
      <c r="V141" s="250">
        <v>0</v>
      </c>
      <c r="W141" s="250">
        <v>0</v>
      </c>
      <c r="X141" s="250">
        <v>0</v>
      </c>
      <c r="Y141" s="250">
        <v>0</v>
      </c>
      <c r="Z141" s="250">
        <v>0</v>
      </c>
      <c r="AA141" s="250">
        <v>0</v>
      </c>
      <c r="AB141" s="250">
        <v>0</v>
      </c>
      <c r="AC141" s="250">
        <v>0</v>
      </c>
      <c r="AD141" s="250">
        <v>0</v>
      </c>
      <c r="AE141" s="251">
        <v>0</v>
      </c>
      <c r="AF141" s="251">
        <v>0</v>
      </c>
      <c r="AG141" s="251">
        <v>1200</v>
      </c>
      <c r="AH141" s="251">
        <v>0</v>
      </c>
      <c r="AI141" s="250">
        <f t="shared" si="3"/>
        <v>3695</v>
      </c>
    </row>
    <row r="142" spans="1:35" x14ac:dyDescent="0.35">
      <c r="A142" s="5" t="s">
        <v>1175</v>
      </c>
      <c r="B142" s="250">
        <v>0</v>
      </c>
      <c r="C142" s="250">
        <v>0</v>
      </c>
      <c r="D142" s="250">
        <v>0</v>
      </c>
      <c r="E142" s="250">
        <v>0</v>
      </c>
      <c r="F142" s="250">
        <v>0</v>
      </c>
      <c r="G142" s="250">
        <v>0</v>
      </c>
      <c r="H142" s="250">
        <v>0</v>
      </c>
      <c r="I142" s="250">
        <v>0</v>
      </c>
      <c r="J142" s="250">
        <v>0</v>
      </c>
      <c r="K142" s="250">
        <v>0</v>
      </c>
      <c r="L142" s="250">
        <v>0</v>
      </c>
      <c r="M142" s="250">
        <v>0</v>
      </c>
      <c r="N142" s="250">
        <v>0</v>
      </c>
      <c r="O142" s="250">
        <v>0</v>
      </c>
      <c r="P142" s="250">
        <v>0</v>
      </c>
      <c r="Q142" s="250">
        <v>0</v>
      </c>
      <c r="R142" s="250">
        <v>0</v>
      </c>
      <c r="S142" s="250">
        <v>0</v>
      </c>
      <c r="T142" s="250">
        <v>0</v>
      </c>
      <c r="U142" s="250">
        <v>0</v>
      </c>
      <c r="V142" s="250">
        <v>0</v>
      </c>
      <c r="W142" s="250">
        <v>0</v>
      </c>
      <c r="X142" s="250">
        <v>0</v>
      </c>
      <c r="Y142" s="250">
        <v>0</v>
      </c>
      <c r="Z142" s="250">
        <v>0</v>
      </c>
      <c r="AA142" s="250">
        <v>0</v>
      </c>
      <c r="AB142" s="250"/>
      <c r="AC142" s="250">
        <v>0</v>
      </c>
      <c r="AD142" s="250">
        <v>0</v>
      </c>
      <c r="AE142" s="251">
        <v>0</v>
      </c>
      <c r="AF142" s="251">
        <v>1500</v>
      </c>
      <c r="AG142" s="251">
        <v>430</v>
      </c>
      <c r="AH142" s="251">
        <v>0</v>
      </c>
      <c r="AI142" s="250">
        <f t="shared" si="3"/>
        <v>1930</v>
      </c>
    </row>
    <row r="143" spans="1:35" x14ac:dyDescent="0.35">
      <c r="A143" s="5" t="s">
        <v>794</v>
      </c>
      <c r="B143" s="250">
        <v>0</v>
      </c>
      <c r="C143" s="250">
        <v>0</v>
      </c>
      <c r="D143" s="250">
        <v>0</v>
      </c>
      <c r="E143" s="250">
        <v>0</v>
      </c>
      <c r="F143" s="250">
        <v>0</v>
      </c>
      <c r="G143" s="250">
        <v>2500</v>
      </c>
      <c r="H143" s="250">
        <v>0</v>
      </c>
      <c r="I143" s="250">
        <v>0</v>
      </c>
      <c r="J143" s="250">
        <v>0</v>
      </c>
      <c r="K143" s="250">
        <v>0</v>
      </c>
      <c r="L143" s="250">
        <v>0</v>
      </c>
      <c r="M143" s="250">
        <v>0</v>
      </c>
      <c r="N143" s="250">
        <v>0</v>
      </c>
      <c r="O143" s="250">
        <v>0</v>
      </c>
      <c r="P143" s="250">
        <v>0</v>
      </c>
      <c r="Q143" s="250">
        <v>0</v>
      </c>
      <c r="R143" s="250">
        <v>0</v>
      </c>
      <c r="S143" s="250">
        <v>0</v>
      </c>
      <c r="T143" s="250">
        <v>0</v>
      </c>
      <c r="U143" s="250">
        <v>5000</v>
      </c>
      <c r="V143" s="250">
        <v>0</v>
      </c>
      <c r="W143" s="250">
        <v>0</v>
      </c>
      <c r="X143" s="250">
        <v>0</v>
      </c>
      <c r="Y143" s="250">
        <v>0</v>
      </c>
      <c r="Z143" s="250">
        <v>0</v>
      </c>
      <c r="AA143" s="250">
        <v>0</v>
      </c>
      <c r="AB143" s="250">
        <v>0</v>
      </c>
      <c r="AC143" s="250">
        <v>0</v>
      </c>
      <c r="AD143" s="250">
        <v>0</v>
      </c>
      <c r="AE143" s="251">
        <v>0</v>
      </c>
      <c r="AF143" s="251">
        <v>1500</v>
      </c>
      <c r="AG143" s="251">
        <v>550</v>
      </c>
      <c r="AH143" s="251">
        <v>0</v>
      </c>
      <c r="AI143" s="250">
        <f t="shared" si="3"/>
        <v>9550</v>
      </c>
    </row>
    <row r="144" spans="1:35" x14ac:dyDescent="0.35">
      <c r="A144" s="5" t="s">
        <v>322</v>
      </c>
      <c r="B144" s="250">
        <v>0</v>
      </c>
      <c r="C144" s="250">
        <v>1500</v>
      </c>
      <c r="D144" s="250">
        <v>0</v>
      </c>
      <c r="E144" s="250">
        <v>0</v>
      </c>
      <c r="F144" s="250">
        <v>0</v>
      </c>
      <c r="G144" s="250">
        <v>0</v>
      </c>
      <c r="H144" s="250">
        <v>0</v>
      </c>
      <c r="I144" s="250">
        <v>0</v>
      </c>
      <c r="J144" s="250">
        <v>0</v>
      </c>
      <c r="K144" s="250">
        <v>0</v>
      </c>
      <c r="L144" s="250">
        <v>0</v>
      </c>
      <c r="M144" s="250">
        <v>0</v>
      </c>
      <c r="N144" s="250">
        <v>0</v>
      </c>
      <c r="O144" s="250">
        <v>0</v>
      </c>
      <c r="P144" s="250">
        <v>0</v>
      </c>
      <c r="Q144" s="250">
        <v>0</v>
      </c>
      <c r="R144" s="250">
        <v>0</v>
      </c>
      <c r="S144" s="250">
        <v>0</v>
      </c>
      <c r="T144" s="250">
        <v>0</v>
      </c>
      <c r="U144" s="250">
        <v>0</v>
      </c>
      <c r="V144" s="250">
        <v>0</v>
      </c>
      <c r="W144" s="250">
        <v>0</v>
      </c>
      <c r="X144" s="250">
        <v>0</v>
      </c>
      <c r="Y144" s="250">
        <v>0</v>
      </c>
      <c r="Z144" s="250">
        <v>0</v>
      </c>
      <c r="AA144" s="250">
        <v>0</v>
      </c>
      <c r="AB144" s="250">
        <v>0</v>
      </c>
      <c r="AC144" s="250">
        <v>0</v>
      </c>
      <c r="AD144" s="250">
        <v>0</v>
      </c>
      <c r="AE144" s="251">
        <v>0</v>
      </c>
      <c r="AF144" s="251">
        <v>0</v>
      </c>
      <c r="AG144" s="251">
        <v>350</v>
      </c>
      <c r="AH144" s="251">
        <v>0</v>
      </c>
      <c r="AI144" s="250">
        <f t="shared" si="3"/>
        <v>1850</v>
      </c>
    </row>
    <row r="145" spans="1:35" x14ac:dyDescent="0.35">
      <c r="A145" s="5" t="s">
        <v>561</v>
      </c>
      <c r="B145" s="250">
        <v>0</v>
      </c>
      <c r="C145" s="250">
        <v>0</v>
      </c>
      <c r="D145" s="250">
        <v>350</v>
      </c>
      <c r="E145" s="250">
        <v>0</v>
      </c>
      <c r="F145" s="250">
        <v>0</v>
      </c>
      <c r="G145" s="250">
        <v>0</v>
      </c>
      <c r="H145" s="250">
        <v>0</v>
      </c>
      <c r="I145" s="250">
        <v>0</v>
      </c>
      <c r="J145" s="250">
        <v>0</v>
      </c>
      <c r="K145" s="250">
        <v>0</v>
      </c>
      <c r="L145" s="250">
        <v>0</v>
      </c>
      <c r="M145" s="250">
        <v>0</v>
      </c>
      <c r="N145" s="250">
        <v>0</v>
      </c>
      <c r="O145" s="250">
        <v>0</v>
      </c>
      <c r="P145" s="250">
        <v>0</v>
      </c>
      <c r="Q145" s="250">
        <v>0</v>
      </c>
      <c r="R145" s="250">
        <v>5000</v>
      </c>
      <c r="S145" s="250">
        <v>0</v>
      </c>
      <c r="T145" s="250">
        <v>0</v>
      </c>
      <c r="U145" s="250">
        <v>0</v>
      </c>
      <c r="V145" s="250">
        <v>500</v>
      </c>
      <c r="W145" s="250">
        <v>0</v>
      </c>
      <c r="X145" s="250">
        <v>0</v>
      </c>
      <c r="Y145" s="250">
        <v>0</v>
      </c>
      <c r="Z145" s="250">
        <v>0</v>
      </c>
      <c r="AA145" s="250">
        <v>0</v>
      </c>
      <c r="AB145" s="250">
        <v>0</v>
      </c>
      <c r="AC145" s="250">
        <v>0</v>
      </c>
      <c r="AD145" s="250">
        <v>0</v>
      </c>
      <c r="AE145" s="251">
        <v>250</v>
      </c>
      <c r="AF145" s="251">
        <v>0</v>
      </c>
      <c r="AG145" s="251">
        <v>250</v>
      </c>
      <c r="AH145" s="251">
        <v>0</v>
      </c>
      <c r="AI145" s="250">
        <f t="shared" si="3"/>
        <v>6350</v>
      </c>
    </row>
    <row r="146" spans="1:35" x14ac:dyDescent="0.35">
      <c r="A146" s="5" t="s">
        <v>323</v>
      </c>
      <c r="B146" s="250">
        <v>0</v>
      </c>
      <c r="C146" s="250">
        <v>1500</v>
      </c>
      <c r="D146" s="250">
        <v>0</v>
      </c>
      <c r="E146" s="250">
        <v>0</v>
      </c>
      <c r="F146" s="250">
        <v>0</v>
      </c>
      <c r="G146" s="250">
        <v>0</v>
      </c>
      <c r="H146" s="250">
        <v>0</v>
      </c>
      <c r="I146" s="250">
        <v>0</v>
      </c>
      <c r="J146" s="250">
        <v>0</v>
      </c>
      <c r="K146" s="250">
        <v>0</v>
      </c>
      <c r="L146" s="250">
        <v>0</v>
      </c>
      <c r="M146" s="250">
        <v>0</v>
      </c>
      <c r="N146" s="250">
        <v>0</v>
      </c>
      <c r="O146" s="250">
        <v>0</v>
      </c>
      <c r="P146" s="250">
        <v>0</v>
      </c>
      <c r="Q146" s="250">
        <v>1000</v>
      </c>
      <c r="R146" s="250">
        <v>0</v>
      </c>
      <c r="S146" s="250">
        <v>0</v>
      </c>
      <c r="T146" s="250">
        <v>0</v>
      </c>
      <c r="U146" s="250">
        <v>0</v>
      </c>
      <c r="V146" s="250">
        <v>0</v>
      </c>
      <c r="W146" s="250">
        <v>0</v>
      </c>
      <c r="X146" s="250">
        <v>0</v>
      </c>
      <c r="Y146" s="250">
        <v>0</v>
      </c>
      <c r="Z146" s="250">
        <v>0</v>
      </c>
      <c r="AA146" s="250">
        <v>0</v>
      </c>
      <c r="AB146" s="250">
        <v>0</v>
      </c>
      <c r="AC146" s="250">
        <v>0</v>
      </c>
      <c r="AD146" s="250">
        <v>0</v>
      </c>
      <c r="AE146" s="251">
        <v>0</v>
      </c>
      <c r="AF146" s="251">
        <v>1500</v>
      </c>
      <c r="AG146" s="251">
        <v>550</v>
      </c>
      <c r="AH146" s="251">
        <v>0</v>
      </c>
      <c r="AI146" s="250">
        <f t="shared" si="3"/>
        <v>4550</v>
      </c>
    </row>
    <row r="147" spans="1:35" x14ac:dyDescent="0.35">
      <c r="A147" s="5" t="s">
        <v>480</v>
      </c>
      <c r="B147" s="250">
        <v>0</v>
      </c>
      <c r="C147" s="250">
        <v>0</v>
      </c>
      <c r="D147" s="250">
        <v>2500</v>
      </c>
      <c r="E147" s="250">
        <v>0</v>
      </c>
      <c r="F147" s="250">
        <v>0</v>
      </c>
      <c r="G147" s="250">
        <v>0</v>
      </c>
      <c r="H147" s="250">
        <v>0</v>
      </c>
      <c r="I147" s="250">
        <v>0</v>
      </c>
      <c r="J147" s="250">
        <v>0</v>
      </c>
      <c r="K147" s="250">
        <v>0</v>
      </c>
      <c r="L147" s="250">
        <v>0</v>
      </c>
      <c r="M147" s="250">
        <v>0</v>
      </c>
      <c r="N147" s="250">
        <v>0</v>
      </c>
      <c r="O147" s="250">
        <v>0</v>
      </c>
      <c r="P147" s="250">
        <v>0</v>
      </c>
      <c r="Q147" s="250">
        <v>0</v>
      </c>
      <c r="R147" s="250">
        <v>5000</v>
      </c>
      <c r="S147" s="250">
        <v>0</v>
      </c>
      <c r="T147" s="250">
        <v>0</v>
      </c>
      <c r="U147" s="250">
        <v>0</v>
      </c>
      <c r="V147" s="250">
        <v>1000</v>
      </c>
      <c r="W147" s="250">
        <v>0</v>
      </c>
      <c r="X147" s="250">
        <v>0</v>
      </c>
      <c r="Y147" s="250">
        <v>0</v>
      </c>
      <c r="Z147" s="250">
        <v>0</v>
      </c>
      <c r="AA147" s="250">
        <v>0</v>
      </c>
      <c r="AB147" s="250">
        <v>0</v>
      </c>
      <c r="AC147" s="250">
        <v>0</v>
      </c>
      <c r="AD147" s="250">
        <v>0</v>
      </c>
      <c r="AE147" s="251">
        <v>0</v>
      </c>
      <c r="AF147" s="251">
        <v>0</v>
      </c>
      <c r="AG147" s="251">
        <v>350</v>
      </c>
      <c r="AH147" s="251">
        <v>0</v>
      </c>
      <c r="AI147" s="250">
        <f t="shared" si="3"/>
        <v>8850</v>
      </c>
    </row>
    <row r="148" spans="1:35" x14ac:dyDescent="0.35">
      <c r="A148" s="5" t="s">
        <v>1499</v>
      </c>
      <c r="B148" s="250"/>
      <c r="C148" s="250"/>
      <c r="D148" s="250"/>
      <c r="E148" s="250"/>
      <c r="F148" s="250"/>
      <c r="G148" s="250"/>
      <c r="H148" s="250"/>
      <c r="I148" s="250"/>
      <c r="J148" s="250"/>
      <c r="K148" s="250"/>
      <c r="L148" s="250"/>
      <c r="M148" s="250">
        <v>1795</v>
      </c>
      <c r="N148" s="250"/>
      <c r="O148" s="250"/>
      <c r="P148" s="250"/>
      <c r="Q148" s="250"/>
      <c r="R148" s="250"/>
      <c r="S148" s="250"/>
      <c r="T148" s="250"/>
      <c r="U148" s="250"/>
      <c r="V148" s="250"/>
      <c r="W148" s="250"/>
      <c r="X148" s="250"/>
      <c r="Y148" s="250"/>
      <c r="Z148" s="250"/>
      <c r="AA148" s="250"/>
      <c r="AB148" s="250"/>
      <c r="AC148" s="250"/>
      <c r="AD148" s="250"/>
      <c r="AE148" s="251"/>
      <c r="AF148" s="251"/>
      <c r="AG148" s="251"/>
      <c r="AH148" s="251"/>
      <c r="AI148" s="250">
        <f t="shared" si="3"/>
        <v>1795</v>
      </c>
    </row>
    <row r="149" spans="1:35" x14ac:dyDescent="0.35">
      <c r="A149" s="5" t="s">
        <v>2367</v>
      </c>
      <c r="B149" s="250">
        <v>0</v>
      </c>
      <c r="C149" s="250">
        <v>0</v>
      </c>
      <c r="D149" s="250">
        <v>0</v>
      </c>
      <c r="E149" s="250">
        <v>0</v>
      </c>
      <c r="F149" s="250">
        <v>0</v>
      </c>
      <c r="G149" s="250">
        <v>0</v>
      </c>
      <c r="H149" s="250">
        <v>0</v>
      </c>
      <c r="I149" s="250">
        <v>0</v>
      </c>
      <c r="J149" s="250">
        <v>0</v>
      </c>
      <c r="K149" s="250">
        <v>0</v>
      </c>
      <c r="L149" s="250">
        <v>0</v>
      </c>
      <c r="M149" s="250">
        <v>0</v>
      </c>
      <c r="N149" s="250">
        <v>0</v>
      </c>
      <c r="O149" s="250">
        <v>0</v>
      </c>
      <c r="P149" s="250">
        <v>0</v>
      </c>
      <c r="Q149" s="250">
        <v>0</v>
      </c>
      <c r="R149" s="250">
        <v>0</v>
      </c>
      <c r="S149" s="250">
        <v>0</v>
      </c>
      <c r="T149" s="250">
        <v>0</v>
      </c>
      <c r="U149" s="250">
        <v>0</v>
      </c>
      <c r="V149" s="250">
        <v>0</v>
      </c>
      <c r="W149" s="250">
        <v>0</v>
      </c>
      <c r="X149" s="250">
        <v>0</v>
      </c>
      <c r="Y149" s="250">
        <v>0</v>
      </c>
      <c r="Z149" s="250">
        <v>0</v>
      </c>
      <c r="AA149" s="250">
        <v>0</v>
      </c>
      <c r="AB149" s="250">
        <v>5000</v>
      </c>
      <c r="AC149" s="250">
        <v>0</v>
      </c>
      <c r="AD149" s="250">
        <v>0</v>
      </c>
      <c r="AE149" s="251">
        <v>0</v>
      </c>
      <c r="AF149" s="251">
        <v>0</v>
      </c>
      <c r="AG149" s="251">
        <v>0</v>
      </c>
      <c r="AH149" s="251">
        <v>0</v>
      </c>
      <c r="AI149" s="250">
        <f t="shared" si="3"/>
        <v>5000</v>
      </c>
    </row>
    <row r="150" spans="1:35" x14ac:dyDescent="0.35">
      <c r="A150" s="5" t="s">
        <v>1836</v>
      </c>
      <c r="B150" s="250">
        <v>0</v>
      </c>
      <c r="C150" s="250">
        <v>0</v>
      </c>
      <c r="D150" s="250">
        <v>0</v>
      </c>
      <c r="E150" s="250">
        <v>0</v>
      </c>
      <c r="F150" s="250">
        <v>0</v>
      </c>
      <c r="G150" s="250">
        <v>0</v>
      </c>
      <c r="H150" s="250">
        <v>0</v>
      </c>
      <c r="I150" s="250">
        <v>0</v>
      </c>
      <c r="J150" s="250">
        <v>0</v>
      </c>
      <c r="K150" s="250">
        <v>0</v>
      </c>
      <c r="L150" s="250">
        <v>0</v>
      </c>
      <c r="M150" s="250">
        <v>0</v>
      </c>
      <c r="N150" s="250">
        <v>0</v>
      </c>
      <c r="O150" s="250">
        <v>0</v>
      </c>
      <c r="P150" s="250">
        <v>0</v>
      </c>
      <c r="Q150" s="250">
        <v>0</v>
      </c>
      <c r="R150" s="250">
        <v>0</v>
      </c>
      <c r="S150" s="250">
        <v>0</v>
      </c>
      <c r="T150" s="250">
        <v>0</v>
      </c>
      <c r="U150" s="250">
        <v>0</v>
      </c>
      <c r="V150" s="250">
        <v>0</v>
      </c>
      <c r="W150" s="250">
        <v>0</v>
      </c>
      <c r="X150" s="250">
        <v>0</v>
      </c>
      <c r="Y150" s="250">
        <v>0</v>
      </c>
      <c r="Z150" s="250">
        <v>0</v>
      </c>
      <c r="AA150" s="250">
        <v>0</v>
      </c>
      <c r="AB150" s="250">
        <v>0</v>
      </c>
      <c r="AC150" s="250">
        <v>0</v>
      </c>
      <c r="AD150" s="250">
        <v>0</v>
      </c>
      <c r="AE150" s="251">
        <v>0</v>
      </c>
      <c r="AF150" s="251">
        <v>0</v>
      </c>
      <c r="AG150" s="251">
        <v>0</v>
      </c>
      <c r="AH150" s="251">
        <v>0</v>
      </c>
      <c r="AI150" s="250">
        <f t="shared" si="3"/>
        <v>0</v>
      </c>
    </row>
    <row r="151" spans="1:35" x14ac:dyDescent="0.35">
      <c r="A151" s="5" t="s">
        <v>1182</v>
      </c>
      <c r="B151" s="250">
        <v>0</v>
      </c>
      <c r="C151" s="250">
        <v>0</v>
      </c>
      <c r="D151" s="250">
        <v>0</v>
      </c>
      <c r="E151" s="250">
        <v>0</v>
      </c>
      <c r="F151" s="250">
        <v>0</v>
      </c>
      <c r="G151" s="250">
        <v>0</v>
      </c>
      <c r="H151" s="250">
        <v>0</v>
      </c>
      <c r="I151" s="250">
        <v>0</v>
      </c>
      <c r="J151" s="250">
        <v>0</v>
      </c>
      <c r="K151" s="250">
        <v>0</v>
      </c>
      <c r="L151" s="250">
        <v>0</v>
      </c>
      <c r="M151" s="250">
        <v>0</v>
      </c>
      <c r="N151" s="250">
        <v>0</v>
      </c>
      <c r="O151" s="250">
        <v>0</v>
      </c>
      <c r="P151" s="250">
        <v>3000</v>
      </c>
      <c r="Q151" s="250">
        <v>0</v>
      </c>
      <c r="R151" s="250">
        <v>0</v>
      </c>
      <c r="S151" s="250">
        <v>0</v>
      </c>
      <c r="T151" s="250">
        <v>0</v>
      </c>
      <c r="U151" s="250">
        <v>0</v>
      </c>
      <c r="V151" s="250">
        <v>0</v>
      </c>
      <c r="W151" s="250">
        <v>0</v>
      </c>
      <c r="X151" s="250">
        <v>0</v>
      </c>
      <c r="Y151" s="250">
        <v>0</v>
      </c>
      <c r="Z151" s="250">
        <v>0</v>
      </c>
      <c r="AA151" s="250">
        <v>0</v>
      </c>
      <c r="AB151" s="250">
        <v>0</v>
      </c>
      <c r="AC151" s="250">
        <v>0</v>
      </c>
      <c r="AD151" s="250">
        <v>0</v>
      </c>
      <c r="AE151" s="251">
        <v>500</v>
      </c>
      <c r="AF151" s="251">
        <v>1500</v>
      </c>
      <c r="AG151" s="251">
        <v>2000</v>
      </c>
      <c r="AH151" s="251">
        <v>0</v>
      </c>
      <c r="AI151" s="250">
        <f t="shared" si="3"/>
        <v>7000</v>
      </c>
    </row>
    <row r="152" spans="1:35" x14ac:dyDescent="0.35">
      <c r="A152" s="5" t="s">
        <v>1838</v>
      </c>
      <c r="B152" s="250">
        <v>0</v>
      </c>
      <c r="C152" s="250">
        <v>0</v>
      </c>
      <c r="D152" s="250">
        <v>0</v>
      </c>
      <c r="E152" s="250">
        <v>0</v>
      </c>
      <c r="F152" s="250">
        <v>0</v>
      </c>
      <c r="G152" s="250">
        <v>0</v>
      </c>
      <c r="H152" s="250">
        <v>0</v>
      </c>
      <c r="I152" s="250">
        <v>0</v>
      </c>
      <c r="J152" s="250">
        <v>0</v>
      </c>
      <c r="K152" s="250">
        <v>0</v>
      </c>
      <c r="L152" s="250">
        <v>0</v>
      </c>
      <c r="M152" s="250">
        <v>0</v>
      </c>
      <c r="N152" s="250">
        <v>0</v>
      </c>
      <c r="O152" s="250">
        <v>0</v>
      </c>
      <c r="P152" s="250">
        <v>0</v>
      </c>
      <c r="Q152" s="250">
        <v>0</v>
      </c>
      <c r="R152" s="250">
        <v>0</v>
      </c>
      <c r="S152" s="250">
        <v>0</v>
      </c>
      <c r="T152" s="250">
        <v>0</v>
      </c>
      <c r="U152" s="250">
        <v>0</v>
      </c>
      <c r="V152" s="250">
        <v>0</v>
      </c>
      <c r="W152" s="250">
        <v>0</v>
      </c>
      <c r="X152" s="250">
        <v>0</v>
      </c>
      <c r="Y152" s="250">
        <v>0</v>
      </c>
      <c r="Z152" s="250">
        <v>0</v>
      </c>
      <c r="AA152" s="250">
        <v>0</v>
      </c>
      <c r="AB152" s="250">
        <v>0</v>
      </c>
      <c r="AC152" s="250">
        <v>0</v>
      </c>
      <c r="AD152" s="250">
        <v>0</v>
      </c>
      <c r="AE152" s="251">
        <v>0</v>
      </c>
      <c r="AF152" s="251">
        <v>0</v>
      </c>
      <c r="AG152" s="251">
        <v>0</v>
      </c>
      <c r="AH152" s="251">
        <v>0</v>
      </c>
      <c r="AI152" s="250">
        <f t="shared" si="3"/>
        <v>0</v>
      </c>
    </row>
    <row r="153" spans="1:35" x14ac:dyDescent="0.35">
      <c r="A153" s="5" t="s">
        <v>2605</v>
      </c>
      <c r="B153" s="250">
        <v>0</v>
      </c>
      <c r="C153" s="250">
        <v>0</v>
      </c>
      <c r="D153" s="250">
        <v>0</v>
      </c>
      <c r="E153" s="250">
        <v>0</v>
      </c>
      <c r="F153" s="250">
        <v>0</v>
      </c>
      <c r="G153" s="250">
        <v>0</v>
      </c>
      <c r="H153" s="250">
        <v>0</v>
      </c>
      <c r="I153" s="250">
        <v>0</v>
      </c>
      <c r="J153" s="250">
        <v>0</v>
      </c>
      <c r="K153" s="250">
        <v>0</v>
      </c>
      <c r="L153" s="250">
        <v>0</v>
      </c>
      <c r="M153" s="250">
        <v>0</v>
      </c>
      <c r="N153" s="250">
        <v>0</v>
      </c>
      <c r="O153" s="250">
        <v>0</v>
      </c>
      <c r="P153" s="250">
        <v>0</v>
      </c>
      <c r="Q153" s="250">
        <v>0</v>
      </c>
      <c r="R153" s="250">
        <v>0</v>
      </c>
      <c r="S153" s="250">
        <v>0</v>
      </c>
      <c r="T153" s="250">
        <v>0</v>
      </c>
      <c r="U153" s="250">
        <v>0</v>
      </c>
      <c r="V153" s="250">
        <v>0</v>
      </c>
      <c r="W153" s="250">
        <v>0</v>
      </c>
      <c r="X153" s="250">
        <v>0</v>
      </c>
      <c r="Y153" s="250">
        <v>0</v>
      </c>
      <c r="Z153" s="250">
        <v>0</v>
      </c>
      <c r="AA153" s="250">
        <v>0</v>
      </c>
      <c r="AB153" s="250">
        <v>0</v>
      </c>
      <c r="AC153" s="250">
        <v>0</v>
      </c>
      <c r="AD153" s="250">
        <v>0</v>
      </c>
      <c r="AE153" s="251">
        <v>0</v>
      </c>
      <c r="AF153" s="251">
        <v>0</v>
      </c>
      <c r="AG153" s="251">
        <v>430</v>
      </c>
      <c r="AH153" s="251">
        <v>0</v>
      </c>
      <c r="AI153" s="250">
        <f t="shared" si="3"/>
        <v>430</v>
      </c>
    </row>
    <row r="154" spans="1:35" x14ac:dyDescent="0.35">
      <c r="A154" s="5" t="s">
        <v>2263</v>
      </c>
      <c r="B154" s="250">
        <v>0</v>
      </c>
      <c r="C154" s="250">
        <v>0</v>
      </c>
      <c r="D154" s="250">
        <v>0</v>
      </c>
      <c r="E154" s="250">
        <v>0</v>
      </c>
      <c r="F154" s="250">
        <v>0</v>
      </c>
      <c r="G154" s="250">
        <v>0</v>
      </c>
      <c r="H154" s="250">
        <v>0</v>
      </c>
      <c r="I154" s="250">
        <v>0</v>
      </c>
      <c r="J154" s="250">
        <v>0</v>
      </c>
      <c r="K154" s="250">
        <v>0</v>
      </c>
      <c r="L154" s="250">
        <v>0</v>
      </c>
      <c r="M154" s="250">
        <v>0</v>
      </c>
      <c r="N154" s="250">
        <v>0</v>
      </c>
      <c r="O154" s="250">
        <v>0</v>
      </c>
      <c r="P154" s="250">
        <v>0</v>
      </c>
      <c r="Q154" s="250">
        <v>0</v>
      </c>
      <c r="R154" s="250">
        <v>0</v>
      </c>
      <c r="S154" s="250">
        <v>0</v>
      </c>
      <c r="T154" s="250">
        <v>0</v>
      </c>
      <c r="U154" s="250">
        <v>0</v>
      </c>
      <c r="V154" s="250">
        <v>0</v>
      </c>
      <c r="W154" s="250">
        <v>0</v>
      </c>
      <c r="X154" s="250">
        <v>0</v>
      </c>
      <c r="Y154" s="250">
        <v>0</v>
      </c>
      <c r="Z154" s="250">
        <v>0</v>
      </c>
      <c r="AA154" s="250">
        <v>450</v>
      </c>
      <c r="AB154" s="250">
        <v>0</v>
      </c>
      <c r="AC154" s="250">
        <v>0</v>
      </c>
      <c r="AD154" s="250">
        <v>0</v>
      </c>
      <c r="AE154" s="251">
        <v>0</v>
      </c>
      <c r="AF154" s="251">
        <v>0</v>
      </c>
      <c r="AG154" s="251">
        <v>350</v>
      </c>
      <c r="AH154" s="251">
        <v>0</v>
      </c>
      <c r="AI154" s="250">
        <f t="shared" si="3"/>
        <v>800</v>
      </c>
    </row>
    <row r="155" spans="1:35" x14ac:dyDescent="0.35">
      <c r="A155" s="5" t="s">
        <v>854</v>
      </c>
      <c r="B155" s="250">
        <v>0</v>
      </c>
      <c r="C155" s="250">
        <v>0</v>
      </c>
      <c r="D155" s="250">
        <v>0</v>
      </c>
      <c r="E155" s="250">
        <v>0</v>
      </c>
      <c r="F155" s="250">
        <v>0</v>
      </c>
      <c r="G155" s="250">
        <v>750</v>
      </c>
      <c r="H155" s="250">
        <v>0</v>
      </c>
      <c r="I155" s="250">
        <v>0</v>
      </c>
      <c r="J155" s="250">
        <v>0</v>
      </c>
      <c r="K155" s="250">
        <v>0</v>
      </c>
      <c r="L155" s="250">
        <v>0</v>
      </c>
      <c r="M155" s="250">
        <v>0</v>
      </c>
      <c r="N155" s="250">
        <v>0</v>
      </c>
      <c r="O155" s="250">
        <v>0</v>
      </c>
      <c r="P155" s="250">
        <v>0</v>
      </c>
      <c r="Q155" s="250">
        <v>0</v>
      </c>
      <c r="R155" s="250">
        <v>0</v>
      </c>
      <c r="S155" s="250">
        <v>0</v>
      </c>
      <c r="T155" s="250">
        <v>0</v>
      </c>
      <c r="U155" s="250">
        <v>0</v>
      </c>
      <c r="V155" s="250">
        <v>0</v>
      </c>
      <c r="W155" s="250">
        <v>0</v>
      </c>
      <c r="X155" s="250">
        <v>0</v>
      </c>
      <c r="Y155" s="250">
        <v>0</v>
      </c>
      <c r="Z155" s="250">
        <v>0</v>
      </c>
      <c r="AA155" s="250">
        <v>0</v>
      </c>
      <c r="AB155" s="250">
        <v>0</v>
      </c>
      <c r="AC155" s="250">
        <v>0</v>
      </c>
      <c r="AD155" s="250">
        <v>0</v>
      </c>
      <c r="AE155" s="251">
        <v>0</v>
      </c>
      <c r="AF155" s="251">
        <v>0</v>
      </c>
      <c r="AG155" s="251">
        <v>350</v>
      </c>
      <c r="AH155" s="251">
        <v>0</v>
      </c>
      <c r="AI155" s="250">
        <f t="shared" si="3"/>
        <v>1100</v>
      </c>
    </row>
    <row r="156" spans="1:35" x14ac:dyDescent="0.35">
      <c r="A156" s="5" t="s">
        <v>671</v>
      </c>
      <c r="B156" s="250">
        <v>0</v>
      </c>
      <c r="C156" s="250">
        <v>0</v>
      </c>
      <c r="D156" s="250">
        <v>0</v>
      </c>
      <c r="E156" s="250">
        <v>0</v>
      </c>
      <c r="F156" s="250">
        <v>0</v>
      </c>
      <c r="G156" s="250">
        <v>0</v>
      </c>
      <c r="H156" s="250">
        <v>0</v>
      </c>
      <c r="I156" s="250">
        <v>0</v>
      </c>
      <c r="J156" s="250">
        <v>0</v>
      </c>
      <c r="K156" s="250">
        <v>0</v>
      </c>
      <c r="L156" s="250">
        <v>0</v>
      </c>
      <c r="M156" s="250">
        <v>0</v>
      </c>
      <c r="N156" s="250">
        <v>0</v>
      </c>
      <c r="O156" s="250">
        <v>0</v>
      </c>
      <c r="P156" s="250">
        <v>0</v>
      </c>
      <c r="Q156" s="250">
        <v>0</v>
      </c>
      <c r="R156" s="250">
        <v>0</v>
      </c>
      <c r="S156" s="250">
        <v>0</v>
      </c>
      <c r="T156" s="250">
        <v>0</v>
      </c>
      <c r="U156" s="250">
        <v>0</v>
      </c>
      <c r="V156" s="250">
        <v>0</v>
      </c>
      <c r="W156" s="250">
        <v>0</v>
      </c>
      <c r="X156" s="250">
        <v>0</v>
      </c>
      <c r="Y156" s="250">
        <v>0</v>
      </c>
      <c r="Z156" s="250">
        <v>0</v>
      </c>
      <c r="AA156" s="250">
        <v>0</v>
      </c>
      <c r="AB156" s="250">
        <v>7500</v>
      </c>
      <c r="AC156" s="250">
        <v>0</v>
      </c>
      <c r="AD156" s="250">
        <v>0</v>
      </c>
      <c r="AE156" s="251">
        <v>0</v>
      </c>
      <c r="AF156" s="251">
        <v>0</v>
      </c>
      <c r="AG156" s="251">
        <v>480</v>
      </c>
      <c r="AH156" s="251">
        <v>0</v>
      </c>
      <c r="AI156" s="250">
        <f t="shared" si="3"/>
        <v>7980</v>
      </c>
    </row>
    <row r="157" spans="1:35" x14ac:dyDescent="0.35">
      <c r="A157" s="5" t="s">
        <v>329</v>
      </c>
      <c r="B157" s="250">
        <v>0</v>
      </c>
      <c r="C157" s="250">
        <v>1500</v>
      </c>
      <c r="D157" s="250">
        <v>350</v>
      </c>
      <c r="E157" s="250">
        <v>0</v>
      </c>
      <c r="F157" s="250">
        <v>0</v>
      </c>
      <c r="G157" s="250">
        <v>0</v>
      </c>
      <c r="H157" s="250">
        <v>0</v>
      </c>
      <c r="I157" s="250">
        <v>0</v>
      </c>
      <c r="J157" s="250">
        <v>0</v>
      </c>
      <c r="K157" s="250">
        <v>0</v>
      </c>
      <c r="L157" s="250">
        <v>0</v>
      </c>
      <c r="M157" s="250">
        <v>0</v>
      </c>
      <c r="N157" s="250">
        <v>0</v>
      </c>
      <c r="O157" s="250">
        <v>0</v>
      </c>
      <c r="P157" s="250">
        <v>3000</v>
      </c>
      <c r="Q157" s="250">
        <v>0</v>
      </c>
      <c r="R157" s="250">
        <v>0</v>
      </c>
      <c r="S157" s="250">
        <v>0</v>
      </c>
      <c r="T157" s="250">
        <v>2500</v>
      </c>
      <c r="U157" s="250">
        <v>0</v>
      </c>
      <c r="V157" s="250">
        <v>0</v>
      </c>
      <c r="W157" s="250">
        <v>0</v>
      </c>
      <c r="X157" s="250">
        <v>0</v>
      </c>
      <c r="Y157" s="250">
        <v>0</v>
      </c>
      <c r="Z157" s="250">
        <v>0</v>
      </c>
      <c r="AA157" s="250">
        <v>0</v>
      </c>
      <c r="AB157" s="250">
        <v>0</v>
      </c>
      <c r="AC157" s="250">
        <v>0</v>
      </c>
      <c r="AD157" s="250">
        <v>0</v>
      </c>
      <c r="AE157" s="251">
        <v>500</v>
      </c>
      <c r="AF157" s="251">
        <v>1500</v>
      </c>
      <c r="AG157" s="251">
        <v>480</v>
      </c>
      <c r="AH157" s="251">
        <v>0</v>
      </c>
      <c r="AI157" s="250">
        <f t="shared" si="3"/>
        <v>9830</v>
      </c>
    </row>
    <row r="158" spans="1:35" x14ac:dyDescent="0.35">
      <c r="A158" s="5" t="s">
        <v>1404</v>
      </c>
      <c r="B158" s="250">
        <v>0</v>
      </c>
      <c r="C158" s="250">
        <v>0</v>
      </c>
      <c r="D158" s="250">
        <v>0</v>
      </c>
      <c r="E158" s="250">
        <v>0</v>
      </c>
      <c r="F158" s="250">
        <v>0</v>
      </c>
      <c r="G158" s="250">
        <v>0</v>
      </c>
      <c r="H158" s="250">
        <v>0</v>
      </c>
      <c r="I158" s="250">
        <v>0</v>
      </c>
      <c r="J158" s="250">
        <v>0</v>
      </c>
      <c r="K158" s="250">
        <v>0</v>
      </c>
      <c r="L158" s="250">
        <v>0</v>
      </c>
      <c r="M158" s="250">
        <v>0</v>
      </c>
      <c r="N158" s="250">
        <v>0</v>
      </c>
      <c r="O158" s="250">
        <v>0</v>
      </c>
      <c r="P158" s="250">
        <v>0</v>
      </c>
      <c r="Q158" s="250">
        <v>0</v>
      </c>
      <c r="R158" s="250">
        <v>0</v>
      </c>
      <c r="S158" s="250">
        <v>0</v>
      </c>
      <c r="T158" s="250">
        <v>0</v>
      </c>
      <c r="U158" s="250">
        <v>0</v>
      </c>
      <c r="V158" s="250">
        <v>0</v>
      </c>
      <c r="W158" s="250">
        <v>0</v>
      </c>
      <c r="X158" s="250">
        <v>0</v>
      </c>
      <c r="Y158" s="250">
        <v>0</v>
      </c>
      <c r="Z158" s="250">
        <v>0</v>
      </c>
      <c r="AA158" s="250">
        <v>0</v>
      </c>
      <c r="AB158" s="250">
        <v>0</v>
      </c>
      <c r="AC158" s="250">
        <v>0</v>
      </c>
      <c r="AD158" s="250">
        <v>0</v>
      </c>
      <c r="AE158" s="251">
        <v>0</v>
      </c>
      <c r="AF158" s="251">
        <v>0</v>
      </c>
      <c r="AG158" s="251">
        <v>350</v>
      </c>
      <c r="AH158" s="251">
        <v>0</v>
      </c>
      <c r="AI158" s="250">
        <f t="shared" si="3"/>
        <v>350</v>
      </c>
    </row>
    <row r="159" spans="1:35" x14ac:dyDescent="0.35">
      <c r="A159" s="5" t="s">
        <v>2254</v>
      </c>
      <c r="B159" s="250">
        <v>0</v>
      </c>
      <c r="C159" s="250">
        <v>0</v>
      </c>
      <c r="D159" s="250">
        <v>0</v>
      </c>
      <c r="E159" s="250">
        <v>0</v>
      </c>
      <c r="F159" s="250">
        <v>0</v>
      </c>
      <c r="G159" s="250">
        <v>0</v>
      </c>
      <c r="H159" s="250">
        <v>0</v>
      </c>
      <c r="I159" s="250">
        <v>0</v>
      </c>
      <c r="J159" s="250">
        <v>0</v>
      </c>
      <c r="K159" s="250">
        <v>0</v>
      </c>
      <c r="L159" s="250">
        <v>0</v>
      </c>
      <c r="M159" s="250">
        <v>0</v>
      </c>
      <c r="N159" s="250">
        <v>0</v>
      </c>
      <c r="O159" s="250">
        <v>0</v>
      </c>
      <c r="P159" s="250">
        <v>0</v>
      </c>
      <c r="Q159" s="250">
        <v>0</v>
      </c>
      <c r="R159" s="250">
        <v>0</v>
      </c>
      <c r="S159" s="250">
        <v>0</v>
      </c>
      <c r="T159" s="250">
        <v>0</v>
      </c>
      <c r="U159" s="250">
        <v>0</v>
      </c>
      <c r="V159" s="250">
        <v>0</v>
      </c>
      <c r="W159" s="250">
        <v>0</v>
      </c>
      <c r="X159" s="250">
        <v>0</v>
      </c>
      <c r="Y159" s="250">
        <v>0</v>
      </c>
      <c r="Z159" s="250">
        <v>0</v>
      </c>
      <c r="AA159" s="250">
        <v>450</v>
      </c>
      <c r="AB159" s="250">
        <v>0</v>
      </c>
      <c r="AC159" s="250">
        <v>0</v>
      </c>
      <c r="AD159" s="250">
        <v>0</v>
      </c>
      <c r="AE159" s="251">
        <v>0</v>
      </c>
      <c r="AF159" s="251">
        <v>0</v>
      </c>
      <c r="AG159" s="251">
        <v>350</v>
      </c>
      <c r="AH159" s="251">
        <v>0</v>
      </c>
      <c r="AI159" s="250">
        <f t="shared" si="3"/>
        <v>800</v>
      </c>
    </row>
    <row r="160" spans="1:35" x14ac:dyDescent="0.35">
      <c r="A160" s="5" t="s">
        <v>1283</v>
      </c>
      <c r="B160" s="250">
        <v>0</v>
      </c>
      <c r="C160" s="250">
        <v>0</v>
      </c>
      <c r="D160" s="250">
        <v>0</v>
      </c>
      <c r="E160" s="250">
        <v>0</v>
      </c>
      <c r="F160" s="250">
        <v>0</v>
      </c>
      <c r="G160" s="250">
        <v>0</v>
      </c>
      <c r="H160" s="250">
        <v>0</v>
      </c>
      <c r="I160" s="250">
        <v>0</v>
      </c>
      <c r="J160" s="250">
        <v>0</v>
      </c>
      <c r="K160" s="250">
        <v>0</v>
      </c>
      <c r="L160" s="250">
        <v>0</v>
      </c>
      <c r="M160" s="250">
        <v>0</v>
      </c>
      <c r="N160" s="250">
        <v>0</v>
      </c>
      <c r="O160" s="250">
        <v>0</v>
      </c>
      <c r="P160" s="250">
        <v>0</v>
      </c>
      <c r="Q160" s="250">
        <v>0</v>
      </c>
      <c r="R160" s="250">
        <v>0</v>
      </c>
      <c r="S160" s="250">
        <v>0</v>
      </c>
      <c r="T160" s="250">
        <v>0</v>
      </c>
      <c r="U160" s="250">
        <v>0</v>
      </c>
      <c r="V160" s="250">
        <v>0</v>
      </c>
      <c r="W160" s="250">
        <v>0</v>
      </c>
      <c r="X160" s="250">
        <v>0</v>
      </c>
      <c r="Y160" s="250">
        <v>0</v>
      </c>
      <c r="Z160" s="250">
        <v>0</v>
      </c>
      <c r="AA160" s="250">
        <v>450</v>
      </c>
      <c r="AB160" s="250">
        <v>0</v>
      </c>
      <c r="AC160" s="250">
        <v>0</v>
      </c>
      <c r="AD160" s="250">
        <v>0</v>
      </c>
      <c r="AE160" s="251">
        <v>0</v>
      </c>
      <c r="AF160" s="251">
        <v>0</v>
      </c>
      <c r="AG160" s="251">
        <v>430</v>
      </c>
      <c r="AH160" s="251">
        <v>0</v>
      </c>
      <c r="AI160" s="250">
        <f t="shared" si="3"/>
        <v>880</v>
      </c>
    </row>
    <row r="161" spans="1:35" x14ac:dyDescent="0.35">
      <c r="A161" s="5" t="s">
        <v>194</v>
      </c>
      <c r="B161" s="250">
        <v>0</v>
      </c>
      <c r="C161" s="250">
        <v>4000</v>
      </c>
      <c r="D161" s="250">
        <v>500</v>
      </c>
      <c r="E161" s="250">
        <v>0</v>
      </c>
      <c r="F161" s="250">
        <v>1200</v>
      </c>
      <c r="G161" s="250">
        <v>0</v>
      </c>
      <c r="H161" s="250">
        <v>0</v>
      </c>
      <c r="I161" s="250">
        <v>0</v>
      </c>
      <c r="J161" s="250">
        <v>0</v>
      </c>
      <c r="K161" s="250">
        <v>0</v>
      </c>
      <c r="L161" s="250">
        <v>0</v>
      </c>
      <c r="M161" s="250">
        <v>3590</v>
      </c>
      <c r="N161" s="250">
        <v>5000</v>
      </c>
      <c r="O161" s="250">
        <v>4500</v>
      </c>
      <c r="P161" s="250">
        <v>0</v>
      </c>
      <c r="Q161" s="250">
        <v>2500</v>
      </c>
      <c r="R161" s="250">
        <v>0</v>
      </c>
      <c r="S161" s="250">
        <v>2500</v>
      </c>
      <c r="T161" s="250">
        <v>0</v>
      </c>
      <c r="U161" s="250">
        <v>0</v>
      </c>
      <c r="V161" s="250">
        <v>0</v>
      </c>
      <c r="W161" s="250">
        <v>0</v>
      </c>
      <c r="X161" s="250">
        <v>0</v>
      </c>
      <c r="Y161" s="250">
        <v>0</v>
      </c>
      <c r="Z161" s="250">
        <v>0</v>
      </c>
      <c r="AA161" s="250">
        <v>0</v>
      </c>
      <c r="AB161" s="250">
        <v>5000</v>
      </c>
      <c r="AC161" s="250">
        <v>0</v>
      </c>
      <c r="AD161" s="250">
        <v>7500</v>
      </c>
      <c r="AE161" s="251">
        <v>500</v>
      </c>
      <c r="AF161" s="251">
        <v>3000</v>
      </c>
      <c r="AG161" s="251">
        <v>950</v>
      </c>
      <c r="AH161" s="251">
        <v>0</v>
      </c>
      <c r="AI161" s="250">
        <f t="shared" si="3"/>
        <v>40740</v>
      </c>
    </row>
    <row r="162" spans="1:35" x14ac:dyDescent="0.35">
      <c r="A162" s="5" t="s">
        <v>2606</v>
      </c>
      <c r="B162" s="250">
        <v>0</v>
      </c>
      <c r="C162" s="250">
        <v>0</v>
      </c>
      <c r="D162" s="250">
        <v>0</v>
      </c>
      <c r="E162" s="250">
        <v>0</v>
      </c>
      <c r="F162" s="250">
        <v>0</v>
      </c>
      <c r="G162" s="250">
        <v>0</v>
      </c>
      <c r="H162" s="250">
        <v>0</v>
      </c>
      <c r="I162" s="250">
        <v>0</v>
      </c>
      <c r="J162" s="250">
        <v>0</v>
      </c>
      <c r="K162" s="250">
        <v>0</v>
      </c>
      <c r="L162" s="250">
        <v>0</v>
      </c>
      <c r="M162" s="250">
        <v>0</v>
      </c>
      <c r="N162" s="250">
        <v>0</v>
      </c>
      <c r="O162" s="250">
        <v>0</v>
      </c>
      <c r="P162" s="250">
        <v>0</v>
      </c>
      <c r="Q162" s="250">
        <v>0</v>
      </c>
      <c r="R162" s="250">
        <v>0</v>
      </c>
      <c r="S162" s="250">
        <v>0</v>
      </c>
      <c r="T162" s="250">
        <v>0</v>
      </c>
      <c r="U162" s="250">
        <v>0</v>
      </c>
      <c r="V162" s="250">
        <v>0</v>
      </c>
      <c r="W162" s="250">
        <v>0</v>
      </c>
      <c r="X162" s="250">
        <v>0</v>
      </c>
      <c r="Y162" s="250">
        <v>0</v>
      </c>
      <c r="Z162" s="250">
        <v>0</v>
      </c>
      <c r="AA162" s="250">
        <v>0</v>
      </c>
      <c r="AB162" s="250">
        <v>0</v>
      </c>
      <c r="AC162" s="250">
        <v>0</v>
      </c>
      <c r="AD162" s="250">
        <v>0</v>
      </c>
      <c r="AE162" s="251">
        <v>0</v>
      </c>
      <c r="AF162" s="251">
        <v>0</v>
      </c>
      <c r="AG162" s="251">
        <v>0</v>
      </c>
      <c r="AH162" s="251">
        <v>0</v>
      </c>
      <c r="AI162" s="250">
        <f t="shared" si="3"/>
        <v>0</v>
      </c>
    </row>
    <row r="163" spans="1:35" x14ac:dyDescent="0.35">
      <c r="A163" s="5" t="s">
        <v>1186</v>
      </c>
      <c r="B163" s="250">
        <v>0</v>
      </c>
      <c r="C163" s="250">
        <v>0</v>
      </c>
      <c r="D163" s="250">
        <v>0</v>
      </c>
      <c r="E163" s="250">
        <v>0</v>
      </c>
      <c r="F163" s="250">
        <v>0</v>
      </c>
      <c r="G163" s="250">
        <v>0</v>
      </c>
      <c r="H163" s="250">
        <v>0</v>
      </c>
      <c r="I163" s="250">
        <v>0</v>
      </c>
      <c r="J163" s="250">
        <v>0</v>
      </c>
      <c r="K163" s="250">
        <v>0</v>
      </c>
      <c r="L163" s="250">
        <v>0</v>
      </c>
      <c r="M163" s="250">
        <v>0</v>
      </c>
      <c r="N163" s="250">
        <v>0</v>
      </c>
      <c r="O163" s="250">
        <v>0</v>
      </c>
      <c r="P163" s="250">
        <v>0</v>
      </c>
      <c r="Q163" s="250">
        <v>0</v>
      </c>
      <c r="R163" s="250">
        <v>0</v>
      </c>
      <c r="S163" s="250">
        <v>0</v>
      </c>
      <c r="T163" s="250">
        <v>0</v>
      </c>
      <c r="U163" s="250">
        <v>0</v>
      </c>
      <c r="V163" s="250">
        <v>0</v>
      </c>
      <c r="W163" s="250">
        <v>0</v>
      </c>
      <c r="X163" s="250">
        <v>0</v>
      </c>
      <c r="Y163" s="250">
        <v>0</v>
      </c>
      <c r="Z163" s="250">
        <v>0</v>
      </c>
      <c r="AA163" s="250">
        <v>0</v>
      </c>
      <c r="AB163" s="250">
        <v>7500</v>
      </c>
      <c r="AC163" s="250">
        <v>0</v>
      </c>
      <c r="AD163" s="250">
        <v>0</v>
      </c>
      <c r="AE163" s="251">
        <v>0</v>
      </c>
      <c r="AF163" s="251">
        <v>1500</v>
      </c>
      <c r="AG163" s="251">
        <v>1150</v>
      </c>
      <c r="AH163" s="251">
        <v>0</v>
      </c>
      <c r="AI163" s="250">
        <f t="shared" si="3"/>
        <v>10150</v>
      </c>
    </row>
    <row r="164" spans="1:35" x14ac:dyDescent="0.35">
      <c r="A164" s="5" t="s">
        <v>1620</v>
      </c>
      <c r="B164" s="250">
        <v>0</v>
      </c>
      <c r="C164" s="250">
        <v>0</v>
      </c>
      <c r="D164" s="250">
        <v>0</v>
      </c>
      <c r="E164" s="250">
        <v>0</v>
      </c>
      <c r="F164" s="250">
        <v>0</v>
      </c>
      <c r="G164" s="250">
        <v>0</v>
      </c>
      <c r="H164" s="250">
        <v>0</v>
      </c>
      <c r="I164" s="250">
        <v>0</v>
      </c>
      <c r="J164" s="250">
        <v>0</v>
      </c>
      <c r="K164" s="250">
        <v>0</v>
      </c>
      <c r="L164" s="250">
        <v>0</v>
      </c>
      <c r="M164" s="250">
        <v>0</v>
      </c>
      <c r="N164" s="250">
        <v>0</v>
      </c>
      <c r="O164" s="250">
        <v>0</v>
      </c>
      <c r="P164" s="250">
        <v>0</v>
      </c>
      <c r="Q164" s="250">
        <v>1000</v>
      </c>
      <c r="R164" s="250">
        <v>0</v>
      </c>
      <c r="S164" s="250">
        <v>0</v>
      </c>
      <c r="T164" s="250">
        <v>0</v>
      </c>
      <c r="U164" s="250">
        <v>0</v>
      </c>
      <c r="V164" s="250">
        <v>0</v>
      </c>
      <c r="W164" s="250">
        <v>0</v>
      </c>
      <c r="X164" s="250">
        <v>0</v>
      </c>
      <c r="Y164" s="250">
        <v>0</v>
      </c>
      <c r="Z164" s="250">
        <v>0</v>
      </c>
      <c r="AA164" s="250">
        <v>0</v>
      </c>
      <c r="AB164" s="250">
        <v>0</v>
      </c>
      <c r="AC164" s="250">
        <v>0</v>
      </c>
      <c r="AD164" s="250">
        <v>0</v>
      </c>
      <c r="AE164" s="251">
        <v>0</v>
      </c>
      <c r="AF164" s="251">
        <v>0</v>
      </c>
      <c r="AG164" s="251">
        <v>650</v>
      </c>
      <c r="AH164" s="251">
        <v>0</v>
      </c>
      <c r="AI164" s="250">
        <f t="shared" si="3"/>
        <v>1650</v>
      </c>
    </row>
    <row r="165" spans="1:35" x14ac:dyDescent="0.35">
      <c r="A165" s="5" t="s">
        <v>836</v>
      </c>
      <c r="B165" s="250">
        <v>0</v>
      </c>
      <c r="C165" s="250">
        <v>0</v>
      </c>
      <c r="D165" s="250">
        <v>0</v>
      </c>
      <c r="E165" s="250">
        <v>0</v>
      </c>
      <c r="F165" s="250">
        <v>0</v>
      </c>
      <c r="G165" s="250">
        <v>750</v>
      </c>
      <c r="H165" s="250">
        <v>0</v>
      </c>
      <c r="I165" s="250">
        <v>0</v>
      </c>
      <c r="J165" s="250">
        <v>0</v>
      </c>
      <c r="K165" s="250">
        <v>0</v>
      </c>
      <c r="L165" s="250">
        <v>0</v>
      </c>
      <c r="M165" s="250">
        <v>0</v>
      </c>
      <c r="N165" s="250">
        <v>0</v>
      </c>
      <c r="O165" s="250">
        <v>0</v>
      </c>
      <c r="P165" s="250">
        <v>0</v>
      </c>
      <c r="Q165" s="250">
        <v>0</v>
      </c>
      <c r="R165" s="250">
        <v>0</v>
      </c>
      <c r="S165" s="250">
        <v>0</v>
      </c>
      <c r="T165" s="250">
        <v>0</v>
      </c>
      <c r="U165" s="250">
        <v>0</v>
      </c>
      <c r="V165" s="250">
        <v>0</v>
      </c>
      <c r="W165" s="250">
        <v>0</v>
      </c>
      <c r="X165" s="250">
        <v>0</v>
      </c>
      <c r="Y165" s="250">
        <v>0</v>
      </c>
      <c r="Z165" s="250">
        <v>0</v>
      </c>
      <c r="AA165" s="250">
        <v>0</v>
      </c>
      <c r="AB165" s="250">
        <v>0</v>
      </c>
      <c r="AC165" s="250">
        <v>0</v>
      </c>
      <c r="AD165" s="250">
        <v>0</v>
      </c>
      <c r="AE165" s="251">
        <v>0</v>
      </c>
      <c r="AF165" s="251">
        <v>0</v>
      </c>
      <c r="AG165" s="251">
        <v>350</v>
      </c>
      <c r="AH165" s="251">
        <v>0</v>
      </c>
      <c r="AI165" s="250">
        <f t="shared" si="3"/>
        <v>1100</v>
      </c>
    </row>
    <row r="166" spans="1:35" x14ac:dyDescent="0.35">
      <c r="A166" s="5" t="s">
        <v>360</v>
      </c>
      <c r="B166" s="250">
        <v>0</v>
      </c>
      <c r="C166" s="250">
        <v>1500</v>
      </c>
      <c r="D166" s="250">
        <v>0</v>
      </c>
      <c r="E166" s="250">
        <v>0</v>
      </c>
      <c r="F166" s="250">
        <v>0</v>
      </c>
      <c r="G166" s="250">
        <v>0</v>
      </c>
      <c r="H166" s="250">
        <v>0</v>
      </c>
      <c r="I166" s="250">
        <v>0</v>
      </c>
      <c r="J166" s="250">
        <v>0</v>
      </c>
      <c r="K166" s="250">
        <v>0</v>
      </c>
      <c r="L166" s="250">
        <v>0</v>
      </c>
      <c r="M166" s="250">
        <v>0</v>
      </c>
      <c r="N166" s="250">
        <v>0</v>
      </c>
      <c r="O166" s="250">
        <v>0</v>
      </c>
      <c r="P166" s="250">
        <v>0</v>
      </c>
      <c r="Q166" s="250">
        <v>0</v>
      </c>
      <c r="R166" s="250">
        <v>0</v>
      </c>
      <c r="S166" s="250">
        <v>0</v>
      </c>
      <c r="T166" s="250">
        <v>0</v>
      </c>
      <c r="U166" s="250">
        <v>0</v>
      </c>
      <c r="V166" s="250">
        <v>500</v>
      </c>
      <c r="W166" s="250">
        <v>0</v>
      </c>
      <c r="X166" s="250">
        <v>0</v>
      </c>
      <c r="Y166" s="250">
        <v>0</v>
      </c>
      <c r="Z166" s="250">
        <v>0</v>
      </c>
      <c r="AA166" s="250">
        <v>0</v>
      </c>
      <c r="AB166" s="250">
        <v>0</v>
      </c>
      <c r="AC166" s="250">
        <v>0</v>
      </c>
      <c r="AD166" s="250">
        <v>0</v>
      </c>
      <c r="AE166" s="251">
        <v>0</v>
      </c>
      <c r="AF166" s="251">
        <v>0</v>
      </c>
      <c r="AG166" s="251">
        <v>350</v>
      </c>
      <c r="AH166" s="251">
        <v>0</v>
      </c>
      <c r="AI166" s="250">
        <f t="shared" si="3"/>
        <v>2350</v>
      </c>
    </row>
    <row r="167" spans="1:35" x14ac:dyDescent="0.35">
      <c r="A167" s="5" t="s">
        <v>449</v>
      </c>
      <c r="B167" s="250">
        <v>0</v>
      </c>
      <c r="C167" s="250">
        <v>1500</v>
      </c>
      <c r="D167" s="250">
        <v>0</v>
      </c>
      <c r="E167" s="250">
        <v>0</v>
      </c>
      <c r="F167" s="250">
        <v>0</v>
      </c>
      <c r="G167" s="250">
        <v>0</v>
      </c>
      <c r="H167" s="250">
        <v>0</v>
      </c>
      <c r="I167" s="250">
        <v>0</v>
      </c>
      <c r="J167" s="250">
        <v>0</v>
      </c>
      <c r="K167" s="250">
        <v>0</v>
      </c>
      <c r="L167" s="250">
        <v>0</v>
      </c>
      <c r="M167" s="250">
        <v>0</v>
      </c>
      <c r="N167" s="250">
        <v>0</v>
      </c>
      <c r="O167" s="250">
        <v>0</v>
      </c>
      <c r="P167" s="250">
        <v>0</v>
      </c>
      <c r="Q167" s="250">
        <v>0</v>
      </c>
      <c r="R167" s="250">
        <v>0</v>
      </c>
      <c r="S167" s="250">
        <v>0</v>
      </c>
      <c r="T167" s="250">
        <v>0</v>
      </c>
      <c r="U167" s="250">
        <v>0</v>
      </c>
      <c r="V167" s="250">
        <v>0</v>
      </c>
      <c r="W167" s="250">
        <v>0</v>
      </c>
      <c r="X167" s="250">
        <v>0</v>
      </c>
      <c r="Y167" s="250">
        <v>0</v>
      </c>
      <c r="Z167" s="250">
        <v>0</v>
      </c>
      <c r="AA167" s="250">
        <v>0</v>
      </c>
      <c r="AB167" s="250">
        <v>0</v>
      </c>
      <c r="AC167" s="250">
        <v>0</v>
      </c>
      <c r="AD167" s="250">
        <v>0</v>
      </c>
      <c r="AE167" s="251">
        <v>0</v>
      </c>
      <c r="AF167" s="251">
        <v>0</v>
      </c>
      <c r="AG167" s="251">
        <v>350</v>
      </c>
      <c r="AH167" s="251">
        <v>0</v>
      </c>
      <c r="AI167" s="250">
        <f t="shared" si="3"/>
        <v>1850</v>
      </c>
    </row>
    <row r="168" spans="1:35" x14ac:dyDescent="0.35">
      <c r="A168" s="5" t="s">
        <v>428</v>
      </c>
      <c r="B168" s="250">
        <v>0</v>
      </c>
      <c r="C168" s="250">
        <v>1500</v>
      </c>
      <c r="D168" s="250">
        <v>0</v>
      </c>
      <c r="E168" s="250">
        <v>0</v>
      </c>
      <c r="F168" s="250">
        <v>0</v>
      </c>
      <c r="G168" s="250">
        <v>0</v>
      </c>
      <c r="H168" s="250">
        <v>0</v>
      </c>
      <c r="I168" s="250">
        <v>0</v>
      </c>
      <c r="J168" s="250">
        <v>0</v>
      </c>
      <c r="K168" s="250">
        <v>0</v>
      </c>
      <c r="L168" s="250">
        <v>0</v>
      </c>
      <c r="M168" s="250">
        <v>0</v>
      </c>
      <c r="N168" s="250">
        <v>0</v>
      </c>
      <c r="O168" s="250">
        <v>0</v>
      </c>
      <c r="P168" s="250">
        <v>0</v>
      </c>
      <c r="Q168" s="250">
        <v>0</v>
      </c>
      <c r="R168" s="250">
        <v>0</v>
      </c>
      <c r="S168" s="250">
        <v>0</v>
      </c>
      <c r="T168" s="250">
        <v>0</v>
      </c>
      <c r="U168" s="250">
        <v>0</v>
      </c>
      <c r="V168" s="250">
        <v>0</v>
      </c>
      <c r="W168" s="250">
        <v>0</v>
      </c>
      <c r="X168" s="250">
        <v>0</v>
      </c>
      <c r="Y168" s="250">
        <v>0</v>
      </c>
      <c r="Z168" s="250">
        <v>0</v>
      </c>
      <c r="AA168" s="250">
        <v>0</v>
      </c>
      <c r="AB168" s="250">
        <v>0</v>
      </c>
      <c r="AC168" s="250">
        <v>0</v>
      </c>
      <c r="AD168" s="250">
        <v>0</v>
      </c>
      <c r="AE168" s="251">
        <v>0</v>
      </c>
      <c r="AF168" s="251">
        <v>0</v>
      </c>
      <c r="AG168" s="251">
        <v>430</v>
      </c>
      <c r="AH168" s="251">
        <v>0</v>
      </c>
      <c r="AI168" s="250">
        <f t="shared" si="3"/>
        <v>1930</v>
      </c>
    </row>
    <row r="169" spans="1:35" x14ac:dyDescent="0.35">
      <c r="A169" s="5" t="s">
        <v>2476</v>
      </c>
      <c r="B169" s="250">
        <v>0</v>
      </c>
      <c r="C169" s="250">
        <v>0</v>
      </c>
      <c r="D169" s="250">
        <v>0</v>
      </c>
      <c r="E169" s="250">
        <v>0</v>
      </c>
      <c r="F169" s="250">
        <v>0</v>
      </c>
      <c r="G169" s="250">
        <v>0</v>
      </c>
      <c r="H169" s="250">
        <v>0</v>
      </c>
      <c r="I169" s="250">
        <v>0</v>
      </c>
      <c r="J169" s="250">
        <v>0</v>
      </c>
      <c r="K169" s="250">
        <v>0</v>
      </c>
      <c r="L169" s="250">
        <v>0</v>
      </c>
      <c r="M169" s="250">
        <v>0</v>
      </c>
      <c r="N169" s="250">
        <v>0</v>
      </c>
      <c r="O169" s="250">
        <v>0</v>
      </c>
      <c r="P169" s="250">
        <v>0</v>
      </c>
      <c r="Q169" s="250"/>
      <c r="R169" s="250">
        <v>0</v>
      </c>
      <c r="S169" s="250">
        <v>0</v>
      </c>
      <c r="T169" s="250">
        <v>0</v>
      </c>
      <c r="U169" s="250">
        <v>0</v>
      </c>
      <c r="V169" s="250">
        <v>0</v>
      </c>
      <c r="W169" s="250">
        <v>0</v>
      </c>
      <c r="X169" s="250">
        <v>0</v>
      </c>
      <c r="Y169" s="250">
        <v>0</v>
      </c>
      <c r="Z169" s="250">
        <v>0</v>
      </c>
      <c r="AA169" s="250">
        <v>0</v>
      </c>
      <c r="AB169" s="250">
        <v>7500</v>
      </c>
      <c r="AC169" s="250">
        <v>0</v>
      </c>
      <c r="AD169" s="250">
        <v>0</v>
      </c>
      <c r="AE169" s="251">
        <v>0</v>
      </c>
      <c r="AF169" s="251">
        <v>0</v>
      </c>
      <c r="AG169" s="251">
        <v>0</v>
      </c>
      <c r="AH169" s="251">
        <v>0</v>
      </c>
      <c r="AI169" s="250">
        <f t="shared" si="3"/>
        <v>7500</v>
      </c>
    </row>
    <row r="170" spans="1:35" x14ac:dyDescent="0.35">
      <c r="A170" s="5" t="s">
        <v>2607</v>
      </c>
      <c r="B170" s="250">
        <v>0</v>
      </c>
      <c r="C170" s="250">
        <v>0</v>
      </c>
      <c r="D170" s="250">
        <v>0</v>
      </c>
      <c r="E170" s="250">
        <v>0</v>
      </c>
      <c r="F170" s="250">
        <v>0</v>
      </c>
      <c r="G170" s="250">
        <v>0</v>
      </c>
      <c r="H170" s="250">
        <v>0</v>
      </c>
      <c r="I170" s="250">
        <v>0</v>
      </c>
      <c r="J170" s="250">
        <v>0</v>
      </c>
      <c r="K170" s="250">
        <v>0</v>
      </c>
      <c r="L170" s="250">
        <v>0</v>
      </c>
      <c r="M170" s="250">
        <v>1795</v>
      </c>
      <c r="N170" s="250">
        <v>0</v>
      </c>
      <c r="O170" s="250">
        <v>0</v>
      </c>
      <c r="P170" s="250">
        <v>0</v>
      </c>
      <c r="Q170" s="250">
        <v>0</v>
      </c>
      <c r="R170" s="250">
        <v>0</v>
      </c>
      <c r="S170" s="250">
        <v>0</v>
      </c>
      <c r="T170" s="250">
        <v>0</v>
      </c>
      <c r="U170" s="250">
        <v>0</v>
      </c>
      <c r="V170" s="250">
        <v>0</v>
      </c>
      <c r="W170" s="250">
        <v>0</v>
      </c>
      <c r="X170" s="250">
        <v>0</v>
      </c>
      <c r="Y170" s="250">
        <v>0</v>
      </c>
      <c r="Z170" s="250">
        <v>0</v>
      </c>
      <c r="AA170" s="250">
        <v>0</v>
      </c>
      <c r="AB170" s="250">
        <v>5000</v>
      </c>
      <c r="AC170" s="250">
        <v>0</v>
      </c>
      <c r="AD170" s="250">
        <v>0</v>
      </c>
      <c r="AE170" s="251">
        <v>0</v>
      </c>
      <c r="AF170" s="251">
        <v>0</v>
      </c>
      <c r="AG170" s="251">
        <v>480</v>
      </c>
      <c r="AH170" s="251">
        <v>0</v>
      </c>
      <c r="AI170" s="250">
        <f t="shared" si="3"/>
        <v>7275</v>
      </c>
    </row>
    <row r="171" spans="1:35" x14ac:dyDescent="0.35">
      <c r="A171" s="5" t="s">
        <v>2314</v>
      </c>
      <c r="B171" s="250">
        <v>0</v>
      </c>
      <c r="C171" s="250">
        <v>0</v>
      </c>
      <c r="D171" s="250">
        <v>0</v>
      </c>
      <c r="E171" s="250">
        <v>0</v>
      </c>
      <c r="F171" s="250">
        <v>0</v>
      </c>
      <c r="G171" s="250">
        <v>0</v>
      </c>
      <c r="H171" s="250">
        <v>0</v>
      </c>
      <c r="I171" s="250">
        <v>0</v>
      </c>
      <c r="J171" s="250">
        <v>0</v>
      </c>
      <c r="K171" s="250">
        <v>0</v>
      </c>
      <c r="L171" s="250">
        <v>0</v>
      </c>
      <c r="M171" s="250">
        <v>0</v>
      </c>
      <c r="N171" s="250">
        <v>0</v>
      </c>
      <c r="O171" s="250">
        <v>0</v>
      </c>
      <c r="P171" s="250">
        <v>0</v>
      </c>
      <c r="Q171" s="250">
        <v>0</v>
      </c>
      <c r="R171" s="250">
        <v>0</v>
      </c>
      <c r="S171" s="250">
        <v>0</v>
      </c>
      <c r="T171" s="250">
        <v>0</v>
      </c>
      <c r="U171" s="250">
        <v>0</v>
      </c>
      <c r="V171" s="250">
        <v>0</v>
      </c>
      <c r="W171" s="250">
        <v>0</v>
      </c>
      <c r="X171" s="250">
        <v>0</v>
      </c>
      <c r="Y171" s="250">
        <v>0</v>
      </c>
      <c r="Z171" s="250">
        <v>0</v>
      </c>
      <c r="AA171" s="250">
        <v>450</v>
      </c>
      <c r="AB171" s="250">
        <v>0</v>
      </c>
      <c r="AC171" s="250">
        <v>0</v>
      </c>
      <c r="AD171" s="250">
        <v>0</v>
      </c>
      <c r="AE171" s="251">
        <v>250</v>
      </c>
      <c r="AF171" s="251">
        <v>0</v>
      </c>
      <c r="AG171" s="251">
        <v>350</v>
      </c>
      <c r="AH171" s="251">
        <v>0</v>
      </c>
      <c r="AI171" s="250">
        <f t="shared" si="3"/>
        <v>1050</v>
      </c>
    </row>
    <row r="172" spans="1:35" x14ac:dyDescent="0.35">
      <c r="A172" s="5" t="s">
        <v>1193</v>
      </c>
      <c r="B172" s="250">
        <v>1000</v>
      </c>
      <c r="C172" s="250">
        <v>0</v>
      </c>
      <c r="D172" s="250">
        <v>0</v>
      </c>
      <c r="E172" s="250">
        <v>0</v>
      </c>
      <c r="F172" s="250">
        <v>0</v>
      </c>
      <c r="G172" s="250">
        <v>1000</v>
      </c>
      <c r="H172" s="250">
        <v>0</v>
      </c>
      <c r="I172" s="250">
        <v>0</v>
      </c>
      <c r="J172" s="250">
        <v>0</v>
      </c>
      <c r="K172" s="250">
        <v>0</v>
      </c>
      <c r="L172" s="250">
        <v>0</v>
      </c>
      <c r="M172" s="250">
        <v>0</v>
      </c>
      <c r="N172" s="250">
        <v>1000</v>
      </c>
      <c r="O172" s="250">
        <v>0</v>
      </c>
      <c r="P172" s="250">
        <v>3000</v>
      </c>
      <c r="Q172" s="250">
        <v>1000</v>
      </c>
      <c r="R172" s="250">
        <v>1000</v>
      </c>
      <c r="S172" s="250">
        <v>2500</v>
      </c>
      <c r="T172" s="250">
        <v>0</v>
      </c>
      <c r="U172" s="250">
        <v>0</v>
      </c>
      <c r="V172" s="250">
        <v>0</v>
      </c>
      <c r="W172" s="250">
        <v>4000</v>
      </c>
      <c r="X172" s="250">
        <v>0</v>
      </c>
      <c r="Y172" s="250">
        <v>0</v>
      </c>
      <c r="Z172" s="250">
        <v>0</v>
      </c>
      <c r="AA172" s="250">
        <v>2000</v>
      </c>
      <c r="AB172" s="250">
        <v>5000</v>
      </c>
      <c r="AC172" s="250">
        <v>0</v>
      </c>
      <c r="AD172" s="250">
        <v>1500</v>
      </c>
      <c r="AE172" s="251">
        <v>1000</v>
      </c>
      <c r="AF172" s="251">
        <v>3000</v>
      </c>
      <c r="AG172" s="251">
        <v>1025</v>
      </c>
      <c r="AH172" s="251">
        <v>0</v>
      </c>
      <c r="AI172" s="250">
        <f t="shared" si="3"/>
        <v>28025</v>
      </c>
    </row>
    <row r="173" spans="1:35" x14ac:dyDescent="0.35">
      <c r="A173" s="5" t="s">
        <v>279</v>
      </c>
      <c r="B173" s="250">
        <v>0</v>
      </c>
      <c r="C173" s="250">
        <v>2850</v>
      </c>
      <c r="D173" s="250">
        <v>0</v>
      </c>
      <c r="E173" s="250">
        <v>0</v>
      </c>
      <c r="F173" s="250">
        <v>0</v>
      </c>
      <c r="G173" s="250">
        <v>0</v>
      </c>
      <c r="H173" s="250">
        <v>0</v>
      </c>
      <c r="I173" s="250">
        <v>0</v>
      </c>
      <c r="J173" s="250">
        <v>0</v>
      </c>
      <c r="K173" s="250">
        <v>0</v>
      </c>
      <c r="L173" s="250">
        <v>0</v>
      </c>
      <c r="M173" s="250">
        <v>0</v>
      </c>
      <c r="N173" s="250">
        <v>0</v>
      </c>
      <c r="O173" s="250">
        <v>0</v>
      </c>
      <c r="P173" s="250">
        <v>0</v>
      </c>
      <c r="Q173" s="250">
        <v>0</v>
      </c>
      <c r="R173" s="250">
        <v>0</v>
      </c>
      <c r="S173" s="250">
        <v>0</v>
      </c>
      <c r="T173" s="250">
        <v>5000</v>
      </c>
      <c r="U173" s="250">
        <v>2500</v>
      </c>
      <c r="V173" s="250">
        <v>0</v>
      </c>
      <c r="W173" s="250">
        <v>0</v>
      </c>
      <c r="X173" s="250">
        <v>0</v>
      </c>
      <c r="Y173" s="250">
        <v>0</v>
      </c>
      <c r="Z173" s="250">
        <v>0</v>
      </c>
      <c r="AA173" s="250">
        <v>0</v>
      </c>
      <c r="AB173" s="250">
        <v>0</v>
      </c>
      <c r="AC173" s="250">
        <v>0</v>
      </c>
      <c r="AD173" s="250">
        <v>0</v>
      </c>
      <c r="AE173" s="251">
        <v>500</v>
      </c>
      <c r="AF173" s="251">
        <v>1500</v>
      </c>
      <c r="AG173" s="251">
        <v>625</v>
      </c>
      <c r="AH173" s="251">
        <v>0</v>
      </c>
      <c r="AI173" s="250">
        <f t="shared" si="3"/>
        <v>12975</v>
      </c>
    </row>
    <row r="174" spans="1:35" x14ac:dyDescent="0.35">
      <c r="A174" s="5" t="s">
        <v>152</v>
      </c>
      <c r="B174" s="250">
        <v>0</v>
      </c>
      <c r="C174" s="250">
        <v>5000</v>
      </c>
      <c r="D174" s="250">
        <v>0</v>
      </c>
      <c r="E174" s="250">
        <v>0</v>
      </c>
      <c r="F174" s="250">
        <v>0</v>
      </c>
      <c r="G174" s="250">
        <v>0</v>
      </c>
      <c r="H174" s="250">
        <v>0</v>
      </c>
      <c r="I174" s="250">
        <v>0</v>
      </c>
      <c r="J174" s="250">
        <v>0</v>
      </c>
      <c r="K174" s="250">
        <v>0</v>
      </c>
      <c r="L174" s="250">
        <v>0</v>
      </c>
      <c r="M174" s="250">
        <v>1795</v>
      </c>
      <c r="N174" s="250">
        <v>0</v>
      </c>
      <c r="O174" s="250">
        <v>0</v>
      </c>
      <c r="P174" s="250">
        <v>0</v>
      </c>
      <c r="Q174" s="250">
        <v>1000</v>
      </c>
      <c r="R174" s="250">
        <v>0</v>
      </c>
      <c r="S174" s="250">
        <v>0</v>
      </c>
      <c r="T174" s="250">
        <v>0</v>
      </c>
      <c r="U174" s="250">
        <v>7500</v>
      </c>
      <c r="V174" s="250">
        <v>0</v>
      </c>
      <c r="W174" s="250">
        <v>750</v>
      </c>
      <c r="X174" s="250">
        <v>0</v>
      </c>
      <c r="Y174" s="250">
        <v>0</v>
      </c>
      <c r="Z174" s="250">
        <v>0</v>
      </c>
      <c r="AA174" s="250">
        <v>0</v>
      </c>
      <c r="AB174" s="250">
        <v>0</v>
      </c>
      <c r="AC174" s="250">
        <v>0</v>
      </c>
      <c r="AD174" s="250">
        <v>0</v>
      </c>
      <c r="AE174" s="251">
        <v>0</v>
      </c>
      <c r="AF174" s="251">
        <v>1500</v>
      </c>
      <c r="AG174" s="251">
        <v>550</v>
      </c>
      <c r="AH174" s="251">
        <v>0</v>
      </c>
      <c r="AI174" s="250">
        <f t="shared" si="3"/>
        <v>18095</v>
      </c>
    </row>
    <row r="175" spans="1:35" x14ac:dyDescent="0.35">
      <c r="A175" s="5" t="s">
        <v>573</v>
      </c>
      <c r="B175" s="250">
        <v>0</v>
      </c>
      <c r="C175" s="250">
        <v>0</v>
      </c>
      <c r="D175" s="250">
        <v>350</v>
      </c>
      <c r="E175" s="250">
        <v>0</v>
      </c>
      <c r="F175" s="250">
        <v>0</v>
      </c>
      <c r="G175" s="250">
        <v>0</v>
      </c>
      <c r="H175" s="250">
        <v>0</v>
      </c>
      <c r="I175" s="250">
        <v>0</v>
      </c>
      <c r="J175" s="250">
        <v>0</v>
      </c>
      <c r="K175" s="250">
        <v>0</v>
      </c>
      <c r="L175" s="250">
        <v>0</v>
      </c>
      <c r="M175" s="250">
        <v>0</v>
      </c>
      <c r="N175" s="250">
        <v>0</v>
      </c>
      <c r="O175" s="250">
        <v>0</v>
      </c>
      <c r="P175" s="250">
        <v>0</v>
      </c>
      <c r="Q175" s="250">
        <v>1000</v>
      </c>
      <c r="R175" s="250">
        <v>0</v>
      </c>
      <c r="S175" s="250">
        <v>0</v>
      </c>
      <c r="T175" s="250">
        <v>0</v>
      </c>
      <c r="U175" s="250">
        <v>0</v>
      </c>
      <c r="V175" s="250">
        <v>0</v>
      </c>
      <c r="W175" s="250">
        <v>0</v>
      </c>
      <c r="X175" s="250">
        <v>0</v>
      </c>
      <c r="Y175" s="250">
        <v>0</v>
      </c>
      <c r="Z175" s="250">
        <v>0</v>
      </c>
      <c r="AA175" s="250">
        <v>0</v>
      </c>
      <c r="AB175" s="250">
        <v>0</v>
      </c>
      <c r="AC175" s="250">
        <v>0</v>
      </c>
      <c r="AD175" s="250">
        <v>0</v>
      </c>
      <c r="AE175" s="251">
        <v>0</v>
      </c>
      <c r="AF175" s="251">
        <v>0</v>
      </c>
      <c r="AG175" s="251">
        <v>350</v>
      </c>
      <c r="AH175" s="251">
        <v>0</v>
      </c>
      <c r="AI175" s="250">
        <f t="shared" si="3"/>
        <v>1700</v>
      </c>
    </row>
    <row r="176" spans="1:35" x14ac:dyDescent="0.35">
      <c r="A176" s="5" t="s">
        <v>2608</v>
      </c>
      <c r="B176" s="250">
        <v>0</v>
      </c>
      <c r="C176" s="250">
        <v>0</v>
      </c>
      <c r="D176" s="250">
        <v>0</v>
      </c>
      <c r="E176" s="250">
        <v>0</v>
      </c>
      <c r="F176" s="250">
        <v>0</v>
      </c>
      <c r="G176" s="250">
        <v>0</v>
      </c>
      <c r="H176" s="250">
        <v>0</v>
      </c>
      <c r="I176" s="250">
        <v>0</v>
      </c>
      <c r="J176" s="250">
        <v>0</v>
      </c>
      <c r="K176" s="250">
        <v>0</v>
      </c>
      <c r="L176" s="250">
        <v>0</v>
      </c>
      <c r="M176" s="250">
        <v>0</v>
      </c>
      <c r="N176" s="250">
        <v>0</v>
      </c>
      <c r="O176" s="250">
        <v>0</v>
      </c>
      <c r="P176" s="250">
        <v>0</v>
      </c>
      <c r="Q176" s="250">
        <v>1000</v>
      </c>
      <c r="R176" s="250">
        <v>0</v>
      </c>
      <c r="S176" s="250">
        <v>0</v>
      </c>
      <c r="T176" s="250">
        <v>0</v>
      </c>
      <c r="U176" s="250">
        <v>0</v>
      </c>
      <c r="V176" s="250">
        <v>0</v>
      </c>
      <c r="W176" s="250">
        <v>0</v>
      </c>
      <c r="X176" s="250">
        <v>0</v>
      </c>
      <c r="Y176" s="250">
        <v>0</v>
      </c>
      <c r="Z176" s="250">
        <v>0</v>
      </c>
      <c r="AA176" s="250">
        <v>0</v>
      </c>
      <c r="AB176" s="250">
        <v>0</v>
      </c>
      <c r="AC176" s="250">
        <v>0</v>
      </c>
      <c r="AD176" s="250">
        <v>0</v>
      </c>
      <c r="AE176" s="251">
        <v>0</v>
      </c>
      <c r="AF176" s="251">
        <v>0</v>
      </c>
      <c r="AG176" s="251">
        <v>860</v>
      </c>
      <c r="AH176" s="251">
        <v>0</v>
      </c>
      <c r="AI176" s="250">
        <f t="shared" si="3"/>
        <v>1860</v>
      </c>
    </row>
    <row r="177" spans="1:35" x14ac:dyDescent="0.35">
      <c r="A177" s="5" t="s">
        <v>222</v>
      </c>
      <c r="B177" s="250">
        <v>0</v>
      </c>
      <c r="C177" s="250">
        <v>2500</v>
      </c>
      <c r="D177" s="250">
        <v>0</v>
      </c>
      <c r="E177" s="250">
        <v>0</v>
      </c>
      <c r="F177" s="250">
        <v>0</v>
      </c>
      <c r="G177" s="250">
        <v>0</v>
      </c>
      <c r="H177" s="250">
        <v>0</v>
      </c>
      <c r="I177" s="250">
        <v>0</v>
      </c>
      <c r="J177" s="250">
        <v>0</v>
      </c>
      <c r="K177" s="250">
        <v>0</v>
      </c>
      <c r="L177" s="250">
        <v>0</v>
      </c>
      <c r="M177" s="250">
        <v>0</v>
      </c>
      <c r="N177" s="250">
        <v>0</v>
      </c>
      <c r="O177" s="250">
        <v>0</v>
      </c>
      <c r="P177" s="250">
        <v>0</v>
      </c>
      <c r="Q177" s="250">
        <v>0</v>
      </c>
      <c r="R177" s="250">
        <v>0</v>
      </c>
      <c r="S177" s="250">
        <v>0</v>
      </c>
      <c r="T177" s="250">
        <v>0</v>
      </c>
      <c r="U177" s="250">
        <v>0</v>
      </c>
      <c r="V177" s="250">
        <v>0</v>
      </c>
      <c r="W177" s="250">
        <v>0</v>
      </c>
      <c r="X177" s="250">
        <v>0</v>
      </c>
      <c r="Y177" s="250">
        <v>0</v>
      </c>
      <c r="Z177" s="250">
        <v>0</v>
      </c>
      <c r="AA177" s="250">
        <v>0</v>
      </c>
      <c r="AB177" s="250">
        <v>0</v>
      </c>
      <c r="AC177" s="250">
        <v>0</v>
      </c>
      <c r="AD177" s="250">
        <v>0</v>
      </c>
      <c r="AE177" s="251">
        <v>0</v>
      </c>
      <c r="AF177" s="251">
        <v>0</v>
      </c>
      <c r="AG177" s="251">
        <v>480</v>
      </c>
      <c r="AH177" s="251">
        <v>0</v>
      </c>
      <c r="AI177" s="250">
        <f t="shared" si="3"/>
        <v>2980</v>
      </c>
    </row>
    <row r="178" spans="1:35" x14ac:dyDescent="0.35">
      <c r="A178" s="5" t="s">
        <v>801</v>
      </c>
      <c r="B178" s="250">
        <v>0</v>
      </c>
      <c r="C178" s="250">
        <v>0</v>
      </c>
      <c r="D178" s="250">
        <v>0</v>
      </c>
      <c r="E178" s="250">
        <v>0</v>
      </c>
      <c r="F178" s="250">
        <v>0</v>
      </c>
      <c r="G178" s="250">
        <v>2500</v>
      </c>
      <c r="H178" s="250">
        <v>0</v>
      </c>
      <c r="I178" s="250">
        <v>0</v>
      </c>
      <c r="J178" s="250">
        <v>0</v>
      </c>
      <c r="K178" s="250">
        <v>0</v>
      </c>
      <c r="L178" s="250">
        <v>0</v>
      </c>
      <c r="M178" s="250">
        <v>0</v>
      </c>
      <c r="N178" s="250">
        <v>0</v>
      </c>
      <c r="O178" s="250">
        <v>0</v>
      </c>
      <c r="P178" s="250">
        <v>0</v>
      </c>
      <c r="Q178" s="250">
        <v>0</v>
      </c>
      <c r="R178" s="250">
        <v>0</v>
      </c>
      <c r="S178" s="250">
        <v>0</v>
      </c>
      <c r="T178" s="250">
        <v>0</v>
      </c>
      <c r="U178" s="250">
        <v>0</v>
      </c>
      <c r="V178" s="250">
        <v>0</v>
      </c>
      <c r="W178" s="250">
        <v>0</v>
      </c>
      <c r="X178" s="250">
        <v>0</v>
      </c>
      <c r="Y178" s="250">
        <v>0</v>
      </c>
      <c r="Z178" s="250">
        <v>0</v>
      </c>
      <c r="AA178" s="250">
        <v>0</v>
      </c>
      <c r="AB178" s="250">
        <v>0</v>
      </c>
      <c r="AC178" s="250">
        <v>0</v>
      </c>
      <c r="AD178" s="250">
        <v>0</v>
      </c>
      <c r="AE178" s="251">
        <v>0</v>
      </c>
      <c r="AF178" s="251">
        <v>0</v>
      </c>
      <c r="AG178" s="251">
        <v>350</v>
      </c>
      <c r="AH178" s="251">
        <v>0</v>
      </c>
      <c r="AI178" s="250">
        <f t="shared" si="3"/>
        <v>2850</v>
      </c>
    </row>
    <row r="179" spans="1:35" x14ac:dyDescent="0.35">
      <c r="A179" s="5" t="s">
        <v>815</v>
      </c>
      <c r="B179" s="250">
        <v>0</v>
      </c>
      <c r="C179" s="250">
        <v>0</v>
      </c>
      <c r="D179" s="250">
        <v>0</v>
      </c>
      <c r="E179" s="250">
        <v>0</v>
      </c>
      <c r="F179" s="250">
        <v>0</v>
      </c>
      <c r="G179" s="250">
        <v>750</v>
      </c>
      <c r="H179" s="250">
        <v>0</v>
      </c>
      <c r="I179" s="250">
        <v>0</v>
      </c>
      <c r="J179" s="250">
        <v>0</v>
      </c>
      <c r="K179" s="250">
        <v>0</v>
      </c>
      <c r="L179" s="250">
        <v>0</v>
      </c>
      <c r="M179" s="250">
        <v>0</v>
      </c>
      <c r="N179" s="250">
        <v>0</v>
      </c>
      <c r="O179" s="250">
        <v>0</v>
      </c>
      <c r="P179" s="250">
        <v>0</v>
      </c>
      <c r="Q179" s="250">
        <v>0</v>
      </c>
      <c r="R179" s="250">
        <v>0</v>
      </c>
      <c r="S179" s="250">
        <v>0</v>
      </c>
      <c r="T179" s="250">
        <v>0</v>
      </c>
      <c r="U179" s="250">
        <v>0</v>
      </c>
      <c r="V179" s="250">
        <v>0</v>
      </c>
      <c r="W179" s="250">
        <v>0</v>
      </c>
      <c r="X179" s="250">
        <v>0</v>
      </c>
      <c r="Y179" s="250">
        <v>0</v>
      </c>
      <c r="Z179" s="250">
        <v>0</v>
      </c>
      <c r="AA179" s="250">
        <v>650</v>
      </c>
      <c r="AB179" s="250">
        <v>3500</v>
      </c>
      <c r="AC179" s="250">
        <v>0</v>
      </c>
      <c r="AD179" s="250">
        <v>0</v>
      </c>
      <c r="AE179" s="251">
        <v>0</v>
      </c>
      <c r="AF179" s="251">
        <v>0</v>
      </c>
      <c r="AG179" s="251">
        <v>650</v>
      </c>
      <c r="AH179" s="251">
        <v>0</v>
      </c>
      <c r="AI179" s="250">
        <f t="shared" si="3"/>
        <v>5550</v>
      </c>
    </row>
    <row r="180" spans="1:35" x14ac:dyDescent="0.35">
      <c r="A180" s="5" t="s">
        <v>1391</v>
      </c>
      <c r="B180" s="250">
        <v>0</v>
      </c>
      <c r="C180" s="250">
        <v>0</v>
      </c>
      <c r="D180" s="250">
        <v>0</v>
      </c>
      <c r="E180" s="250">
        <v>0</v>
      </c>
      <c r="F180" s="250">
        <v>0</v>
      </c>
      <c r="G180" s="250">
        <v>0</v>
      </c>
      <c r="H180" s="250">
        <v>0</v>
      </c>
      <c r="I180" s="250">
        <v>0</v>
      </c>
      <c r="J180" s="250">
        <v>0</v>
      </c>
      <c r="K180" s="250">
        <v>1495</v>
      </c>
      <c r="L180" s="250">
        <v>0</v>
      </c>
      <c r="M180" s="250">
        <v>0</v>
      </c>
      <c r="N180" s="250">
        <v>0</v>
      </c>
      <c r="O180" s="250">
        <v>1000</v>
      </c>
      <c r="P180" s="250">
        <v>0</v>
      </c>
      <c r="Q180" s="250">
        <v>0</v>
      </c>
      <c r="R180" s="250">
        <v>0</v>
      </c>
      <c r="S180" s="250">
        <v>0</v>
      </c>
      <c r="T180" s="250">
        <v>0</v>
      </c>
      <c r="U180" s="250">
        <v>0</v>
      </c>
      <c r="V180" s="250">
        <v>500</v>
      </c>
      <c r="W180" s="250">
        <v>0</v>
      </c>
      <c r="X180" s="250">
        <v>0</v>
      </c>
      <c r="Y180" s="250">
        <v>0</v>
      </c>
      <c r="Z180" s="250">
        <v>0</v>
      </c>
      <c r="AA180" s="250">
        <v>0</v>
      </c>
      <c r="AB180" s="250">
        <v>0</v>
      </c>
      <c r="AC180" s="250">
        <v>0</v>
      </c>
      <c r="AD180" s="250">
        <v>0</v>
      </c>
      <c r="AE180" s="251">
        <v>0</v>
      </c>
      <c r="AF180" s="251">
        <v>0</v>
      </c>
      <c r="AG180" s="251">
        <v>0</v>
      </c>
      <c r="AH180" s="251">
        <v>0</v>
      </c>
      <c r="AI180" s="250">
        <f t="shared" si="3"/>
        <v>2995</v>
      </c>
    </row>
    <row r="181" spans="1:35" x14ac:dyDescent="0.35">
      <c r="A181" s="5" t="s">
        <v>1384</v>
      </c>
      <c r="B181" s="250">
        <v>0</v>
      </c>
      <c r="C181" s="250">
        <v>0</v>
      </c>
      <c r="D181" s="250">
        <v>0</v>
      </c>
      <c r="E181" s="250">
        <v>0</v>
      </c>
      <c r="F181" s="250">
        <v>0</v>
      </c>
      <c r="G181" s="250">
        <v>0</v>
      </c>
      <c r="H181" s="250">
        <v>0</v>
      </c>
      <c r="I181" s="250">
        <v>0</v>
      </c>
      <c r="J181" s="250">
        <v>0</v>
      </c>
      <c r="K181" s="250">
        <v>0</v>
      </c>
      <c r="L181" s="250">
        <v>0</v>
      </c>
      <c r="M181" s="250">
        <v>0</v>
      </c>
      <c r="N181" s="250">
        <v>0</v>
      </c>
      <c r="O181" s="250">
        <v>0</v>
      </c>
      <c r="P181" s="250">
        <v>0</v>
      </c>
      <c r="Q181" s="250">
        <v>0</v>
      </c>
      <c r="R181" s="250">
        <v>0</v>
      </c>
      <c r="S181" s="250">
        <v>0</v>
      </c>
      <c r="T181" s="250">
        <v>0</v>
      </c>
      <c r="U181" s="250">
        <v>0</v>
      </c>
      <c r="V181" s="250">
        <v>0</v>
      </c>
      <c r="W181" s="250">
        <v>2500</v>
      </c>
      <c r="X181" s="250">
        <v>0</v>
      </c>
      <c r="Y181" s="250">
        <v>0</v>
      </c>
      <c r="Z181" s="250">
        <v>0</v>
      </c>
      <c r="AA181" s="250">
        <v>0</v>
      </c>
      <c r="AB181" s="250">
        <v>0</v>
      </c>
      <c r="AC181" s="250">
        <v>0</v>
      </c>
      <c r="AD181" s="250">
        <v>0</v>
      </c>
      <c r="AE181" s="251">
        <v>250</v>
      </c>
      <c r="AF181" s="251">
        <v>1500</v>
      </c>
      <c r="AG181" s="251">
        <v>350</v>
      </c>
      <c r="AH181" s="251">
        <v>0</v>
      </c>
      <c r="AI181" s="250">
        <f t="shared" si="3"/>
        <v>4600</v>
      </c>
    </row>
    <row r="182" spans="1:35" x14ac:dyDescent="0.35">
      <c r="A182" s="5" t="s">
        <v>2151</v>
      </c>
      <c r="B182" s="250">
        <v>0</v>
      </c>
      <c r="C182" s="250">
        <v>0</v>
      </c>
      <c r="D182" s="250">
        <v>0</v>
      </c>
      <c r="E182" s="250">
        <v>0</v>
      </c>
      <c r="F182" s="250">
        <v>0</v>
      </c>
      <c r="G182" s="250">
        <v>0</v>
      </c>
      <c r="H182" s="250">
        <v>0</v>
      </c>
      <c r="I182" s="250">
        <v>0</v>
      </c>
      <c r="J182" s="250">
        <v>0</v>
      </c>
      <c r="K182" s="250">
        <v>0</v>
      </c>
      <c r="L182" s="250">
        <v>0</v>
      </c>
      <c r="M182" s="250">
        <v>0</v>
      </c>
      <c r="N182" s="250">
        <v>0</v>
      </c>
      <c r="O182" s="250">
        <v>0</v>
      </c>
      <c r="P182" s="250">
        <v>0</v>
      </c>
      <c r="Q182" s="250">
        <v>0</v>
      </c>
      <c r="R182" s="250">
        <v>0</v>
      </c>
      <c r="S182" s="250">
        <v>0</v>
      </c>
      <c r="T182" s="250">
        <v>0</v>
      </c>
      <c r="U182" s="250">
        <v>0</v>
      </c>
      <c r="V182" s="250">
        <v>0</v>
      </c>
      <c r="W182" s="250">
        <v>0</v>
      </c>
      <c r="X182" s="250">
        <v>0</v>
      </c>
      <c r="Y182" s="250">
        <v>0</v>
      </c>
      <c r="Z182" s="250">
        <v>10000</v>
      </c>
      <c r="AA182" s="250">
        <v>0</v>
      </c>
      <c r="AB182" s="250">
        <v>0</v>
      </c>
      <c r="AC182" s="250">
        <v>0</v>
      </c>
      <c r="AD182" s="250">
        <v>0</v>
      </c>
      <c r="AE182" s="251">
        <v>0</v>
      </c>
      <c r="AF182" s="251">
        <v>0</v>
      </c>
      <c r="AG182" s="251">
        <v>0</v>
      </c>
      <c r="AH182" s="251">
        <v>0</v>
      </c>
      <c r="AI182" s="250">
        <f t="shared" si="3"/>
        <v>10000</v>
      </c>
    </row>
    <row r="183" spans="1:35" x14ac:dyDescent="0.35">
      <c r="A183" s="5" t="s">
        <v>1462</v>
      </c>
      <c r="B183" s="250">
        <v>0</v>
      </c>
      <c r="C183" s="250">
        <v>0</v>
      </c>
      <c r="D183" s="250">
        <v>0</v>
      </c>
      <c r="E183" s="250">
        <v>0</v>
      </c>
      <c r="F183" s="250">
        <v>0</v>
      </c>
      <c r="G183" s="250">
        <v>0</v>
      </c>
      <c r="H183" s="250">
        <v>0</v>
      </c>
      <c r="I183" s="250">
        <v>0</v>
      </c>
      <c r="J183" s="250">
        <v>0</v>
      </c>
      <c r="K183" s="250">
        <v>0</v>
      </c>
      <c r="L183" s="250">
        <v>2500</v>
      </c>
      <c r="M183" s="250">
        <v>0</v>
      </c>
      <c r="N183" s="250">
        <v>0</v>
      </c>
      <c r="O183" s="250">
        <v>0</v>
      </c>
      <c r="P183" s="250">
        <v>0</v>
      </c>
      <c r="Q183" s="250">
        <v>0</v>
      </c>
      <c r="R183" s="250">
        <v>0</v>
      </c>
      <c r="S183" s="250">
        <v>0</v>
      </c>
      <c r="T183" s="250">
        <v>0</v>
      </c>
      <c r="U183" s="250">
        <v>0</v>
      </c>
      <c r="V183" s="250">
        <v>0</v>
      </c>
      <c r="W183" s="250">
        <v>0</v>
      </c>
      <c r="X183" s="250">
        <v>0</v>
      </c>
      <c r="Y183" s="250">
        <v>0</v>
      </c>
      <c r="Z183" s="250">
        <v>0</v>
      </c>
      <c r="AA183" s="250">
        <v>0</v>
      </c>
      <c r="AB183" s="250">
        <v>0</v>
      </c>
      <c r="AC183" s="250">
        <v>0</v>
      </c>
      <c r="AD183" s="250">
        <v>0</v>
      </c>
      <c r="AE183" s="251">
        <v>0</v>
      </c>
      <c r="AF183" s="251">
        <v>0</v>
      </c>
      <c r="AG183" s="251">
        <v>775</v>
      </c>
      <c r="AH183" s="251">
        <v>0</v>
      </c>
      <c r="AI183" s="250">
        <f t="shared" si="3"/>
        <v>3275</v>
      </c>
    </row>
    <row r="184" spans="1:35" x14ac:dyDescent="0.35">
      <c r="A184" s="5" t="s">
        <v>841</v>
      </c>
      <c r="B184" s="250">
        <v>0</v>
      </c>
      <c r="C184" s="250">
        <v>0</v>
      </c>
      <c r="D184" s="250">
        <v>0</v>
      </c>
      <c r="E184" s="250">
        <v>0</v>
      </c>
      <c r="F184" s="250">
        <v>0</v>
      </c>
      <c r="G184" s="250">
        <v>0</v>
      </c>
      <c r="H184" s="250">
        <v>0</v>
      </c>
      <c r="I184" s="250">
        <v>0</v>
      </c>
      <c r="J184" s="250">
        <v>0</v>
      </c>
      <c r="K184" s="250">
        <v>0</v>
      </c>
      <c r="L184" s="250">
        <v>2000</v>
      </c>
      <c r="M184" s="250">
        <v>0</v>
      </c>
      <c r="N184" s="250">
        <v>0</v>
      </c>
      <c r="O184" s="250">
        <v>0</v>
      </c>
      <c r="P184" s="250">
        <v>0</v>
      </c>
      <c r="Q184" s="250">
        <v>0</v>
      </c>
      <c r="R184" s="250">
        <v>0</v>
      </c>
      <c r="S184" s="250">
        <v>0</v>
      </c>
      <c r="T184" s="250">
        <v>0</v>
      </c>
      <c r="U184" s="250">
        <v>2000</v>
      </c>
      <c r="V184" s="250">
        <v>450</v>
      </c>
      <c r="W184" s="250">
        <v>600</v>
      </c>
      <c r="X184" s="250">
        <v>0</v>
      </c>
      <c r="Y184" s="250">
        <v>0</v>
      </c>
      <c r="Z184" s="250">
        <v>0</v>
      </c>
      <c r="AA184" s="250">
        <v>0</v>
      </c>
      <c r="AB184" s="250">
        <v>0</v>
      </c>
      <c r="AC184" s="250">
        <v>0</v>
      </c>
      <c r="AD184" s="250">
        <v>0</v>
      </c>
      <c r="AE184" s="251">
        <v>250</v>
      </c>
      <c r="AF184" s="251">
        <v>1500</v>
      </c>
      <c r="AG184" s="251">
        <v>480</v>
      </c>
      <c r="AH184" s="251">
        <v>0</v>
      </c>
      <c r="AI184" s="250">
        <f t="shared" si="3"/>
        <v>7280</v>
      </c>
    </row>
    <row r="185" spans="1:35" x14ac:dyDescent="0.35">
      <c r="A185" s="5" t="s">
        <v>1385</v>
      </c>
      <c r="B185" s="250">
        <v>0</v>
      </c>
      <c r="C185" s="250">
        <v>0</v>
      </c>
      <c r="D185" s="250">
        <v>0</v>
      </c>
      <c r="E185" s="250">
        <v>0</v>
      </c>
      <c r="F185" s="250">
        <v>0</v>
      </c>
      <c r="G185" s="250">
        <v>0</v>
      </c>
      <c r="H185" s="250">
        <v>0</v>
      </c>
      <c r="I185" s="250">
        <v>0</v>
      </c>
      <c r="J185" s="250">
        <v>0</v>
      </c>
      <c r="K185" s="250">
        <v>1495</v>
      </c>
      <c r="L185" s="250">
        <v>0</v>
      </c>
      <c r="M185" s="250">
        <v>0</v>
      </c>
      <c r="N185" s="250">
        <v>0</v>
      </c>
      <c r="O185" s="250">
        <v>0</v>
      </c>
      <c r="P185" s="250">
        <v>0</v>
      </c>
      <c r="Q185" s="250">
        <v>0</v>
      </c>
      <c r="R185" s="250">
        <v>0</v>
      </c>
      <c r="S185" s="250">
        <v>0</v>
      </c>
      <c r="T185" s="250">
        <v>0</v>
      </c>
      <c r="U185" s="250">
        <v>0</v>
      </c>
      <c r="V185" s="250">
        <v>0</v>
      </c>
      <c r="W185" s="250">
        <v>0</v>
      </c>
      <c r="X185" s="250">
        <v>0</v>
      </c>
      <c r="Y185" s="250">
        <v>0</v>
      </c>
      <c r="Z185" s="250">
        <v>0</v>
      </c>
      <c r="AA185" s="250">
        <v>0</v>
      </c>
      <c r="AB185" s="250">
        <v>0</v>
      </c>
      <c r="AC185" s="250">
        <v>0</v>
      </c>
      <c r="AD185" s="250">
        <v>0</v>
      </c>
      <c r="AE185" s="251">
        <v>0</v>
      </c>
      <c r="AF185" s="251">
        <v>0</v>
      </c>
      <c r="AG185" s="251">
        <v>0</v>
      </c>
      <c r="AH185" s="251">
        <v>0</v>
      </c>
      <c r="AI185" s="250">
        <f t="shared" si="3"/>
        <v>1495</v>
      </c>
    </row>
    <row r="186" spans="1:35" x14ac:dyDescent="0.35">
      <c r="A186" s="5" t="s">
        <v>1505</v>
      </c>
      <c r="B186" s="250"/>
      <c r="C186" s="250"/>
      <c r="D186" s="250"/>
      <c r="E186" s="250"/>
      <c r="F186" s="250"/>
      <c r="G186" s="250"/>
      <c r="H186" s="250"/>
      <c r="I186" s="250"/>
      <c r="J186" s="250"/>
      <c r="K186" s="250"/>
      <c r="L186" s="250"/>
      <c r="M186" s="250">
        <v>1795</v>
      </c>
      <c r="N186" s="250"/>
      <c r="O186" s="250"/>
      <c r="P186" s="250"/>
      <c r="Q186" s="250"/>
      <c r="R186" s="250"/>
      <c r="S186" s="250"/>
      <c r="T186" s="250"/>
      <c r="U186" s="250"/>
      <c r="V186" s="250"/>
      <c r="W186" s="250"/>
      <c r="X186" s="250"/>
      <c r="Y186" s="250"/>
      <c r="Z186" s="250"/>
      <c r="AA186" s="250"/>
      <c r="AB186" s="250"/>
      <c r="AC186" s="250"/>
      <c r="AD186" s="250"/>
      <c r="AE186" s="251"/>
      <c r="AF186" s="251"/>
      <c r="AG186" s="251"/>
      <c r="AH186" s="251"/>
      <c r="AI186" s="250">
        <f t="shared" si="3"/>
        <v>1795</v>
      </c>
    </row>
    <row r="187" spans="1:35" x14ac:dyDescent="0.35">
      <c r="A187" s="5" t="s">
        <v>200</v>
      </c>
      <c r="B187" s="250">
        <v>0</v>
      </c>
      <c r="C187" s="250">
        <v>4000</v>
      </c>
      <c r="D187" s="250">
        <v>0</v>
      </c>
      <c r="E187" s="250">
        <v>0</v>
      </c>
      <c r="F187" s="250">
        <v>0</v>
      </c>
      <c r="G187" s="250">
        <v>0</v>
      </c>
      <c r="H187" s="250">
        <v>0</v>
      </c>
      <c r="I187" s="250">
        <v>0</v>
      </c>
      <c r="J187" s="250">
        <v>0</v>
      </c>
      <c r="K187" s="250">
        <v>0</v>
      </c>
      <c r="L187" s="250">
        <v>0</v>
      </c>
      <c r="M187" s="250">
        <v>0</v>
      </c>
      <c r="N187" s="250">
        <v>0</v>
      </c>
      <c r="O187" s="250">
        <v>0</v>
      </c>
      <c r="P187" s="250">
        <v>0</v>
      </c>
      <c r="Q187" s="250">
        <v>0</v>
      </c>
      <c r="R187" s="250">
        <v>0</v>
      </c>
      <c r="S187" s="250">
        <v>0</v>
      </c>
      <c r="T187" s="250">
        <v>0</v>
      </c>
      <c r="U187" s="250">
        <v>0</v>
      </c>
      <c r="V187" s="250">
        <v>0</v>
      </c>
      <c r="W187" s="250">
        <v>0</v>
      </c>
      <c r="X187" s="250">
        <v>0</v>
      </c>
      <c r="Y187" s="250">
        <v>0</v>
      </c>
      <c r="Z187" s="250">
        <v>0</v>
      </c>
      <c r="AA187" s="250">
        <v>0</v>
      </c>
      <c r="AB187" s="250">
        <v>0</v>
      </c>
      <c r="AC187" s="250">
        <v>0</v>
      </c>
      <c r="AD187" s="250">
        <v>0</v>
      </c>
      <c r="AE187" s="251">
        <v>750</v>
      </c>
      <c r="AF187" s="251">
        <v>1500</v>
      </c>
      <c r="AG187" s="251">
        <v>350</v>
      </c>
      <c r="AH187" s="251">
        <v>0</v>
      </c>
      <c r="AI187" s="250">
        <f t="shared" si="3"/>
        <v>6600</v>
      </c>
    </row>
    <row r="188" spans="1:35" x14ac:dyDescent="0.35">
      <c r="A188" s="5" t="s">
        <v>2609</v>
      </c>
      <c r="B188" s="250"/>
      <c r="C188" s="250"/>
      <c r="D188" s="250"/>
      <c r="E188" s="250"/>
      <c r="F188" s="250"/>
      <c r="G188" s="250"/>
      <c r="H188" s="250"/>
      <c r="I188" s="250"/>
      <c r="J188" s="250"/>
      <c r="K188" s="250"/>
      <c r="L188" s="250"/>
      <c r="M188" s="250"/>
      <c r="N188" s="250"/>
      <c r="O188" s="250"/>
      <c r="P188" s="250"/>
      <c r="Q188" s="250"/>
      <c r="R188" s="250"/>
      <c r="S188" s="250"/>
      <c r="T188" s="250"/>
      <c r="U188" s="250"/>
      <c r="V188" s="250"/>
      <c r="W188" s="250"/>
      <c r="X188" s="250"/>
      <c r="Y188" s="247">
        <v>1000</v>
      </c>
      <c r="Z188" s="250"/>
      <c r="AA188" s="250"/>
      <c r="AB188" s="250"/>
      <c r="AC188" s="250"/>
      <c r="AD188" s="250"/>
      <c r="AE188" s="251"/>
      <c r="AF188" s="251"/>
      <c r="AG188" s="251"/>
      <c r="AH188" s="251"/>
      <c r="AI188" s="250">
        <f t="shared" si="3"/>
        <v>1000</v>
      </c>
    </row>
    <row r="189" spans="1:35" x14ac:dyDescent="0.35">
      <c r="A189" s="5" t="s">
        <v>2610</v>
      </c>
      <c r="B189" s="250">
        <v>0</v>
      </c>
      <c r="C189" s="250">
        <v>0</v>
      </c>
      <c r="D189" s="250">
        <v>0</v>
      </c>
      <c r="E189" s="250">
        <v>0</v>
      </c>
      <c r="F189" s="250">
        <v>0</v>
      </c>
      <c r="G189" s="250">
        <v>0</v>
      </c>
      <c r="H189" s="250">
        <v>0</v>
      </c>
      <c r="I189" s="250">
        <v>0</v>
      </c>
      <c r="J189" s="250">
        <v>0</v>
      </c>
      <c r="K189" s="250">
        <v>0</v>
      </c>
      <c r="L189" s="250">
        <v>0</v>
      </c>
      <c r="M189" s="250">
        <v>0</v>
      </c>
      <c r="N189" s="250">
        <v>0</v>
      </c>
      <c r="O189" s="250">
        <v>0</v>
      </c>
      <c r="P189" s="250">
        <v>0</v>
      </c>
      <c r="Q189" s="250">
        <v>0</v>
      </c>
      <c r="R189" s="250">
        <v>0</v>
      </c>
      <c r="S189" s="250">
        <v>0</v>
      </c>
      <c r="T189" s="250">
        <v>0</v>
      </c>
      <c r="U189" s="250">
        <v>0</v>
      </c>
      <c r="V189" s="250">
        <v>0</v>
      </c>
      <c r="W189" s="250">
        <v>0</v>
      </c>
      <c r="X189" s="250">
        <v>0</v>
      </c>
      <c r="Y189" s="247">
        <v>0</v>
      </c>
      <c r="Z189" s="250">
        <v>0</v>
      </c>
      <c r="AA189" s="250">
        <v>0</v>
      </c>
      <c r="AB189" s="250">
        <v>0</v>
      </c>
      <c r="AC189" s="250">
        <v>0</v>
      </c>
      <c r="AD189" s="250">
        <v>0</v>
      </c>
      <c r="AE189" s="251">
        <v>500</v>
      </c>
      <c r="AF189" s="251">
        <v>1500</v>
      </c>
      <c r="AG189" s="251">
        <v>430</v>
      </c>
      <c r="AH189" s="251">
        <v>0</v>
      </c>
      <c r="AI189" s="250">
        <f t="shared" si="3"/>
        <v>2430</v>
      </c>
    </row>
    <row r="190" spans="1:35" x14ac:dyDescent="0.35">
      <c r="A190" s="5" t="s">
        <v>2103</v>
      </c>
      <c r="B190" s="250">
        <v>0</v>
      </c>
      <c r="C190" s="250">
        <v>0</v>
      </c>
      <c r="D190" s="250">
        <v>0</v>
      </c>
      <c r="E190" s="250">
        <v>0</v>
      </c>
      <c r="F190" s="250">
        <v>0</v>
      </c>
      <c r="G190" s="250">
        <v>0</v>
      </c>
      <c r="H190" s="250">
        <v>0</v>
      </c>
      <c r="I190" s="250">
        <v>0</v>
      </c>
      <c r="J190" s="250">
        <v>0</v>
      </c>
      <c r="K190" s="250">
        <v>0</v>
      </c>
      <c r="L190" s="250">
        <v>0</v>
      </c>
      <c r="M190" s="250">
        <v>0</v>
      </c>
      <c r="N190" s="250">
        <v>0</v>
      </c>
      <c r="O190" s="250">
        <v>0</v>
      </c>
      <c r="P190" s="250">
        <v>0</v>
      </c>
      <c r="Q190" s="250">
        <v>0</v>
      </c>
      <c r="R190" s="250">
        <v>0</v>
      </c>
      <c r="S190" s="250">
        <v>0</v>
      </c>
      <c r="T190" s="250">
        <v>0</v>
      </c>
      <c r="U190" s="250">
        <v>0</v>
      </c>
      <c r="V190" s="250">
        <v>0</v>
      </c>
      <c r="W190" s="250">
        <v>750</v>
      </c>
      <c r="X190" s="250">
        <v>0</v>
      </c>
      <c r="Y190" s="247">
        <v>0</v>
      </c>
      <c r="Z190" s="250">
        <v>0</v>
      </c>
      <c r="AA190" s="250">
        <v>0</v>
      </c>
      <c r="AB190" s="250">
        <v>0</v>
      </c>
      <c r="AC190" s="250">
        <v>0</v>
      </c>
      <c r="AD190" s="250">
        <v>0</v>
      </c>
      <c r="AE190" s="251">
        <v>0</v>
      </c>
      <c r="AF190" s="251">
        <v>0</v>
      </c>
      <c r="AG190" s="251">
        <v>350</v>
      </c>
      <c r="AH190" s="251">
        <v>0</v>
      </c>
      <c r="AI190" s="250">
        <f t="shared" ref="AI190:AI254" si="4">SUM(B190:AH190)</f>
        <v>1100</v>
      </c>
    </row>
    <row r="191" spans="1:35" x14ac:dyDescent="0.35">
      <c r="A191" s="5" t="s">
        <v>1249</v>
      </c>
      <c r="B191" s="250">
        <v>0</v>
      </c>
      <c r="C191" s="250">
        <v>0</v>
      </c>
      <c r="D191" s="250">
        <v>0</v>
      </c>
      <c r="E191" s="250">
        <v>0</v>
      </c>
      <c r="F191" s="250">
        <v>0</v>
      </c>
      <c r="G191" s="250">
        <v>0</v>
      </c>
      <c r="H191" s="250">
        <v>0</v>
      </c>
      <c r="I191" s="250">
        <v>5000</v>
      </c>
      <c r="J191" s="250">
        <v>0</v>
      </c>
      <c r="K191" s="250">
        <v>0</v>
      </c>
      <c r="L191" s="250">
        <v>0</v>
      </c>
      <c r="M191" s="250">
        <v>0</v>
      </c>
      <c r="N191" s="250">
        <v>0</v>
      </c>
      <c r="O191" s="250">
        <v>0</v>
      </c>
      <c r="P191" s="250">
        <v>0</v>
      </c>
      <c r="Q191" s="250">
        <v>0</v>
      </c>
      <c r="R191" s="250">
        <v>0</v>
      </c>
      <c r="S191" s="250">
        <v>0</v>
      </c>
      <c r="T191" s="250">
        <v>0</v>
      </c>
      <c r="U191" s="250">
        <v>0</v>
      </c>
      <c r="V191" s="250">
        <v>0</v>
      </c>
      <c r="W191" s="250">
        <v>0</v>
      </c>
      <c r="X191" s="250">
        <v>0</v>
      </c>
      <c r="Y191" s="247">
        <v>0</v>
      </c>
      <c r="Z191" s="250">
        <v>0</v>
      </c>
      <c r="AA191" s="250">
        <v>0</v>
      </c>
      <c r="AB191" s="250">
        <v>0</v>
      </c>
      <c r="AC191" s="250">
        <v>0</v>
      </c>
      <c r="AD191" s="250">
        <v>0</v>
      </c>
      <c r="AE191" s="251">
        <v>0</v>
      </c>
      <c r="AF191" s="251">
        <v>0</v>
      </c>
      <c r="AG191" s="251">
        <v>0</v>
      </c>
      <c r="AH191" s="251">
        <v>20000</v>
      </c>
      <c r="AI191" s="250">
        <f t="shared" si="4"/>
        <v>25000</v>
      </c>
    </row>
    <row r="192" spans="1:35" x14ac:dyDescent="0.35">
      <c r="A192" s="5" t="s">
        <v>1093</v>
      </c>
      <c r="B192" s="250">
        <v>0</v>
      </c>
      <c r="C192" s="250">
        <v>0</v>
      </c>
      <c r="D192" s="250">
        <v>0</v>
      </c>
      <c r="E192" s="250">
        <v>0</v>
      </c>
      <c r="F192" s="250">
        <v>0</v>
      </c>
      <c r="G192" s="250">
        <v>0</v>
      </c>
      <c r="H192" s="250">
        <v>0</v>
      </c>
      <c r="I192" s="250">
        <v>0</v>
      </c>
      <c r="J192" s="250">
        <v>0</v>
      </c>
      <c r="K192" s="250">
        <v>0</v>
      </c>
      <c r="L192" s="250">
        <v>0</v>
      </c>
      <c r="M192" s="250">
        <v>0</v>
      </c>
      <c r="N192" s="250">
        <v>0</v>
      </c>
      <c r="O192" s="250">
        <v>0</v>
      </c>
      <c r="P192" s="250">
        <v>0</v>
      </c>
      <c r="Q192" s="250">
        <v>0</v>
      </c>
      <c r="R192" s="250">
        <v>0</v>
      </c>
      <c r="S192" s="250">
        <v>0</v>
      </c>
      <c r="T192" s="250">
        <v>0</v>
      </c>
      <c r="U192" s="250">
        <v>0</v>
      </c>
      <c r="V192" s="250">
        <v>0</v>
      </c>
      <c r="W192" s="250">
        <v>0</v>
      </c>
      <c r="X192" s="250">
        <v>0</v>
      </c>
      <c r="Y192" s="247">
        <v>1000</v>
      </c>
      <c r="Z192" s="250">
        <v>0</v>
      </c>
      <c r="AA192" s="250">
        <v>0</v>
      </c>
      <c r="AB192" s="250">
        <v>0</v>
      </c>
      <c r="AC192" s="250">
        <v>0</v>
      </c>
      <c r="AD192" s="250">
        <v>0</v>
      </c>
      <c r="AE192" s="251">
        <v>0</v>
      </c>
      <c r="AF192" s="251">
        <v>0</v>
      </c>
      <c r="AG192" s="251">
        <v>350</v>
      </c>
      <c r="AH192" s="251">
        <v>0</v>
      </c>
      <c r="AI192" s="250">
        <f t="shared" si="4"/>
        <v>1350</v>
      </c>
    </row>
    <row r="193" spans="1:35" x14ac:dyDescent="0.35">
      <c r="A193" s="5" t="s">
        <v>1607</v>
      </c>
      <c r="B193" s="250">
        <v>0</v>
      </c>
      <c r="C193" s="250">
        <v>0</v>
      </c>
      <c r="D193" s="250">
        <v>0</v>
      </c>
      <c r="E193" s="250">
        <v>0</v>
      </c>
      <c r="F193" s="250">
        <v>0</v>
      </c>
      <c r="G193" s="250">
        <v>0</v>
      </c>
      <c r="H193" s="250">
        <v>0</v>
      </c>
      <c r="I193" s="250">
        <v>0</v>
      </c>
      <c r="J193" s="250">
        <v>0</v>
      </c>
      <c r="K193" s="250">
        <v>0</v>
      </c>
      <c r="L193" s="250">
        <v>0</v>
      </c>
      <c r="M193" s="250">
        <v>0</v>
      </c>
      <c r="N193" s="250">
        <v>0</v>
      </c>
      <c r="O193" s="250">
        <v>0</v>
      </c>
      <c r="P193" s="250">
        <v>0</v>
      </c>
      <c r="Q193" s="250">
        <v>2500</v>
      </c>
      <c r="R193" s="250">
        <v>0</v>
      </c>
      <c r="S193" s="250">
        <v>0</v>
      </c>
      <c r="T193" s="250">
        <v>0</v>
      </c>
      <c r="U193" s="250">
        <v>0</v>
      </c>
      <c r="V193" s="250">
        <v>0</v>
      </c>
      <c r="W193" s="250">
        <v>0</v>
      </c>
      <c r="X193" s="250">
        <v>0</v>
      </c>
      <c r="Y193" s="247">
        <v>0</v>
      </c>
      <c r="Z193" s="250">
        <v>0</v>
      </c>
      <c r="AA193" s="250">
        <v>0</v>
      </c>
      <c r="AB193" s="250">
        <v>0</v>
      </c>
      <c r="AC193" s="250">
        <v>0</v>
      </c>
      <c r="AD193" s="250">
        <v>0</v>
      </c>
      <c r="AE193" s="251">
        <v>0</v>
      </c>
      <c r="AF193" s="251">
        <v>0</v>
      </c>
      <c r="AG193" s="251">
        <v>350</v>
      </c>
      <c r="AH193" s="251">
        <v>0</v>
      </c>
      <c r="AI193" s="250">
        <f t="shared" si="4"/>
        <v>2850</v>
      </c>
    </row>
    <row r="194" spans="1:35" x14ac:dyDescent="0.35">
      <c r="A194" s="5" t="s">
        <v>363</v>
      </c>
      <c r="B194" s="250">
        <v>0</v>
      </c>
      <c r="C194" s="250">
        <v>1500</v>
      </c>
      <c r="D194" s="250">
        <v>0</v>
      </c>
      <c r="E194" s="250">
        <v>0</v>
      </c>
      <c r="F194" s="250">
        <v>0</v>
      </c>
      <c r="G194" s="250">
        <v>0</v>
      </c>
      <c r="H194" s="250">
        <v>2500</v>
      </c>
      <c r="I194" s="250">
        <v>0</v>
      </c>
      <c r="J194" s="250">
        <v>0</v>
      </c>
      <c r="K194" s="250">
        <v>0</v>
      </c>
      <c r="L194" s="250">
        <v>0</v>
      </c>
      <c r="M194" s="250">
        <v>1795</v>
      </c>
      <c r="N194" s="250">
        <v>750</v>
      </c>
      <c r="O194" s="250">
        <v>0</v>
      </c>
      <c r="P194" s="250">
        <v>0</v>
      </c>
      <c r="Q194" s="250">
        <v>0</v>
      </c>
      <c r="R194" s="250">
        <v>0</v>
      </c>
      <c r="S194" s="250">
        <v>0</v>
      </c>
      <c r="T194" s="250">
        <v>0</v>
      </c>
      <c r="U194" s="250">
        <v>0</v>
      </c>
      <c r="V194" s="250">
        <v>0</v>
      </c>
      <c r="W194" s="250">
        <v>0</v>
      </c>
      <c r="X194" s="250">
        <v>0</v>
      </c>
      <c r="Y194" s="250">
        <v>0</v>
      </c>
      <c r="Z194" s="250">
        <v>0</v>
      </c>
      <c r="AA194" s="250">
        <v>0</v>
      </c>
      <c r="AB194" s="250">
        <v>0</v>
      </c>
      <c r="AC194" s="250">
        <v>0</v>
      </c>
      <c r="AD194" s="250">
        <v>0</v>
      </c>
      <c r="AE194" s="251">
        <v>0</v>
      </c>
      <c r="AF194" s="251">
        <v>1500</v>
      </c>
      <c r="AG194" s="251">
        <v>1000</v>
      </c>
      <c r="AH194" s="251">
        <v>0</v>
      </c>
      <c r="AI194" s="250">
        <f t="shared" si="4"/>
        <v>9045</v>
      </c>
    </row>
    <row r="195" spans="1:35" x14ac:dyDescent="0.35">
      <c r="A195" s="5" t="s">
        <v>1021</v>
      </c>
      <c r="B195" s="250">
        <v>0</v>
      </c>
      <c r="C195" s="250">
        <v>0</v>
      </c>
      <c r="D195" s="250">
        <v>0</v>
      </c>
      <c r="E195" s="250">
        <v>0</v>
      </c>
      <c r="F195" s="250">
        <v>350</v>
      </c>
      <c r="G195" s="250">
        <v>0</v>
      </c>
      <c r="H195" s="250">
        <v>0</v>
      </c>
      <c r="I195" s="250">
        <v>0</v>
      </c>
      <c r="J195" s="250">
        <v>0</v>
      </c>
      <c r="K195" s="250">
        <v>0</v>
      </c>
      <c r="L195" s="250">
        <v>0</v>
      </c>
      <c r="M195" s="250">
        <v>0</v>
      </c>
      <c r="N195" s="250">
        <v>0</v>
      </c>
      <c r="O195" s="250">
        <v>0</v>
      </c>
      <c r="P195" s="250">
        <v>0</v>
      </c>
      <c r="Q195" s="250">
        <v>0</v>
      </c>
      <c r="R195" s="250">
        <v>0</v>
      </c>
      <c r="S195" s="250">
        <v>0</v>
      </c>
      <c r="T195" s="250">
        <v>2000</v>
      </c>
      <c r="U195" s="250">
        <v>0</v>
      </c>
      <c r="V195" s="250">
        <v>0</v>
      </c>
      <c r="W195" s="250">
        <v>0</v>
      </c>
      <c r="X195" s="250">
        <v>0</v>
      </c>
      <c r="Y195" s="247">
        <v>1000</v>
      </c>
      <c r="Z195" s="250">
        <v>5000</v>
      </c>
      <c r="AA195" s="250">
        <v>0</v>
      </c>
      <c r="AB195" s="250">
        <v>0</v>
      </c>
      <c r="AC195" s="250">
        <v>1500</v>
      </c>
      <c r="AD195" s="250">
        <v>0</v>
      </c>
      <c r="AE195" s="251">
        <v>0</v>
      </c>
      <c r="AF195" s="251">
        <v>0</v>
      </c>
      <c r="AG195" s="251">
        <v>650</v>
      </c>
      <c r="AH195" s="251">
        <v>0</v>
      </c>
      <c r="AI195" s="250">
        <f t="shared" si="4"/>
        <v>10500</v>
      </c>
    </row>
    <row r="196" spans="1:35" x14ac:dyDescent="0.35">
      <c r="A196" s="5" t="s">
        <v>980</v>
      </c>
      <c r="B196" s="250">
        <v>0</v>
      </c>
      <c r="C196" s="250">
        <v>0</v>
      </c>
      <c r="D196" s="250">
        <v>0</v>
      </c>
      <c r="E196" s="250">
        <v>0</v>
      </c>
      <c r="F196" s="250">
        <v>0</v>
      </c>
      <c r="G196" s="250">
        <v>0</v>
      </c>
      <c r="H196" s="250">
        <v>0</v>
      </c>
      <c r="I196" s="250">
        <v>0</v>
      </c>
      <c r="J196" s="250">
        <v>0</v>
      </c>
      <c r="K196" s="250">
        <v>0</v>
      </c>
      <c r="L196" s="250">
        <v>0</v>
      </c>
      <c r="M196" s="250">
        <v>0</v>
      </c>
      <c r="N196" s="250">
        <v>0</v>
      </c>
      <c r="O196" s="250">
        <v>0</v>
      </c>
      <c r="P196" s="250">
        <v>0</v>
      </c>
      <c r="Q196" s="250">
        <v>0</v>
      </c>
      <c r="R196" s="250">
        <v>0</v>
      </c>
      <c r="S196" s="250">
        <v>0</v>
      </c>
      <c r="T196" s="250">
        <v>0</v>
      </c>
      <c r="U196" s="250">
        <v>0</v>
      </c>
      <c r="V196" s="250">
        <v>0</v>
      </c>
      <c r="W196" s="250">
        <v>0</v>
      </c>
      <c r="X196" s="250">
        <v>0</v>
      </c>
      <c r="Y196" s="247">
        <v>0</v>
      </c>
      <c r="Z196" s="250">
        <v>0</v>
      </c>
      <c r="AA196" s="250">
        <v>500</v>
      </c>
      <c r="AB196" s="250">
        <v>0</v>
      </c>
      <c r="AC196" s="250">
        <v>0</v>
      </c>
      <c r="AD196" s="250">
        <v>0</v>
      </c>
      <c r="AE196" s="251">
        <v>0</v>
      </c>
      <c r="AF196" s="251">
        <v>0</v>
      </c>
      <c r="AG196" s="251">
        <v>430</v>
      </c>
      <c r="AH196" s="251">
        <v>0</v>
      </c>
      <c r="AI196" s="250">
        <f t="shared" si="4"/>
        <v>930</v>
      </c>
    </row>
    <row r="197" spans="1:35" x14ac:dyDescent="0.35">
      <c r="A197" s="5" t="s">
        <v>1418</v>
      </c>
      <c r="B197" s="250">
        <v>0</v>
      </c>
      <c r="C197" s="250">
        <v>0</v>
      </c>
      <c r="D197" s="250">
        <v>0</v>
      </c>
      <c r="E197" s="250">
        <v>0</v>
      </c>
      <c r="F197" s="250">
        <v>0</v>
      </c>
      <c r="G197" s="250">
        <v>0</v>
      </c>
      <c r="H197" s="250">
        <v>0</v>
      </c>
      <c r="I197" s="250">
        <v>0</v>
      </c>
      <c r="J197" s="250">
        <v>0</v>
      </c>
      <c r="K197" s="250">
        <v>1495</v>
      </c>
      <c r="L197" s="250">
        <v>0</v>
      </c>
      <c r="M197" s="250">
        <v>0</v>
      </c>
      <c r="N197" s="250">
        <v>0</v>
      </c>
      <c r="O197" s="250">
        <v>0</v>
      </c>
      <c r="P197" s="250">
        <v>0</v>
      </c>
      <c r="Q197" s="250">
        <v>0</v>
      </c>
      <c r="R197" s="250">
        <v>0</v>
      </c>
      <c r="S197" s="250">
        <v>0</v>
      </c>
      <c r="T197" s="250">
        <v>0</v>
      </c>
      <c r="U197" s="250">
        <v>0</v>
      </c>
      <c r="V197" s="250">
        <v>0</v>
      </c>
      <c r="W197" s="250">
        <v>0</v>
      </c>
      <c r="X197" s="250">
        <v>0</v>
      </c>
      <c r="Y197" s="247">
        <v>0</v>
      </c>
      <c r="Z197" s="250">
        <v>0</v>
      </c>
      <c r="AA197" s="250">
        <v>0</v>
      </c>
      <c r="AB197" s="250">
        <v>0</v>
      </c>
      <c r="AC197" s="250">
        <v>0</v>
      </c>
      <c r="AD197" s="250">
        <v>0</v>
      </c>
      <c r="AE197" s="251">
        <v>0</v>
      </c>
      <c r="AF197" s="251">
        <v>0</v>
      </c>
      <c r="AG197" s="251">
        <v>500</v>
      </c>
      <c r="AH197" s="251">
        <v>0</v>
      </c>
      <c r="AI197" s="250">
        <f t="shared" si="4"/>
        <v>1995</v>
      </c>
    </row>
    <row r="198" spans="1:35" x14ac:dyDescent="0.35">
      <c r="A198" s="5" t="s">
        <v>1501</v>
      </c>
      <c r="B198" s="250"/>
      <c r="C198" s="250"/>
      <c r="D198" s="250"/>
      <c r="E198" s="250"/>
      <c r="F198" s="250"/>
      <c r="G198" s="250"/>
      <c r="H198" s="250"/>
      <c r="I198" s="250"/>
      <c r="J198" s="250"/>
      <c r="K198" s="250"/>
      <c r="L198" s="250"/>
      <c r="M198" s="250">
        <v>1795</v>
      </c>
      <c r="N198" s="250"/>
      <c r="O198" s="250"/>
      <c r="P198" s="250"/>
      <c r="Q198" s="250"/>
      <c r="R198" s="250"/>
      <c r="S198" s="250"/>
      <c r="T198" s="250"/>
      <c r="U198" s="250"/>
      <c r="V198" s="250"/>
      <c r="W198" s="250"/>
      <c r="X198" s="250"/>
      <c r="Y198" s="250"/>
      <c r="Z198" s="250"/>
      <c r="AA198" s="250"/>
      <c r="AB198" s="250"/>
      <c r="AC198" s="250"/>
      <c r="AD198" s="250"/>
      <c r="AE198" s="251"/>
      <c r="AF198" s="251"/>
      <c r="AG198" s="251"/>
      <c r="AH198" s="251"/>
      <c r="AI198" s="250">
        <f t="shared" si="4"/>
        <v>1795</v>
      </c>
    </row>
    <row r="199" spans="1:35" x14ac:dyDescent="0.35">
      <c r="A199" s="5" t="s">
        <v>677</v>
      </c>
      <c r="B199" s="250">
        <v>0</v>
      </c>
      <c r="C199" s="250">
        <v>0</v>
      </c>
      <c r="D199" s="250">
        <v>0</v>
      </c>
      <c r="E199" s="250">
        <v>0</v>
      </c>
      <c r="F199" s="250">
        <v>0</v>
      </c>
      <c r="G199" s="250">
        <v>0</v>
      </c>
      <c r="H199" s="250">
        <v>0</v>
      </c>
      <c r="I199" s="250">
        <v>0</v>
      </c>
      <c r="J199" s="250">
        <v>0</v>
      </c>
      <c r="K199" s="250">
        <v>2000</v>
      </c>
      <c r="L199" s="250">
        <v>0</v>
      </c>
      <c r="M199" s="250">
        <v>0</v>
      </c>
      <c r="N199" s="250">
        <v>0</v>
      </c>
      <c r="O199" s="250">
        <v>0</v>
      </c>
      <c r="P199" s="250">
        <v>0</v>
      </c>
      <c r="Q199" s="250">
        <v>0</v>
      </c>
      <c r="R199" s="250">
        <v>0</v>
      </c>
      <c r="S199" s="250">
        <v>0</v>
      </c>
      <c r="T199" s="250">
        <v>0</v>
      </c>
      <c r="U199" s="250">
        <v>0</v>
      </c>
      <c r="V199" s="250">
        <v>0</v>
      </c>
      <c r="W199" s="250">
        <v>0</v>
      </c>
      <c r="X199" s="250">
        <v>0</v>
      </c>
      <c r="Y199" s="250">
        <v>0</v>
      </c>
      <c r="Z199" s="250">
        <v>0</v>
      </c>
      <c r="AA199" s="250">
        <v>0</v>
      </c>
      <c r="AB199" s="250">
        <v>0</v>
      </c>
      <c r="AC199" s="250">
        <v>0</v>
      </c>
      <c r="AD199" s="250">
        <v>0</v>
      </c>
      <c r="AE199" s="251">
        <v>0</v>
      </c>
      <c r="AF199" s="251">
        <v>1500</v>
      </c>
      <c r="AG199" s="251">
        <v>525</v>
      </c>
      <c r="AH199" s="251">
        <v>0</v>
      </c>
      <c r="AI199" s="250">
        <f t="shared" si="4"/>
        <v>4025</v>
      </c>
    </row>
    <row r="200" spans="1:35" x14ac:dyDescent="0.35">
      <c r="A200" s="5" t="s">
        <v>601</v>
      </c>
      <c r="B200" s="250">
        <v>0</v>
      </c>
      <c r="C200" s="250">
        <v>0</v>
      </c>
      <c r="D200" s="250">
        <v>0</v>
      </c>
      <c r="E200" s="250">
        <v>5000</v>
      </c>
      <c r="F200" s="250">
        <v>0</v>
      </c>
      <c r="G200" s="250">
        <v>0</v>
      </c>
      <c r="H200" s="250">
        <v>0</v>
      </c>
      <c r="I200" s="250">
        <v>0</v>
      </c>
      <c r="J200" s="250">
        <v>0</v>
      </c>
      <c r="K200" s="250">
        <v>0</v>
      </c>
      <c r="L200" s="250">
        <v>0</v>
      </c>
      <c r="M200" s="250">
        <v>0</v>
      </c>
      <c r="N200" s="250">
        <v>0</v>
      </c>
      <c r="O200" s="250">
        <v>0</v>
      </c>
      <c r="P200" s="250">
        <v>0</v>
      </c>
      <c r="Q200" s="250">
        <v>1000</v>
      </c>
      <c r="R200" s="250">
        <v>0</v>
      </c>
      <c r="S200" s="250">
        <v>0</v>
      </c>
      <c r="T200" s="250">
        <v>0</v>
      </c>
      <c r="U200" s="250">
        <v>0</v>
      </c>
      <c r="V200" s="250">
        <v>0</v>
      </c>
      <c r="W200" s="250">
        <v>0</v>
      </c>
      <c r="X200" s="250">
        <v>0</v>
      </c>
      <c r="Y200" s="250">
        <v>0</v>
      </c>
      <c r="Z200" s="250">
        <v>2500</v>
      </c>
      <c r="AA200" s="250">
        <v>0</v>
      </c>
      <c r="AB200" s="250">
        <v>0</v>
      </c>
      <c r="AC200" s="250">
        <v>0</v>
      </c>
      <c r="AD200" s="250">
        <v>0</v>
      </c>
      <c r="AE200" s="251">
        <v>0</v>
      </c>
      <c r="AF200" s="251">
        <v>0</v>
      </c>
      <c r="AG200" s="251">
        <v>350</v>
      </c>
      <c r="AH200" s="251">
        <v>0</v>
      </c>
      <c r="AI200" s="250">
        <f t="shared" si="4"/>
        <v>8850</v>
      </c>
    </row>
    <row r="201" spans="1:35" x14ac:dyDescent="0.35">
      <c r="A201" s="5" t="s">
        <v>866</v>
      </c>
      <c r="B201" s="250">
        <v>0</v>
      </c>
      <c r="C201" s="250">
        <v>0</v>
      </c>
      <c r="D201" s="250">
        <v>0</v>
      </c>
      <c r="E201" s="250">
        <v>0</v>
      </c>
      <c r="F201" s="250">
        <v>0</v>
      </c>
      <c r="G201" s="250">
        <v>750</v>
      </c>
      <c r="H201" s="250">
        <v>0</v>
      </c>
      <c r="I201" s="250">
        <v>0</v>
      </c>
      <c r="J201" s="250">
        <v>0</v>
      </c>
      <c r="K201" s="250">
        <v>0</v>
      </c>
      <c r="L201" s="250">
        <v>0</v>
      </c>
      <c r="M201" s="250">
        <v>0</v>
      </c>
      <c r="N201" s="250">
        <v>0</v>
      </c>
      <c r="O201" s="250">
        <v>0</v>
      </c>
      <c r="P201" s="250">
        <v>0</v>
      </c>
      <c r="Q201" s="250">
        <v>0</v>
      </c>
      <c r="R201" s="250">
        <v>0</v>
      </c>
      <c r="S201" s="250">
        <v>0</v>
      </c>
      <c r="T201" s="250">
        <v>0</v>
      </c>
      <c r="U201" s="250">
        <v>0</v>
      </c>
      <c r="V201" s="250">
        <v>0</v>
      </c>
      <c r="W201" s="250">
        <v>0</v>
      </c>
      <c r="X201" s="250">
        <v>0</v>
      </c>
      <c r="Y201" s="250">
        <v>0</v>
      </c>
      <c r="Z201" s="250">
        <v>0</v>
      </c>
      <c r="AA201" s="250">
        <v>0</v>
      </c>
      <c r="AB201" s="250">
        <v>0</v>
      </c>
      <c r="AC201" s="250">
        <v>0</v>
      </c>
      <c r="AD201" s="250">
        <v>0</v>
      </c>
      <c r="AE201" s="251">
        <v>0</v>
      </c>
      <c r="AF201" s="251">
        <v>0</v>
      </c>
      <c r="AG201" s="251">
        <v>500</v>
      </c>
      <c r="AH201" s="251">
        <v>0</v>
      </c>
      <c r="AI201" s="250">
        <f t="shared" si="4"/>
        <v>1250</v>
      </c>
    </row>
    <row r="202" spans="1:35" x14ac:dyDescent="0.35">
      <c r="A202" s="5" t="s">
        <v>984</v>
      </c>
      <c r="B202" s="250">
        <v>0</v>
      </c>
      <c r="C202" s="250">
        <v>0</v>
      </c>
      <c r="D202" s="250">
        <v>0</v>
      </c>
      <c r="E202" s="250">
        <v>0</v>
      </c>
      <c r="F202" s="250">
        <v>0</v>
      </c>
      <c r="G202" s="250">
        <v>0</v>
      </c>
      <c r="H202" s="250">
        <v>0</v>
      </c>
      <c r="I202" s="250">
        <v>0</v>
      </c>
      <c r="J202" s="250">
        <v>0</v>
      </c>
      <c r="K202" s="250">
        <v>0</v>
      </c>
      <c r="L202" s="250">
        <v>0</v>
      </c>
      <c r="M202" s="250">
        <v>0</v>
      </c>
      <c r="N202" s="250">
        <v>0</v>
      </c>
      <c r="O202" s="250">
        <v>0</v>
      </c>
      <c r="P202" s="250">
        <v>0</v>
      </c>
      <c r="Q202" s="250">
        <v>0</v>
      </c>
      <c r="R202" s="250">
        <v>0</v>
      </c>
      <c r="S202" s="250">
        <v>0</v>
      </c>
      <c r="T202" s="250">
        <v>1000</v>
      </c>
      <c r="U202" s="250">
        <v>0</v>
      </c>
      <c r="V202" s="250">
        <v>0</v>
      </c>
      <c r="W202" s="250">
        <v>0</v>
      </c>
      <c r="X202" s="250">
        <v>0</v>
      </c>
      <c r="Y202" s="247">
        <v>1000</v>
      </c>
      <c r="Z202" s="250">
        <v>0</v>
      </c>
      <c r="AA202" s="250">
        <v>450</v>
      </c>
      <c r="AB202" s="250">
        <v>0</v>
      </c>
      <c r="AC202" s="250">
        <v>0</v>
      </c>
      <c r="AD202" s="250">
        <v>0</v>
      </c>
      <c r="AE202" s="251">
        <v>0</v>
      </c>
      <c r="AF202" s="251">
        <v>0</v>
      </c>
      <c r="AG202" s="251">
        <v>430</v>
      </c>
      <c r="AH202" s="251">
        <v>0</v>
      </c>
      <c r="AI202" s="250">
        <f t="shared" si="4"/>
        <v>2880</v>
      </c>
    </row>
    <row r="203" spans="1:35" x14ac:dyDescent="0.35">
      <c r="A203" s="5" t="s">
        <v>2369</v>
      </c>
      <c r="B203" s="250">
        <v>0</v>
      </c>
      <c r="C203" s="250">
        <v>0</v>
      </c>
      <c r="D203" s="250">
        <v>0</v>
      </c>
      <c r="E203" s="250">
        <v>0</v>
      </c>
      <c r="F203" s="250">
        <v>0</v>
      </c>
      <c r="G203" s="250">
        <v>0</v>
      </c>
      <c r="H203" s="250">
        <v>0</v>
      </c>
      <c r="I203" s="250">
        <v>0</v>
      </c>
      <c r="J203" s="250">
        <v>0</v>
      </c>
      <c r="K203" s="250">
        <v>0</v>
      </c>
      <c r="L203" s="250">
        <v>0</v>
      </c>
      <c r="M203" s="250">
        <v>0</v>
      </c>
      <c r="N203" s="250">
        <v>0</v>
      </c>
      <c r="O203" s="250">
        <v>0</v>
      </c>
      <c r="P203" s="250">
        <v>0</v>
      </c>
      <c r="Q203" s="250">
        <v>0</v>
      </c>
      <c r="R203" s="250">
        <v>0</v>
      </c>
      <c r="S203" s="250">
        <v>0</v>
      </c>
      <c r="T203" s="250">
        <v>0</v>
      </c>
      <c r="U203" s="250">
        <v>0</v>
      </c>
      <c r="V203" s="250">
        <v>0</v>
      </c>
      <c r="W203" s="250">
        <v>0</v>
      </c>
      <c r="X203" s="250">
        <v>0</v>
      </c>
      <c r="Y203" s="250">
        <v>0</v>
      </c>
      <c r="Z203" s="250">
        <v>0</v>
      </c>
      <c r="AA203" s="250">
        <v>0</v>
      </c>
      <c r="AB203" s="250">
        <v>7500</v>
      </c>
      <c r="AC203" s="250">
        <v>0</v>
      </c>
      <c r="AD203" s="250">
        <v>0</v>
      </c>
      <c r="AE203" s="251">
        <v>0</v>
      </c>
      <c r="AF203" s="251">
        <v>0</v>
      </c>
      <c r="AG203" s="251">
        <v>550</v>
      </c>
      <c r="AH203" s="251">
        <v>0</v>
      </c>
      <c r="AI203" s="250">
        <f t="shared" si="4"/>
        <v>8050</v>
      </c>
    </row>
    <row r="204" spans="1:35" x14ac:dyDescent="0.35">
      <c r="A204" s="5" t="s">
        <v>521</v>
      </c>
      <c r="B204" s="250">
        <v>0</v>
      </c>
      <c r="C204" s="250">
        <v>0</v>
      </c>
      <c r="D204" s="250">
        <v>1800</v>
      </c>
      <c r="E204" s="250">
        <v>0</v>
      </c>
      <c r="F204" s="250">
        <v>0</v>
      </c>
      <c r="G204" s="250">
        <v>3500</v>
      </c>
      <c r="H204" s="250">
        <v>0</v>
      </c>
      <c r="I204" s="250">
        <v>0</v>
      </c>
      <c r="J204" s="250">
        <v>0</v>
      </c>
      <c r="K204" s="250">
        <v>0</v>
      </c>
      <c r="L204" s="250">
        <v>0</v>
      </c>
      <c r="M204" s="250">
        <v>0</v>
      </c>
      <c r="N204" s="250">
        <v>0</v>
      </c>
      <c r="O204" s="250">
        <v>0</v>
      </c>
      <c r="P204" s="250">
        <v>0</v>
      </c>
      <c r="Q204" s="250">
        <v>0</v>
      </c>
      <c r="R204" s="250">
        <v>0</v>
      </c>
      <c r="S204" s="250">
        <v>0</v>
      </c>
      <c r="T204" s="250">
        <v>0</v>
      </c>
      <c r="U204" s="250">
        <v>0</v>
      </c>
      <c r="V204" s="250">
        <v>0</v>
      </c>
      <c r="W204" s="250">
        <v>0</v>
      </c>
      <c r="X204" s="250">
        <v>0</v>
      </c>
      <c r="Y204" s="250">
        <v>0</v>
      </c>
      <c r="Z204" s="250">
        <v>0</v>
      </c>
      <c r="AA204" s="250">
        <v>0</v>
      </c>
      <c r="AB204" s="250">
        <v>0</v>
      </c>
      <c r="AC204" s="250">
        <v>0</v>
      </c>
      <c r="AD204" s="250">
        <v>0</v>
      </c>
      <c r="AE204" s="251">
        <v>0</v>
      </c>
      <c r="AF204" s="251">
        <v>0</v>
      </c>
      <c r="AG204" s="251">
        <v>1150</v>
      </c>
      <c r="AH204" s="251">
        <v>0</v>
      </c>
      <c r="AI204" s="250">
        <f t="shared" si="4"/>
        <v>6450</v>
      </c>
    </row>
    <row r="205" spans="1:35" ht="14.25" customHeight="1" x14ac:dyDescent="0.35">
      <c r="A205" s="5" t="s">
        <v>872</v>
      </c>
      <c r="B205" s="250">
        <v>0</v>
      </c>
      <c r="C205" s="250">
        <v>0</v>
      </c>
      <c r="D205" s="250">
        <v>0</v>
      </c>
      <c r="E205" s="250">
        <v>0</v>
      </c>
      <c r="F205" s="250">
        <v>0</v>
      </c>
      <c r="G205" s="250">
        <v>0</v>
      </c>
      <c r="H205" s="250">
        <v>0</v>
      </c>
      <c r="I205" s="250">
        <v>0</v>
      </c>
      <c r="J205" s="250">
        <v>0</v>
      </c>
      <c r="K205" s="250">
        <v>1650</v>
      </c>
      <c r="L205" s="250">
        <v>0</v>
      </c>
      <c r="M205" s="250">
        <v>0</v>
      </c>
      <c r="N205" s="250">
        <v>0</v>
      </c>
      <c r="O205" s="250">
        <v>0</v>
      </c>
      <c r="P205" s="250">
        <v>0</v>
      </c>
      <c r="Q205" s="250"/>
      <c r="R205" s="250">
        <v>0</v>
      </c>
      <c r="S205" s="250">
        <v>0</v>
      </c>
      <c r="T205" s="250">
        <v>0</v>
      </c>
      <c r="U205" s="250">
        <v>0</v>
      </c>
      <c r="V205" s="250"/>
      <c r="W205" s="250">
        <v>1500</v>
      </c>
      <c r="X205" s="250">
        <v>0</v>
      </c>
      <c r="Y205" s="250">
        <v>0</v>
      </c>
      <c r="Z205" s="250">
        <v>0</v>
      </c>
      <c r="AA205" s="250">
        <v>2000</v>
      </c>
      <c r="AB205" s="250">
        <v>0</v>
      </c>
      <c r="AC205" s="250">
        <v>1500</v>
      </c>
      <c r="AD205" s="250">
        <v>0</v>
      </c>
      <c r="AE205" s="251">
        <v>0</v>
      </c>
      <c r="AF205" s="251">
        <v>0</v>
      </c>
      <c r="AG205" s="251">
        <v>350</v>
      </c>
      <c r="AH205" s="251">
        <v>0</v>
      </c>
      <c r="AI205" s="250">
        <f t="shared" si="4"/>
        <v>7000</v>
      </c>
    </row>
    <row r="206" spans="1:35" ht="14.25" customHeight="1" x14ac:dyDescent="0.35">
      <c r="A206" s="5" t="s">
        <v>662</v>
      </c>
      <c r="B206" s="250">
        <v>0</v>
      </c>
      <c r="C206" s="250">
        <v>0</v>
      </c>
      <c r="D206" s="250">
        <v>0</v>
      </c>
      <c r="E206" s="250">
        <v>0</v>
      </c>
      <c r="F206" s="250">
        <v>600</v>
      </c>
      <c r="G206" s="250">
        <v>0</v>
      </c>
      <c r="H206" s="250">
        <v>0</v>
      </c>
      <c r="I206" s="250">
        <v>0</v>
      </c>
      <c r="J206" s="250">
        <v>0</v>
      </c>
      <c r="K206" s="250">
        <v>0</v>
      </c>
      <c r="L206" s="250">
        <v>0</v>
      </c>
      <c r="M206" s="250">
        <v>0</v>
      </c>
      <c r="N206" s="250">
        <v>0</v>
      </c>
      <c r="O206" s="250">
        <v>0</v>
      </c>
      <c r="P206" s="250">
        <v>0</v>
      </c>
      <c r="Q206" s="250">
        <v>0</v>
      </c>
      <c r="R206" s="250">
        <v>0</v>
      </c>
      <c r="S206" s="250">
        <v>1500</v>
      </c>
      <c r="T206" s="250">
        <v>0</v>
      </c>
      <c r="U206" s="250">
        <v>0</v>
      </c>
      <c r="V206" s="250">
        <v>0</v>
      </c>
      <c r="W206" s="250">
        <v>0</v>
      </c>
      <c r="X206" s="250">
        <v>0</v>
      </c>
      <c r="Y206" s="250">
        <v>0</v>
      </c>
      <c r="Z206" s="250">
        <v>0</v>
      </c>
      <c r="AA206" s="250">
        <v>0</v>
      </c>
      <c r="AB206" s="250">
        <v>0</v>
      </c>
      <c r="AC206" s="250">
        <v>0</v>
      </c>
      <c r="AD206" s="250">
        <v>0</v>
      </c>
      <c r="AE206" s="251">
        <v>0</v>
      </c>
      <c r="AF206" s="251">
        <v>1500</v>
      </c>
      <c r="AG206" s="251">
        <v>775</v>
      </c>
      <c r="AH206" s="251">
        <v>0</v>
      </c>
      <c r="AI206" s="250">
        <f t="shared" si="4"/>
        <v>4375</v>
      </c>
    </row>
    <row r="207" spans="1:35" x14ac:dyDescent="0.35">
      <c r="A207" s="5" t="s">
        <v>146</v>
      </c>
      <c r="B207" s="250">
        <v>0</v>
      </c>
      <c r="C207" s="250">
        <v>5000</v>
      </c>
      <c r="D207" s="250">
        <v>0</v>
      </c>
      <c r="E207" s="250">
        <v>0</v>
      </c>
      <c r="F207" s="250">
        <v>0</v>
      </c>
      <c r="G207" s="250">
        <v>0</v>
      </c>
      <c r="H207" s="250">
        <v>0</v>
      </c>
      <c r="I207" s="250">
        <v>1000</v>
      </c>
      <c r="J207" s="250">
        <v>10000</v>
      </c>
      <c r="K207" s="250">
        <v>0</v>
      </c>
      <c r="L207" s="250">
        <v>0</v>
      </c>
      <c r="M207" s="250">
        <v>1795</v>
      </c>
      <c r="N207" s="250">
        <v>2000</v>
      </c>
      <c r="O207" s="250">
        <v>0</v>
      </c>
      <c r="P207" s="250">
        <v>3000</v>
      </c>
      <c r="Q207" s="250">
        <v>2500</v>
      </c>
      <c r="R207" s="250">
        <v>0</v>
      </c>
      <c r="S207" s="250">
        <v>1500</v>
      </c>
      <c r="T207" s="250">
        <v>5000</v>
      </c>
      <c r="U207" s="250">
        <v>2500</v>
      </c>
      <c r="V207" s="250">
        <v>0</v>
      </c>
      <c r="W207" s="250">
        <v>2250</v>
      </c>
      <c r="X207" s="250">
        <v>0</v>
      </c>
      <c r="Y207" s="250">
        <v>0</v>
      </c>
      <c r="Z207" s="250">
        <v>0</v>
      </c>
      <c r="AA207" s="250">
        <v>0</v>
      </c>
      <c r="AB207" s="250">
        <v>0</v>
      </c>
      <c r="AC207" s="250">
        <v>0</v>
      </c>
      <c r="AD207" s="250">
        <v>0</v>
      </c>
      <c r="AE207" s="251">
        <v>500</v>
      </c>
      <c r="AF207" s="251">
        <v>3000</v>
      </c>
      <c r="AG207" s="251">
        <v>1475</v>
      </c>
      <c r="AH207" s="251">
        <v>0</v>
      </c>
      <c r="AI207" s="250">
        <f t="shared" si="4"/>
        <v>41520</v>
      </c>
    </row>
    <row r="208" spans="1:35" x14ac:dyDescent="0.35">
      <c r="A208" s="5" t="s">
        <v>1207</v>
      </c>
      <c r="B208" s="250">
        <v>0</v>
      </c>
      <c r="C208" s="250">
        <v>0</v>
      </c>
      <c r="D208" s="250">
        <v>0</v>
      </c>
      <c r="E208" s="250">
        <v>0</v>
      </c>
      <c r="F208" s="250">
        <v>0</v>
      </c>
      <c r="G208" s="250">
        <v>0</v>
      </c>
      <c r="H208" s="250">
        <v>0</v>
      </c>
      <c r="I208" s="250">
        <v>0</v>
      </c>
      <c r="J208" s="250">
        <v>0</v>
      </c>
      <c r="K208" s="250">
        <v>0</v>
      </c>
      <c r="L208" s="250">
        <v>0</v>
      </c>
      <c r="M208" s="250">
        <v>0</v>
      </c>
      <c r="N208" s="250">
        <v>0</v>
      </c>
      <c r="O208" s="250">
        <v>0</v>
      </c>
      <c r="P208" s="250">
        <v>3000</v>
      </c>
      <c r="Q208" s="250">
        <v>0</v>
      </c>
      <c r="R208" s="250">
        <v>0</v>
      </c>
      <c r="S208" s="250">
        <v>0</v>
      </c>
      <c r="T208" s="250">
        <v>0</v>
      </c>
      <c r="U208" s="250">
        <v>0</v>
      </c>
      <c r="V208" s="250">
        <v>0</v>
      </c>
      <c r="W208" s="250">
        <v>750</v>
      </c>
      <c r="X208" s="250">
        <v>0</v>
      </c>
      <c r="Y208" s="250">
        <v>0</v>
      </c>
      <c r="Z208" s="250">
        <v>0</v>
      </c>
      <c r="AA208" s="250">
        <v>0</v>
      </c>
      <c r="AB208" s="250">
        <v>7500</v>
      </c>
      <c r="AC208" s="250">
        <v>0</v>
      </c>
      <c r="AD208" s="250">
        <v>0</v>
      </c>
      <c r="AE208" s="251">
        <v>1000</v>
      </c>
      <c r="AF208" s="251">
        <v>1500</v>
      </c>
      <c r="AG208" s="251">
        <v>350</v>
      </c>
      <c r="AH208" s="251">
        <v>0</v>
      </c>
      <c r="AI208" s="250">
        <f t="shared" si="4"/>
        <v>14100</v>
      </c>
    </row>
    <row r="209" spans="1:35" x14ac:dyDescent="0.35">
      <c r="A209" s="5" t="s">
        <v>307</v>
      </c>
      <c r="B209" s="250">
        <v>0</v>
      </c>
      <c r="C209" s="250">
        <v>1500</v>
      </c>
      <c r="D209" s="250">
        <v>0</v>
      </c>
      <c r="E209" s="250">
        <v>0</v>
      </c>
      <c r="F209" s="250">
        <v>0</v>
      </c>
      <c r="G209" s="250">
        <v>0</v>
      </c>
      <c r="H209" s="250">
        <v>0</v>
      </c>
      <c r="I209" s="250">
        <v>0</v>
      </c>
      <c r="J209" s="250">
        <v>0</v>
      </c>
      <c r="K209" s="250">
        <v>0</v>
      </c>
      <c r="L209" s="250">
        <v>0</v>
      </c>
      <c r="M209" s="250">
        <v>0</v>
      </c>
      <c r="N209" s="250">
        <v>1250</v>
      </c>
      <c r="O209" s="250">
        <v>0</v>
      </c>
      <c r="P209" s="250">
        <v>0</v>
      </c>
      <c r="Q209" s="250">
        <v>0</v>
      </c>
      <c r="R209" s="250">
        <v>0</v>
      </c>
      <c r="S209" s="250">
        <v>0</v>
      </c>
      <c r="T209" s="250">
        <v>0</v>
      </c>
      <c r="U209" s="250">
        <v>0</v>
      </c>
      <c r="V209" s="250">
        <v>400</v>
      </c>
      <c r="W209" s="250">
        <v>3200</v>
      </c>
      <c r="X209" s="250">
        <v>0</v>
      </c>
      <c r="Y209" s="250">
        <v>0</v>
      </c>
      <c r="Z209" s="250">
        <v>0</v>
      </c>
      <c r="AA209" s="250">
        <v>0</v>
      </c>
      <c r="AB209" s="250">
        <v>0</v>
      </c>
      <c r="AC209" s="250">
        <v>0</v>
      </c>
      <c r="AD209" s="250">
        <v>0</v>
      </c>
      <c r="AE209" s="251">
        <v>0</v>
      </c>
      <c r="AF209" s="251">
        <v>1500</v>
      </c>
      <c r="AG209" s="251">
        <v>1910</v>
      </c>
      <c r="AH209" s="251">
        <v>0</v>
      </c>
      <c r="AI209" s="250">
        <f t="shared" si="4"/>
        <v>9760</v>
      </c>
    </row>
    <row r="210" spans="1:35" x14ac:dyDescent="0.35">
      <c r="A210" s="5" t="s">
        <v>1509</v>
      </c>
      <c r="B210" s="250"/>
      <c r="C210" s="250"/>
      <c r="D210" s="250"/>
      <c r="E210" s="250"/>
      <c r="F210" s="250"/>
      <c r="G210" s="250"/>
      <c r="H210" s="250"/>
      <c r="I210" s="250"/>
      <c r="J210" s="250"/>
      <c r="K210" s="250"/>
      <c r="L210" s="250"/>
      <c r="M210" s="250">
        <v>1795</v>
      </c>
      <c r="N210" s="250"/>
      <c r="O210" s="250"/>
      <c r="P210" s="250"/>
      <c r="Q210" s="250"/>
      <c r="R210" s="250"/>
      <c r="S210" s="250"/>
      <c r="T210" s="250"/>
      <c r="U210" s="250"/>
      <c r="V210" s="250"/>
      <c r="W210" s="250"/>
      <c r="X210" s="250"/>
      <c r="Y210" s="250"/>
      <c r="Z210" s="250"/>
      <c r="AA210" s="250"/>
      <c r="AB210" s="250"/>
      <c r="AC210" s="250"/>
      <c r="AD210" s="250"/>
      <c r="AE210" s="251"/>
      <c r="AF210" s="251"/>
      <c r="AG210" s="251"/>
      <c r="AH210" s="251"/>
      <c r="AI210" s="250">
        <f t="shared" si="4"/>
        <v>1795</v>
      </c>
    </row>
    <row r="211" spans="1:35" x14ac:dyDescent="0.35">
      <c r="A211" s="5" t="s">
        <v>1308</v>
      </c>
      <c r="B211" s="250"/>
      <c r="C211" s="250"/>
      <c r="D211" s="250"/>
      <c r="E211" s="250"/>
      <c r="F211" s="250"/>
      <c r="G211" s="250"/>
      <c r="H211" s="250"/>
      <c r="I211" s="250"/>
      <c r="J211" s="250"/>
      <c r="K211" s="250"/>
      <c r="L211" s="250"/>
      <c r="M211" s="250">
        <v>1795</v>
      </c>
      <c r="N211" s="250"/>
      <c r="O211" s="250"/>
      <c r="P211" s="250"/>
      <c r="Q211" s="250"/>
      <c r="R211" s="250"/>
      <c r="S211" s="250"/>
      <c r="T211" s="250"/>
      <c r="U211" s="250"/>
      <c r="V211" s="250"/>
      <c r="W211" s="250"/>
      <c r="X211" s="250"/>
      <c r="Y211" s="250"/>
      <c r="Z211" s="250"/>
      <c r="AA211" s="250"/>
      <c r="AB211" s="250"/>
      <c r="AC211" s="250"/>
      <c r="AD211" s="250"/>
      <c r="AE211" s="251"/>
      <c r="AF211" s="251"/>
      <c r="AG211" s="251"/>
      <c r="AH211" s="251"/>
      <c r="AI211" s="250">
        <f t="shared" si="4"/>
        <v>1795</v>
      </c>
    </row>
    <row r="212" spans="1:35" x14ac:dyDescent="0.35">
      <c r="A212" s="5" t="s">
        <v>2307</v>
      </c>
      <c r="B212" s="250">
        <v>0</v>
      </c>
      <c r="C212" s="250">
        <v>0</v>
      </c>
      <c r="D212" s="250">
        <v>0</v>
      </c>
      <c r="E212" s="250">
        <v>0</v>
      </c>
      <c r="F212" s="250">
        <v>0</v>
      </c>
      <c r="G212" s="250">
        <v>0</v>
      </c>
      <c r="H212" s="250">
        <v>0</v>
      </c>
      <c r="I212" s="250">
        <v>0</v>
      </c>
      <c r="J212" s="250">
        <v>0</v>
      </c>
      <c r="K212" s="250">
        <v>0</v>
      </c>
      <c r="L212" s="250">
        <v>0</v>
      </c>
      <c r="M212" s="250">
        <v>0</v>
      </c>
      <c r="N212" s="250">
        <v>0</v>
      </c>
      <c r="O212" s="250">
        <v>0</v>
      </c>
      <c r="P212" s="250">
        <v>0</v>
      </c>
      <c r="Q212" s="250">
        <v>0</v>
      </c>
      <c r="R212" s="250">
        <v>0</v>
      </c>
      <c r="S212" s="250">
        <v>0</v>
      </c>
      <c r="T212" s="250">
        <v>0</v>
      </c>
      <c r="U212" s="250">
        <v>0</v>
      </c>
      <c r="V212" s="250">
        <v>0</v>
      </c>
      <c r="W212" s="250">
        <v>0</v>
      </c>
      <c r="X212" s="250">
        <v>0</v>
      </c>
      <c r="Y212" s="250">
        <v>0</v>
      </c>
      <c r="Z212" s="250">
        <v>0</v>
      </c>
      <c r="AA212" s="250">
        <v>450</v>
      </c>
      <c r="AB212" s="250">
        <v>0</v>
      </c>
      <c r="AC212" s="250">
        <v>0</v>
      </c>
      <c r="AD212" s="250">
        <v>0</v>
      </c>
      <c r="AE212" s="251">
        <v>0</v>
      </c>
      <c r="AF212" s="251">
        <v>0</v>
      </c>
      <c r="AG212" s="251">
        <v>480</v>
      </c>
      <c r="AH212" s="251">
        <v>0</v>
      </c>
      <c r="AI212" s="250">
        <f t="shared" si="4"/>
        <v>930</v>
      </c>
    </row>
    <row r="213" spans="1:35" x14ac:dyDescent="0.35">
      <c r="A213" s="5" t="s">
        <v>912</v>
      </c>
      <c r="B213" s="250">
        <v>0</v>
      </c>
      <c r="C213" s="250">
        <v>0</v>
      </c>
      <c r="D213" s="250">
        <v>0</v>
      </c>
      <c r="E213" s="250">
        <v>0</v>
      </c>
      <c r="F213" s="250">
        <v>0</v>
      </c>
      <c r="G213" s="250">
        <v>500</v>
      </c>
      <c r="H213" s="250">
        <v>0</v>
      </c>
      <c r="I213" s="250">
        <v>0</v>
      </c>
      <c r="J213" s="250">
        <v>0</v>
      </c>
      <c r="K213" s="250">
        <v>0</v>
      </c>
      <c r="L213" s="250">
        <v>0</v>
      </c>
      <c r="M213" s="250">
        <v>0</v>
      </c>
      <c r="N213" s="250">
        <v>0</v>
      </c>
      <c r="O213" s="250">
        <v>0</v>
      </c>
      <c r="P213" s="250">
        <v>0</v>
      </c>
      <c r="Q213" s="250">
        <v>0</v>
      </c>
      <c r="R213" s="250">
        <v>0</v>
      </c>
      <c r="S213" s="250">
        <v>0</v>
      </c>
      <c r="T213" s="250">
        <v>0</v>
      </c>
      <c r="U213" s="250">
        <v>0</v>
      </c>
      <c r="V213" s="250">
        <v>0</v>
      </c>
      <c r="W213" s="250">
        <v>0</v>
      </c>
      <c r="X213" s="250">
        <v>0</v>
      </c>
      <c r="Y213" s="250">
        <v>0</v>
      </c>
      <c r="Z213" s="250">
        <v>0</v>
      </c>
      <c r="AA213" s="250">
        <v>0</v>
      </c>
      <c r="AB213" s="250">
        <v>0</v>
      </c>
      <c r="AC213" s="250">
        <v>0</v>
      </c>
      <c r="AD213" s="250">
        <v>1250</v>
      </c>
      <c r="AE213" s="251">
        <v>0</v>
      </c>
      <c r="AF213" s="251">
        <v>0</v>
      </c>
      <c r="AG213" s="251">
        <v>0</v>
      </c>
      <c r="AH213" s="251">
        <v>0</v>
      </c>
      <c r="AI213" s="250">
        <f t="shared" si="4"/>
        <v>1750</v>
      </c>
    </row>
    <row r="214" spans="1:35" x14ac:dyDescent="0.35">
      <c r="A214" s="5" t="s">
        <v>679</v>
      </c>
      <c r="B214" s="250">
        <v>0</v>
      </c>
      <c r="C214" s="250">
        <v>0</v>
      </c>
      <c r="D214" s="250">
        <v>0</v>
      </c>
      <c r="E214" s="250">
        <v>0</v>
      </c>
      <c r="F214" s="250">
        <v>350</v>
      </c>
      <c r="G214" s="250">
        <v>0</v>
      </c>
      <c r="H214" s="250">
        <v>0</v>
      </c>
      <c r="I214" s="250">
        <v>0</v>
      </c>
      <c r="J214" s="250">
        <v>0</v>
      </c>
      <c r="K214" s="250">
        <v>1495</v>
      </c>
      <c r="L214" s="250">
        <v>0</v>
      </c>
      <c r="M214" s="250">
        <v>0</v>
      </c>
      <c r="N214" s="250">
        <v>0</v>
      </c>
      <c r="O214" s="250">
        <v>0</v>
      </c>
      <c r="P214" s="250">
        <v>0</v>
      </c>
      <c r="Q214" s="250">
        <v>0</v>
      </c>
      <c r="R214" s="250">
        <v>0</v>
      </c>
      <c r="S214" s="250">
        <v>0</v>
      </c>
      <c r="T214" s="250">
        <v>0</v>
      </c>
      <c r="U214" s="250">
        <v>0</v>
      </c>
      <c r="V214" s="250">
        <v>0</v>
      </c>
      <c r="W214" s="250">
        <v>0</v>
      </c>
      <c r="X214" s="250">
        <v>0</v>
      </c>
      <c r="Y214" s="250">
        <v>0</v>
      </c>
      <c r="Z214" s="250">
        <v>0</v>
      </c>
      <c r="AA214" s="250">
        <v>0</v>
      </c>
      <c r="AB214" s="250">
        <v>0</v>
      </c>
      <c r="AC214" s="250">
        <v>0</v>
      </c>
      <c r="AD214" s="250">
        <v>0</v>
      </c>
      <c r="AE214" s="251">
        <v>0</v>
      </c>
      <c r="AF214" s="251">
        <v>0</v>
      </c>
      <c r="AG214" s="251">
        <v>350</v>
      </c>
      <c r="AH214" s="251">
        <v>0</v>
      </c>
      <c r="AI214" s="250">
        <f t="shared" si="4"/>
        <v>2195</v>
      </c>
    </row>
    <row r="215" spans="1:35" x14ac:dyDescent="0.35">
      <c r="A215" s="5" t="s">
        <v>1210</v>
      </c>
      <c r="B215" s="250">
        <v>0</v>
      </c>
      <c r="C215" s="250">
        <v>0</v>
      </c>
      <c r="D215" s="250">
        <v>0</v>
      </c>
      <c r="E215" s="250">
        <v>0</v>
      </c>
      <c r="F215" s="250">
        <v>0</v>
      </c>
      <c r="G215" s="250">
        <v>0</v>
      </c>
      <c r="H215" s="250">
        <v>0</v>
      </c>
      <c r="I215" s="250">
        <v>0</v>
      </c>
      <c r="J215" s="250">
        <v>0</v>
      </c>
      <c r="K215" s="250">
        <v>0</v>
      </c>
      <c r="L215" s="250">
        <v>0</v>
      </c>
      <c r="M215" s="250">
        <v>0</v>
      </c>
      <c r="N215" s="250">
        <v>0</v>
      </c>
      <c r="O215" s="250">
        <v>0</v>
      </c>
      <c r="P215" s="250">
        <v>0</v>
      </c>
      <c r="Q215" s="250">
        <v>0</v>
      </c>
      <c r="R215" s="250">
        <v>0</v>
      </c>
      <c r="S215" s="250">
        <v>0</v>
      </c>
      <c r="T215" s="250">
        <v>0</v>
      </c>
      <c r="U215" s="250">
        <v>0</v>
      </c>
      <c r="V215" s="250">
        <v>0</v>
      </c>
      <c r="W215" s="250">
        <v>0</v>
      </c>
      <c r="X215" s="250">
        <v>0</v>
      </c>
      <c r="Y215" s="250">
        <v>0</v>
      </c>
      <c r="Z215" s="250">
        <v>0</v>
      </c>
      <c r="AA215" s="250">
        <v>0</v>
      </c>
      <c r="AB215" s="250">
        <v>0</v>
      </c>
      <c r="AC215" s="250">
        <v>0</v>
      </c>
      <c r="AD215" s="250">
        <v>0</v>
      </c>
      <c r="AE215" s="251">
        <v>0</v>
      </c>
      <c r="AF215" s="251">
        <v>3000</v>
      </c>
      <c r="AG215" s="251">
        <v>480</v>
      </c>
      <c r="AH215" s="251">
        <v>0</v>
      </c>
      <c r="AI215" s="250">
        <f t="shared" si="4"/>
        <v>3480</v>
      </c>
    </row>
    <row r="216" spans="1:35" x14ac:dyDescent="0.35">
      <c r="A216" s="5" t="s">
        <v>2431</v>
      </c>
      <c r="B216" s="250">
        <v>0</v>
      </c>
      <c r="C216" s="250">
        <v>0</v>
      </c>
      <c r="D216" s="250">
        <v>0</v>
      </c>
      <c r="E216" s="250">
        <v>0</v>
      </c>
      <c r="F216" s="250">
        <v>0</v>
      </c>
      <c r="G216" s="250">
        <v>1000</v>
      </c>
      <c r="H216" s="250">
        <v>0</v>
      </c>
      <c r="I216" s="250">
        <v>0</v>
      </c>
      <c r="J216" s="250">
        <v>0</v>
      </c>
      <c r="K216" s="250">
        <v>0</v>
      </c>
      <c r="L216" s="250">
        <v>0</v>
      </c>
      <c r="M216" s="250">
        <v>0</v>
      </c>
      <c r="N216" s="250">
        <v>0</v>
      </c>
      <c r="O216" s="250">
        <v>0</v>
      </c>
      <c r="P216" s="250">
        <v>0</v>
      </c>
      <c r="Q216" s="250"/>
      <c r="R216" s="250">
        <v>0</v>
      </c>
      <c r="S216" s="250">
        <v>0</v>
      </c>
      <c r="T216" s="250">
        <v>0</v>
      </c>
      <c r="U216" s="250">
        <v>0</v>
      </c>
      <c r="V216" s="250">
        <v>0</v>
      </c>
      <c r="W216" s="250">
        <v>5500</v>
      </c>
      <c r="X216" s="250">
        <v>0</v>
      </c>
      <c r="Y216" s="250">
        <v>0</v>
      </c>
      <c r="Z216" s="250">
        <v>0</v>
      </c>
      <c r="AA216" s="250">
        <v>450</v>
      </c>
      <c r="AB216" s="250">
        <v>5000</v>
      </c>
      <c r="AC216" s="250">
        <v>0</v>
      </c>
      <c r="AD216" s="250">
        <v>0</v>
      </c>
      <c r="AE216" s="251">
        <v>0</v>
      </c>
      <c r="AF216" s="251">
        <v>0</v>
      </c>
      <c r="AG216" s="251">
        <v>350</v>
      </c>
      <c r="AH216" s="251">
        <v>0</v>
      </c>
      <c r="AI216" s="250">
        <f t="shared" si="4"/>
        <v>12300</v>
      </c>
    </row>
    <row r="217" spans="1:35" x14ac:dyDescent="0.35">
      <c r="A217" s="5" t="s">
        <v>356</v>
      </c>
      <c r="B217" s="250">
        <v>0</v>
      </c>
      <c r="C217" s="250">
        <v>1500</v>
      </c>
      <c r="D217" s="250">
        <v>350</v>
      </c>
      <c r="E217" s="250">
        <v>0</v>
      </c>
      <c r="F217" s="250">
        <v>350</v>
      </c>
      <c r="G217" s="250">
        <v>0</v>
      </c>
      <c r="H217" s="250">
        <v>175</v>
      </c>
      <c r="I217" s="250">
        <v>1000</v>
      </c>
      <c r="J217" s="250">
        <v>0</v>
      </c>
      <c r="K217" s="250">
        <v>2495</v>
      </c>
      <c r="L217" s="250">
        <v>0</v>
      </c>
      <c r="M217" s="250">
        <v>1795</v>
      </c>
      <c r="N217" s="250">
        <v>0</v>
      </c>
      <c r="O217" s="250">
        <v>0</v>
      </c>
      <c r="P217" s="250">
        <v>0</v>
      </c>
      <c r="Q217" s="250">
        <v>1000</v>
      </c>
      <c r="R217" s="250">
        <v>0</v>
      </c>
      <c r="S217" s="250">
        <v>0</v>
      </c>
      <c r="T217" s="250">
        <v>0</v>
      </c>
      <c r="U217" s="250">
        <v>0</v>
      </c>
      <c r="V217" s="250">
        <v>500</v>
      </c>
      <c r="W217" s="250">
        <v>0</v>
      </c>
      <c r="X217" s="250">
        <v>0</v>
      </c>
      <c r="Y217" s="250">
        <v>0</v>
      </c>
      <c r="Z217" s="250">
        <v>750</v>
      </c>
      <c r="AA217" s="250">
        <v>0</v>
      </c>
      <c r="AB217" s="250">
        <v>0</v>
      </c>
      <c r="AC217" s="250">
        <v>0</v>
      </c>
      <c r="AD217" s="250">
        <v>0</v>
      </c>
      <c r="AE217" s="251">
        <v>500</v>
      </c>
      <c r="AF217" s="251">
        <v>0</v>
      </c>
      <c r="AG217" s="251">
        <v>405</v>
      </c>
      <c r="AH217" s="251">
        <v>0</v>
      </c>
      <c r="AI217" s="250">
        <f t="shared" si="4"/>
        <v>10820</v>
      </c>
    </row>
    <row r="218" spans="1:35" x14ac:dyDescent="0.35">
      <c r="A218" s="5" t="s">
        <v>2382</v>
      </c>
      <c r="B218" s="250">
        <v>0</v>
      </c>
      <c r="C218" s="250">
        <v>0</v>
      </c>
      <c r="D218" s="250">
        <v>0</v>
      </c>
      <c r="E218" s="250">
        <v>0</v>
      </c>
      <c r="F218" s="250">
        <v>0</v>
      </c>
      <c r="G218" s="250">
        <v>0</v>
      </c>
      <c r="H218" s="250">
        <v>0</v>
      </c>
      <c r="I218" s="250">
        <v>0</v>
      </c>
      <c r="J218" s="250">
        <v>0</v>
      </c>
      <c r="K218" s="250">
        <v>0</v>
      </c>
      <c r="L218" s="250">
        <v>0</v>
      </c>
      <c r="M218" s="250">
        <v>0</v>
      </c>
      <c r="N218" s="250">
        <v>0</v>
      </c>
      <c r="O218" s="250">
        <v>0</v>
      </c>
      <c r="P218" s="250">
        <v>0</v>
      </c>
      <c r="Q218" s="250">
        <v>0</v>
      </c>
      <c r="R218" s="250">
        <v>0</v>
      </c>
      <c r="S218" s="250">
        <v>0</v>
      </c>
      <c r="T218" s="250">
        <v>0</v>
      </c>
      <c r="U218" s="250">
        <v>0</v>
      </c>
      <c r="V218" s="250">
        <v>0</v>
      </c>
      <c r="W218" s="250">
        <v>0</v>
      </c>
      <c r="X218" s="250">
        <v>0</v>
      </c>
      <c r="Y218" s="250">
        <v>0</v>
      </c>
      <c r="Z218" s="250">
        <v>0</v>
      </c>
      <c r="AA218" s="250">
        <v>0</v>
      </c>
      <c r="AB218" s="250">
        <v>3500</v>
      </c>
      <c r="AC218" s="250">
        <v>0</v>
      </c>
      <c r="AD218" s="250">
        <v>0</v>
      </c>
      <c r="AE218" s="251">
        <v>0</v>
      </c>
      <c r="AF218" s="251">
        <v>0</v>
      </c>
      <c r="AG218" s="251">
        <v>300</v>
      </c>
      <c r="AH218" s="251">
        <v>0</v>
      </c>
      <c r="AI218" s="250">
        <f t="shared" si="4"/>
        <v>3800</v>
      </c>
    </row>
    <row r="219" spans="1:35" x14ac:dyDescent="0.35">
      <c r="A219" s="5" t="s">
        <v>846</v>
      </c>
      <c r="B219" s="250">
        <v>0</v>
      </c>
      <c r="C219" s="250">
        <v>0</v>
      </c>
      <c r="D219" s="250">
        <v>0</v>
      </c>
      <c r="E219" s="250">
        <v>0</v>
      </c>
      <c r="F219" s="250">
        <v>0</v>
      </c>
      <c r="G219" s="250">
        <v>785</v>
      </c>
      <c r="H219" s="250">
        <v>0</v>
      </c>
      <c r="I219" s="250">
        <v>0</v>
      </c>
      <c r="J219" s="250">
        <v>0</v>
      </c>
      <c r="K219" s="250">
        <v>0</v>
      </c>
      <c r="L219" s="250">
        <v>0</v>
      </c>
      <c r="M219" s="250">
        <v>0</v>
      </c>
      <c r="N219" s="250">
        <v>0</v>
      </c>
      <c r="O219" s="250">
        <v>0</v>
      </c>
      <c r="P219" s="250">
        <v>0</v>
      </c>
      <c r="Q219" s="250">
        <v>0</v>
      </c>
      <c r="R219" s="250">
        <v>0</v>
      </c>
      <c r="S219" s="250">
        <v>0</v>
      </c>
      <c r="T219" s="250">
        <v>0</v>
      </c>
      <c r="U219" s="250">
        <v>0</v>
      </c>
      <c r="V219" s="250">
        <v>0</v>
      </c>
      <c r="W219" s="250">
        <v>0</v>
      </c>
      <c r="X219" s="250">
        <v>0</v>
      </c>
      <c r="Y219" s="250">
        <v>0</v>
      </c>
      <c r="Z219" s="250">
        <v>0</v>
      </c>
      <c r="AA219" s="250">
        <v>0</v>
      </c>
      <c r="AB219" s="250">
        <v>0</v>
      </c>
      <c r="AC219" s="250">
        <v>0</v>
      </c>
      <c r="AD219" s="250">
        <v>0</v>
      </c>
      <c r="AE219" s="251">
        <v>250</v>
      </c>
      <c r="AF219" s="251">
        <v>0</v>
      </c>
      <c r="AG219" s="251">
        <v>350</v>
      </c>
      <c r="AH219" s="251">
        <v>0</v>
      </c>
      <c r="AI219" s="250">
        <f t="shared" si="4"/>
        <v>1385</v>
      </c>
    </row>
    <row r="220" spans="1:35" x14ac:dyDescent="0.35">
      <c r="A220" s="5" t="s">
        <v>1055</v>
      </c>
      <c r="B220" s="250">
        <v>0</v>
      </c>
      <c r="C220" s="250">
        <v>0</v>
      </c>
      <c r="D220" s="250">
        <v>0</v>
      </c>
      <c r="E220" s="250">
        <v>0</v>
      </c>
      <c r="F220" s="250">
        <v>0</v>
      </c>
      <c r="G220" s="250">
        <v>0</v>
      </c>
      <c r="H220" s="250">
        <v>5000</v>
      </c>
      <c r="I220" s="250">
        <v>5000</v>
      </c>
      <c r="J220" s="250">
        <v>0</v>
      </c>
      <c r="K220" s="250">
        <v>0</v>
      </c>
      <c r="L220" s="250">
        <v>0</v>
      </c>
      <c r="M220" s="250">
        <v>0</v>
      </c>
      <c r="N220" s="250">
        <v>0</v>
      </c>
      <c r="O220" s="250">
        <v>0</v>
      </c>
      <c r="P220" s="250">
        <v>3000</v>
      </c>
      <c r="Q220" s="250">
        <v>2500</v>
      </c>
      <c r="R220" s="250">
        <v>5000</v>
      </c>
      <c r="S220" s="250">
        <v>7500</v>
      </c>
      <c r="T220" s="250">
        <v>2500</v>
      </c>
      <c r="U220" s="250">
        <v>4000</v>
      </c>
      <c r="V220" s="250">
        <v>0</v>
      </c>
      <c r="W220" s="250">
        <v>0</v>
      </c>
      <c r="X220" s="250">
        <v>0</v>
      </c>
      <c r="Y220" s="250">
        <v>2500</v>
      </c>
      <c r="Z220" s="250">
        <v>5000</v>
      </c>
      <c r="AA220" s="250">
        <v>0</v>
      </c>
      <c r="AB220" s="250">
        <v>0</v>
      </c>
      <c r="AC220" s="250">
        <v>0</v>
      </c>
      <c r="AD220" s="250">
        <v>4000</v>
      </c>
      <c r="AE220" s="251">
        <v>1000</v>
      </c>
      <c r="AF220" s="251">
        <v>1500</v>
      </c>
      <c r="AG220" s="251">
        <v>1500</v>
      </c>
      <c r="AH220" s="251">
        <v>0</v>
      </c>
      <c r="AI220" s="250">
        <f t="shared" si="4"/>
        <v>50000</v>
      </c>
    </row>
    <row r="221" spans="1:35" x14ac:dyDescent="0.35">
      <c r="A221" s="5" t="s">
        <v>1648</v>
      </c>
      <c r="B221" s="250">
        <v>0</v>
      </c>
      <c r="C221" s="250">
        <v>2850</v>
      </c>
      <c r="D221" s="250">
        <v>0</v>
      </c>
      <c r="E221" s="250">
        <v>0</v>
      </c>
      <c r="F221" s="250">
        <v>0</v>
      </c>
      <c r="G221" s="250">
        <v>2500</v>
      </c>
      <c r="H221" s="250">
        <v>0</v>
      </c>
      <c r="I221" s="250">
        <v>0</v>
      </c>
      <c r="J221" s="250">
        <v>0</v>
      </c>
      <c r="K221" s="250">
        <v>0</v>
      </c>
      <c r="L221" s="250">
        <v>0</v>
      </c>
      <c r="M221" s="250">
        <v>0</v>
      </c>
      <c r="N221" s="250">
        <v>0</v>
      </c>
      <c r="O221" s="250">
        <v>0</v>
      </c>
      <c r="P221" s="250">
        <v>0</v>
      </c>
      <c r="Q221" s="250">
        <v>1000</v>
      </c>
      <c r="R221" s="250">
        <v>0</v>
      </c>
      <c r="S221" s="250">
        <v>0</v>
      </c>
      <c r="T221" s="250">
        <v>0</v>
      </c>
      <c r="U221" s="250">
        <v>0</v>
      </c>
      <c r="V221" s="250">
        <v>0</v>
      </c>
      <c r="W221" s="250">
        <v>0</v>
      </c>
      <c r="X221" s="250">
        <v>0</v>
      </c>
      <c r="Y221" s="250">
        <v>0</v>
      </c>
      <c r="Z221" s="250">
        <v>0</v>
      </c>
      <c r="AA221" s="250">
        <v>0</v>
      </c>
      <c r="AB221" s="250">
        <v>50000</v>
      </c>
      <c r="AC221" s="250">
        <v>0</v>
      </c>
      <c r="AD221" s="250">
        <v>0</v>
      </c>
      <c r="AE221" s="251">
        <v>0</v>
      </c>
      <c r="AF221" s="251">
        <v>0</v>
      </c>
      <c r="AG221" s="251">
        <v>650</v>
      </c>
      <c r="AH221" s="251">
        <v>0</v>
      </c>
      <c r="AI221" s="250">
        <f t="shared" si="4"/>
        <v>57000</v>
      </c>
    </row>
    <row r="222" spans="1:35" x14ac:dyDescent="0.35">
      <c r="A222" s="5" t="s">
        <v>541</v>
      </c>
      <c r="B222" s="250">
        <v>0</v>
      </c>
      <c r="C222" s="250">
        <v>0</v>
      </c>
      <c r="D222" s="250">
        <v>0</v>
      </c>
      <c r="E222" s="250">
        <v>0</v>
      </c>
      <c r="F222" s="250">
        <v>0</v>
      </c>
      <c r="G222" s="250">
        <v>0</v>
      </c>
      <c r="H222" s="250">
        <v>0</v>
      </c>
      <c r="I222" s="250">
        <v>0</v>
      </c>
      <c r="J222" s="250">
        <v>0</v>
      </c>
      <c r="K222" s="250">
        <v>0</v>
      </c>
      <c r="L222" s="250">
        <v>0</v>
      </c>
      <c r="M222" s="250">
        <v>0</v>
      </c>
      <c r="N222" s="250">
        <v>0</v>
      </c>
      <c r="O222" s="250">
        <v>0</v>
      </c>
      <c r="P222" s="250">
        <v>0</v>
      </c>
      <c r="Q222" s="250">
        <v>0</v>
      </c>
      <c r="R222" s="250">
        <v>0</v>
      </c>
      <c r="S222" s="250">
        <v>0</v>
      </c>
      <c r="T222" s="250">
        <v>0</v>
      </c>
      <c r="U222" s="250">
        <v>0</v>
      </c>
      <c r="V222" s="250">
        <v>0</v>
      </c>
      <c r="W222" s="250">
        <v>0</v>
      </c>
      <c r="X222" s="250">
        <v>0</v>
      </c>
      <c r="Y222" s="250">
        <v>0</v>
      </c>
      <c r="Z222" s="250">
        <v>0</v>
      </c>
      <c r="AA222" s="250">
        <v>0</v>
      </c>
      <c r="AB222" s="250">
        <v>10000</v>
      </c>
      <c r="AC222" s="250">
        <v>0</v>
      </c>
      <c r="AD222" s="250">
        <v>0</v>
      </c>
      <c r="AE222" s="251">
        <v>0</v>
      </c>
      <c r="AF222" s="251">
        <v>0</v>
      </c>
      <c r="AG222" s="251">
        <v>480</v>
      </c>
      <c r="AH222" s="251">
        <v>0</v>
      </c>
      <c r="AI222" s="250">
        <f t="shared" si="4"/>
        <v>10480</v>
      </c>
    </row>
    <row r="223" spans="1:35" x14ac:dyDescent="0.35">
      <c r="A223" s="5" t="s">
        <v>680</v>
      </c>
      <c r="B223" s="250"/>
      <c r="C223" s="250"/>
      <c r="D223" s="250"/>
      <c r="E223" s="250"/>
      <c r="F223" s="250"/>
      <c r="G223" s="250"/>
      <c r="H223" s="250"/>
      <c r="I223" s="250"/>
      <c r="J223" s="250"/>
      <c r="K223" s="250"/>
      <c r="L223" s="250"/>
      <c r="M223" s="250"/>
      <c r="N223" s="250"/>
      <c r="O223" s="250"/>
      <c r="P223" s="250"/>
      <c r="Q223" s="250"/>
      <c r="R223" s="250"/>
      <c r="S223" s="250"/>
      <c r="T223" s="250"/>
      <c r="U223" s="250"/>
      <c r="V223" s="250"/>
      <c r="W223" s="250"/>
      <c r="X223" s="250"/>
      <c r="Y223" s="250"/>
      <c r="Z223" s="250"/>
      <c r="AA223" s="250"/>
      <c r="AB223" s="250"/>
      <c r="AC223" s="250"/>
      <c r="AD223" s="250"/>
      <c r="AE223" s="251"/>
      <c r="AF223" s="251"/>
      <c r="AG223" s="251">
        <v>1075</v>
      </c>
      <c r="AH223" s="251">
        <v>0</v>
      </c>
      <c r="AI223" s="250">
        <f t="shared" si="4"/>
        <v>1075</v>
      </c>
    </row>
    <row r="224" spans="1:35" x14ac:dyDescent="0.35">
      <c r="A224" s="5" t="s">
        <v>2411</v>
      </c>
      <c r="B224" s="250">
        <v>0</v>
      </c>
      <c r="C224" s="250">
        <v>0</v>
      </c>
      <c r="D224" s="250">
        <v>0</v>
      </c>
      <c r="E224" s="250">
        <v>0</v>
      </c>
      <c r="F224" s="250">
        <v>0</v>
      </c>
      <c r="G224" s="250">
        <v>0</v>
      </c>
      <c r="H224" s="250">
        <v>0</v>
      </c>
      <c r="I224" s="250">
        <v>0</v>
      </c>
      <c r="J224" s="250">
        <v>0</v>
      </c>
      <c r="K224" s="250">
        <v>0</v>
      </c>
      <c r="L224" s="250">
        <v>0</v>
      </c>
      <c r="M224" s="250">
        <v>0</v>
      </c>
      <c r="N224" s="250">
        <v>0</v>
      </c>
      <c r="O224" s="250">
        <v>0</v>
      </c>
      <c r="P224" s="250">
        <v>0</v>
      </c>
      <c r="Q224" s="250">
        <v>0</v>
      </c>
      <c r="R224" s="250">
        <v>0</v>
      </c>
      <c r="S224" s="250">
        <v>0</v>
      </c>
      <c r="T224" s="250">
        <v>0</v>
      </c>
      <c r="U224" s="250">
        <v>0</v>
      </c>
      <c r="V224" s="250">
        <v>0</v>
      </c>
      <c r="W224" s="250">
        <v>0</v>
      </c>
      <c r="X224" s="250">
        <v>0</v>
      </c>
      <c r="Y224" s="250">
        <v>0</v>
      </c>
      <c r="Z224" s="250">
        <v>0</v>
      </c>
      <c r="AA224" s="250">
        <v>0</v>
      </c>
      <c r="AB224" s="250">
        <v>3500</v>
      </c>
      <c r="AC224" s="250">
        <v>0</v>
      </c>
      <c r="AD224" s="250">
        <v>0</v>
      </c>
      <c r="AE224" s="251">
        <v>0</v>
      </c>
      <c r="AF224" s="251">
        <v>0</v>
      </c>
      <c r="AG224" s="251">
        <v>0</v>
      </c>
      <c r="AH224" s="251">
        <v>0</v>
      </c>
      <c r="AI224" s="250">
        <f t="shared" si="4"/>
        <v>3500</v>
      </c>
    </row>
    <row r="225" spans="1:35" x14ac:dyDescent="0.35">
      <c r="A225" s="5" t="s">
        <v>377</v>
      </c>
      <c r="B225" s="250">
        <v>0</v>
      </c>
      <c r="C225" s="250">
        <v>1500</v>
      </c>
      <c r="D225" s="250">
        <v>0</v>
      </c>
      <c r="E225" s="250">
        <v>0</v>
      </c>
      <c r="F225" s="250">
        <v>0</v>
      </c>
      <c r="G225" s="250">
        <v>0</v>
      </c>
      <c r="H225" s="250">
        <v>0</v>
      </c>
      <c r="I225" s="250">
        <v>0</v>
      </c>
      <c r="J225" s="250">
        <v>0</v>
      </c>
      <c r="K225" s="250">
        <v>0</v>
      </c>
      <c r="L225" s="250">
        <v>0</v>
      </c>
      <c r="M225" s="250">
        <v>0</v>
      </c>
      <c r="N225" s="250">
        <v>0</v>
      </c>
      <c r="O225" s="250">
        <v>0</v>
      </c>
      <c r="P225" s="250">
        <v>0</v>
      </c>
      <c r="Q225" s="250">
        <v>0</v>
      </c>
      <c r="R225" s="250">
        <v>0</v>
      </c>
      <c r="S225" s="250">
        <v>0</v>
      </c>
      <c r="T225" s="250">
        <v>0</v>
      </c>
      <c r="U225" s="250">
        <v>0</v>
      </c>
      <c r="V225" s="250">
        <v>0</v>
      </c>
      <c r="W225" s="250">
        <v>0</v>
      </c>
      <c r="X225" s="250">
        <v>0</v>
      </c>
      <c r="Y225" s="250">
        <v>0</v>
      </c>
      <c r="Z225" s="250">
        <v>0</v>
      </c>
      <c r="AA225" s="250">
        <v>0</v>
      </c>
      <c r="AB225" s="250">
        <v>0</v>
      </c>
      <c r="AC225" s="250">
        <v>0</v>
      </c>
      <c r="AD225" s="250">
        <v>0</v>
      </c>
      <c r="AE225" s="251">
        <v>0</v>
      </c>
      <c r="AF225" s="251">
        <v>0</v>
      </c>
      <c r="AG225" s="251">
        <v>500</v>
      </c>
      <c r="AH225" s="251">
        <v>0</v>
      </c>
      <c r="AI225" s="250">
        <f t="shared" si="4"/>
        <v>2000</v>
      </c>
    </row>
    <row r="226" spans="1:35" x14ac:dyDescent="0.35">
      <c r="A226" s="5" t="s">
        <v>896</v>
      </c>
      <c r="B226" s="250">
        <v>0</v>
      </c>
      <c r="C226" s="250">
        <v>0</v>
      </c>
      <c r="D226" s="250">
        <v>0</v>
      </c>
      <c r="E226" s="250">
        <v>0</v>
      </c>
      <c r="F226" s="250">
        <v>0</v>
      </c>
      <c r="G226" s="250">
        <v>500</v>
      </c>
      <c r="H226" s="250">
        <v>0</v>
      </c>
      <c r="I226" s="250">
        <v>0</v>
      </c>
      <c r="J226" s="250">
        <v>0</v>
      </c>
      <c r="K226" s="250">
        <v>0</v>
      </c>
      <c r="L226" s="250">
        <v>0</v>
      </c>
      <c r="M226" s="250">
        <v>0</v>
      </c>
      <c r="N226" s="250">
        <v>0</v>
      </c>
      <c r="O226" s="250">
        <v>0</v>
      </c>
      <c r="P226" s="250">
        <v>0</v>
      </c>
      <c r="Q226" s="250">
        <v>0</v>
      </c>
      <c r="R226" s="250">
        <v>0</v>
      </c>
      <c r="S226" s="250">
        <v>0</v>
      </c>
      <c r="T226" s="250">
        <v>0</v>
      </c>
      <c r="U226" s="250">
        <v>0</v>
      </c>
      <c r="V226" s="250">
        <v>0</v>
      </c>
      <c r="W226" s="250">
        <v>0</v>
      </c>
      <c r="X226" s="250">
        <v>0</v>
      </c>
      <c r="Y226" s="250">
        <v>0</v>
      </c>
      <c r="Z226" s="250">
        <v>500</v>
      </c>
      <c r="AA226" s="250">
        <v>0</v>
      </c>
      <c r="AB226" s="250">
        <v>0</v>
      </c>
      <c r="AC226" s="250">
        <v>0</v>
      </c>
      <c r="AD226" s="250">
        <v>0</v>
      </c>
      <c r="AE226" s="251">
        <v>0</v>
      </c>
      <c r="AF226" s="251">
        <v>0</v>
      </c>
      <c r="AG226" s="251">
        <v>775</v>
      </c>
      <c r="AH226" s="251">
        <v>0</v>
      </c>
      <c r="AI226" s="250">
        <f t="shared" si="4"/>
        <v>1775</v>
      </c>
    </row>
    <row r="227" spans="1:35" x14ac:dyDescent="0.35">
      <c r="A227" s="5" t="s">
        <v>971</v>
      </c>
      <c r="B227" s="250">
        <v>0</v>
      </c>
      <c r="C227" s="250">
        <v>0</v>
      </c>
      <c r="D227" s="250">
        <v>0</v>
      </c>
      <c r="E227" s="250">
        <v>0</v>
      </c>
      <c r="F227" s="250">
        <v>0</v>
      </c>
      <c r="G227" s="250">
        <v>530</v>
      </c>
      <c r="H227" s="250">
        <v>0</v>
      </c>
      <c r="I227" s="250">
        <v>0</v>
      </c>
      <c r="J227" s="250">
        <v>0</v>
      </c>
      <c r="K227" s="250">
        <v>0</v>
      </c>
      <c r="L227" s="250">
        <v>0</v>
      </c>
      <c r="M227" s="250">
        <v>0</v>
      </c>
      <c r="N227" s="250">
        <v>0</v>
      </c>
      <c r="O227" s="250">
        <v>0</v>
      </c>
      <c r="P227" s="250">
        <v>0</v>
      </c>
      <c r="Q227" s="250">
        <v>0</v>
      </c>
      <c r="R227" s="250">
        <v>0</v>
      </c>
      <c r="S227" s="250">
        <v>0</v>
      </c>
      <c r="T227" s="250">
        <v>0</v>
      </c>
      <c r="U227" s="250">
        <v>0</v>
      </c>
      <c r="V227" s="250">
        <v>0</v>
      </c>
      <c r="W227" s="250">
        <v>0</v>
      </c>
      <c r="X227" s="250">
        <v>0</v>
      </c>
      <c r="Y227" s="250">
        <v>0</v>
      </c>
      <c r="Z227" s="250">
        <v>0</v>
      </c>
      <c r="AA227" s="250">
        <v>0</v>
      </c>
      <c r="AB227" s="250">
        <v>0</v>
      </c>
      <c r="AC227" s="250">
        <v>0</v>
      </c>
      <c r="AD227" s="250">
        <v>0</v>
      </c>
      <c r="AE227" s="251">
        <v>0</v>
      </c>
      <c r="AF227" s="251">
        <v>0</v>
      </c>
      <c r="AG227" s="251">
        <v>350</v>
      </c>
      <c r="AH227" s="251">
        <v>0</v>
      </c>
      <c r="AI227" s="250">
        <f t="shared" si="4"/>
        <v>880</v>
      </c>
    </row>
    <row r="228" spans="1:35" x14ac:dyDescent="0.35">
      <c r="A228" s="5" t="s">
        <v>1304</v>
      </c>
      <c r="B228" s="250">
        <v>0</v>
      </c>
      <c r="C228" s="250">
        <v>0</v>
      </c>
      <c r="D228" s="250">
        <v>0</v>
      </c>
      <c r="E228" s="250">
        <v>0</v>
      </c>
      <c r="F228" s="250">
        <v>0</v>
      </c>
      <c r="G228" s="250">
        <v>0</v>
      </c>
      <c r="H228" s="250">
        <v>0</v>
      </c>
      <c r="I228" s="250">
        <v>0</v>
      </c>
      <c r="J228" s="250">
        <v>0</v>
      </c>
      <c r="K228" s="250">
        <v>0</v>
      </c>
      <c r="L228" s="250">
        <v>0</v>
      </c>
      <c r="M228" s="250">
        <v>0</v>
      </c>
      <c r="N228" s="250">
        <v>0</v>
      </c>
      <c r="O228" s="250">
        <v>0</v>
      </c>
      <c r="P228" s="250">
        <v>0</v>
      </c>
      <c r="Q228" s="250">
        <v>0</v>
      </c>
      <c r="R228" s="250">
        <v>0</v>
      </c>
      <c r="S228" s="250">
        <v>0</v>
      </c>
      <c r="T228" s="250">
        <v>0</v>
      </c>
      <c r="U228" s="250">
        <v>0</v>
      </c>
      <c r="V228" s="250">
        <v>0</v>
      </c>
      <c r="W228" s="250">
        <v>0</v>
      </c>
      <c r="X228" s="250">
        <v>0</v>
      </c>
      <c r="Y228" s="250">
        <v>0</v>
      </c>
      <c r="Z228" s="250">
        <v>0</v>
      </c>
      <c r="AA228" s="250">
        <v>0</v>
      </c>
      <c r="AB228" s="250">
        <v>0</v>
      </c>
      <c r="AC228" s="250">
        <v>0</v>
      </c>
      <c r="AD228" s="250">
        <v>255</v>
      </c>
      <c r="AE228" s="251">
        <v>0</v>
      </c>
      <c r="AF228" s="251">
        <v>0</v>
      </c>
      <c r="AG228" s="251"/>
      <c r="AH228" s="251"/>
      <c r="AI228" s="250"/>
    </row>
    <row r="229" spans="1:35" x14ac:dyDescent="0.35">
      <c r="A229" s="5" t="s">
        <v>2611</v>
      </c>
      <c r="B229" s="250">
        <v>0</v>
      </c>
      <c r="C229" s="250">
        <v>0</v>
      </c>
      <c r="D229" s="250">
        <v>0</v>
      </c>
      <c r="E229" s="250">
        <v>0</v>
      </c>
      <c r="F229" s="250">
        <v>0</v>
      </c>
      <c r="G229" s="250">
        <v>0</v>
      </c>
      <c r="H229" s="250">
        <v>0</v>
      </c>
      <c r="I229" s="250">
        <v>0</v>
      </c>
      <c r="J229" s="250">
        <v>0</v>
      </c>
      <c r="K229" s="250">
        <v>0</v>
      </c>
      <c r="L229" s="250">
        <v>0</v>
      </c>
      <c r="M229" s="250">
        <v>0</v>
      </c>
      <c r="N229" s="250">
        <v>0</v>
      </c>
      <c r="O229" s="250">
        <v>0</v>
      </c>
      <c r="P229" s="250">
        <v>0</v>
      </c>
      <c r="Q229" s="250">
        <v>0</v>
      </c>
      <c r="R229" s="250">
        <v>0</v>
      </c>
      <c r="S229" s="250">
        <v>0</v>
      </c>
      <c r="T229" s="250">
        <v>0</v>
      </c>
      <c r="U229" s="250">
        <v>0</v>
      </c>
      <c r="V229" s="250">
        <v>0</v>
      </c>
      <c r="W229" s="250">
        <v>0</v>
      </c>
      <c r="X229" s="250">
        <v>0</v>
      </c>
      <c r="Y229" s="250">
        <v>0</v>
      </c>
      <c r="Z229" s="250">
        <v>0</v>
      </c>
      <c r="AA229" s="250">
        <v>450</v>
      </c>
      <c r="AB229" s="250">
        <v>0</v>
      </c>
      <c r="AC229" s="250">
        <v>0</v>
      </c>
      <c r="AD229" s="250">
        <v>0</v>
      </c>
      <c r="AE229" s="251">
        <v>0</v>
      </c>
      <c r="AF229" s="251">
        <v>0</v>
      </c>
      <c r="AG229" s="251">
        <v>350</v>
      </c>
      <c r="AH229" s="251">
        <v>0</v>
      </c>
      <c r="AI229" s="250">
        <f t="shared" si="4"/>
        <v>800</v>
      </c>
    </row>
    <row r="230" spans="1:35" x14ac:dyDescent="0.35">
      <c r="A230" s="5" t="s">
        <v>1918</v>
      </c>
      <c r="B230" s="250">
        <v>0</v>
      </c>
      <c r="C230" s="250">
        <v>0</v>
      </c>
      <c r="D230" s="250">
        <v>0</v>
      </c>
      <c r="E230" s="250">
        <v>0</v>
      </c>
      <c r="F230" s="250">
        <v>0</v>
      </c>
      <c r="G230" s="250">
        <v>0</v>
      </c>
      <c r="H230" s="250">
        <v>0</v>
      </c>
      <c r="I230" s="250">
        <v>0</v>
      </c>
      <c r="J230" s="250">
        <v>0</v>
      </c>
      <c r="K230" s="250">
        <v>0</v>
      </c>
      <c r="L230" s="250">
        <v>0</v>
      </c>
      <c r="M230" s="250">
        <v>0</v>
      </c>
      <c r="N230" s="250">
        <v>0</v>
      </c>
      <c r="O230" s="250">
        <v>0</v>
      </c>
      <c r="P230" s="250">
        <v>0</v>
      </c>
      <c r="Q230" s="250">
        <v>0</v>
      </c>
      <c r="R230" s="250">
        <v>0</v>
      </c>
      <c r="S230" s="250">
        <v>0</v>
      </c>
      <c r="T230" s="250">
        <v>0</v>
      </c>
      <c r="U230" s="250">
        <v>0</v>
      </c>
      <c r="V230" s="250">
        <v>0</v>
      </c>
      <c r="W230" s="250">
        <v>4000</v>
      </c>
      <c r="X230" s="250">
        <v>0</v>
      </c>
      <c r="Y230" s="250">
        <v>0</v>
      </c>
      <c r="Z230" s="250">
        <v>0</v>
      </c>
      <c r="AA230" s="250">
        <v>0</v>
      </c>
      <c r="AB230" s="250">
        <v>0</v>
      </c>
      <c r="AC230" s="250">
        <v>0</v>
      </c>
      <c r="AD230" s="250">
        <v>0</v>
      </c>
      <c r="AE230" s="251">
        <v>0</v>
      </c>
      <c r="AF230" s="251">
        <v>0</v>
      </c>
      <c r="AG230" s="251">
        <v>0</v>
      </c>
      <c r="AH230" s="251">
        <v>0</v>
      </c>
      <c r="AI230" s="250">
        <f t="shared" si="4"/>
        <v>4000</v>
      </c>
    </row>
    <row r="231" spans="1:35" x14ac:dyDescent="0.35">
      <c r="A231" s="5" t="s">
        <v>2226</v>
      </c>
      <c r="B231" s="250">
        <v>0</v>
      </c>
      <c r="C231" s="250">
        <v>0</v>
      </c>
      <c r="D231" s="250">
        <v>0</v>
      </c>
      <c r="E231" s="250">
        <v>0</v>
      </c>
      <c r="F231" s="250">
        <v>0</v>
      </c>
      <c r="G231" s="250">
        <v>0</v>
      </c>
      <c r="H231" s="250">
        <v>0</v>
      </c>
      <c r="I231" s="250">
        <v>0</v>
      </c>
      <c r="J231" s="250">
        <v>0</v>
      </c>
      <c r="K231" s="250">
        <v>0</v>
      </c>
      <c r="L231" s="250">
        <v>0</v>
      </c>
      <c r="M231" s="250">
        <v>0</v>
      </c>
      <c r="N231" s="250">
        <v>0</v>
      </c>
      <c r="O231" s="250">
        <v>0</v>
      </c>
      <c r="P231" s="250">
        <v>0</v>
      </c>
      <c r="Q231" s="250">
        <v>0</v>
      </c>
      <c r="R231" s="250">
        <v>0</v>
      </c>
      <c r="S231" s="250">
        <v>0</v>
      </c>
      <c r="T231" s="250">
        <v>0</v>
      </c>
      <c r="U231" s="250">
        <v>0</v>
      </c>
      <c r="V231" s="250">
        <v>0</v>
      </c>
      <c r="W231" s="250">
        <v>0</v>
      </c>
      <c r="X231" s="250">
        <v>0</v>
      </c>
      <c r="Y231" s="250">
        <v>0</v>
      </c>
      <c r="Z231" s="250">
        <v>0</v>
      </c>
      <c r="AA231" s="250">
        <v>1000</v>
      </c>
      <c r="AB231" s="250">
        <v>0</v>
      </c>
      <c r="AC231" s="250">
        <v>0</v>
      </c>
      <c r="AD231" s="250">
        <v>0</v>
      </c>
      <c r="AE231" s="251">
        <v>0</v>
      </c>
      <c r="AF231" s="251">
        <v>0</v>
      </c>
      <c r="AG231" s="251">
        <v>775</v>
      </c>
      <c r="AH231" s="251">
        <v>0</v>
      </c>
      <c r="AI231" s="250">
        <f t="shared" si="4"/>
        <v>1775</v>
      </c>
    </row>
    <row r="232" spans="1:35" x14ac:dyDescent="0.35">
      <c r="A232" s="5" t="s">
        <v>963</v>
      </c>
      <c r="B232" s="250">
        <v>0</v>
      </c>
      <c r="C232" s="250">
        <v>0</v>
      </c>
      <c r="D232" s="250">
        <v>0</v>
      </c>
      <c r="E232" s="250">
        <v>0</v>
      </c>
      <c r="F232" s="250">
        <v>0</v>
      </c>
      <c r="G232" s="250">
        <v>570</v>
      </c>
      <c r="H232" s="250">
        <v>0</v>
      </c>
      <c r="I232" s="250">
        <v>0</v>
      </c>
      <c r="J232" s="250">
        <v>0</v>
      </c>
      <c r="K232" s="250">
        <v>0</v>
      </c>
      <c r="L232" s="250">
        <v>0</v>
      </c>
      <c r="M232" s="250">
        <v>0</v>
      </c>
      <c r="N232" s="250">
        <v>0</v>
      </c>
      <c r="O232" s="250">
        <v>0</v>
      </c>
      <c r="P232" s="250">
        <v>0</v>
      </c>
      <c r="Q232" s="250">
        <v>0</v>
      </c>
      <c r="R232" s="250">
        <v>0</v>
      </c>
      <c r="S232" s="250">
        <v>0</v>
      </c>
      <c r="T232" s="250">
        <v>0</v>
      </c>
      <c r="U232" s="250">
        <v>0</v>
      </c>
      <c r="V232" s="250">
        <v>0</v>
      </c>
      <c r="W232" s="250">
        <v>0</v>
      </c>
      <c r="X232" s="250">
        <v>0</v>
      </c>
      <c r="Y232" s="250">
        <v>0</v>
      </c>
      <c r="Z232" s="250">
        <v>0</v>
      </c>
      <c r="AA232" s="250">
        <v>0</v>
      </c>
      <c r="AB232" s="250">
        <v>0</v>
      </c>
      <c r="AC232" s="250">
        <v>0</v>
      </c>
      <c r="AD232" s="250">
        <v>0</v>
      </c>
      <c r="AE232" s="251">
        <v>0</v>
      </c>
      <c r="AF232" s="251">
        <v>0</v>
      </c>
      <c r="AG232" s="251">
        <v>350</v>
      </c>
      <c r="AH232" s="251">
        <v>0</v>
      </c>
      <c r="AI232" s="250">
        <f t="shared" si="4"/>
        <v>920</v>
      </c>
    </row>
    <row r="233" spans="1:35" x14ac:dyDescent="0.35">
      <c r="A233" s="5" t="s">
        <v>610</v>
      </c>
      <c r="B233" s="250">
        <v>0</v>
      </c>
      <c r="C233" s="250">
        <v>0</v>
      </c>
      <c r="D233" s="250">
        <v>0</v>
      </c>
      <c r="E233" s="250">
        <v>0</v>
      </c>
      <c r="F233" s="250">
        <v>0</v>
      </c>
      <c r="G233" s="250">
        <v>0</v>
      </c>
      <c r="H233" s="250">
        <v>0</v>
      </c>
      <c r="I233" s="250">
        <v>0</v>
      </c>
      <c r="J233" s="250">
        <v>0</v>
      </c>
      <c r="K233" s="250">
        <v>0</v>
      </c>
      <c r="L233" s="250">
        <v>0</v>
      </c>
      <c r="M233" s="250">
        <v>0</v>
      </c>
      <c r="N233" s="250">
        <v>0</v>
      </c>
      <c r="O233" s="250">
        <v>0</v>
      </c>
      <c r="P233" s="250">
        <v>0</v>
      </c>
      <c r="Q233" s="250">
        <v>0</v>
      </c>
      <c r="R233" s="250">
        <v>0</v>
      </c>
      <c r="S233" s="250">
        <v>0</v>
      </c>
      <c r="T233" s="250">
        <v>0</v>
      </c>
      <c r="U233" s="250">
        <v>0</v>
      </c>
      <c r="V233" s="250">
        <v>0</v>
      </c>
      <c r="W233" s="250">
        <v>0</v>
      </c>
      <c r="X233" s="250">
        <v>0</v>
      </c>
      <c r="Y233" s="247">
        <v>1000</v>
      </c>
      <c r="Z233" s="250">
        <v>0</v>
      </c>
      <c r="AA233" s="250">
        <v>0</v>
      </c>
      <c r="AB233" s="250">
        <v>0</v>
      </c>
      <c r="AC233" s="250">
        <v>0</v>
      </c>
      <c r="AD233" s="250">
        <v>0</v>
      </c>
      <c r="AE233" s="251">
        <v>0</v>
      </c>
      <c r="AF233" s="251">
        <v>0</v>
      </c>
      <c r="AG233" s="251">
        <v>350</v>
      </c>
      <c r="AH233" s="251">
        <v>0</v>
      </c>
      <c r="AI233" s="250">
        <f t="shared" si="4"/>
        <v>1350</v>
      </c>
    </row>
    <row r="234" spans="1:35" x14ac:dyDescent="0.35">
      <c r="A234" s="5" t="s">
        <v>2294</v>
      </c>
      <c r="B234" s="250">
        <v>0</v>
      </c>
      <c r="C234" s="250">
        <v>0</v>
      </c>
      <c r="D234" s="250">
        <v>0</v>
      </c>
      <c r="E234" s="250">
        <v>0</v>
      </c>
      <c r="F234" s="250">
        <v>0</v>
      </c>
      <c r="G234" s="250">
        <v>0</v>
      </c>
      <c r="H234" s="250">
        <v>0</v>
      </c>
      <c r="I234" s="250">
        <v>0</v>
      </c>
      <c r="J234" s="250">
        <v>0</v>
      </c>
      <c r="K234" s="250">
        <v>0</v>
      </c>
      <c r="L234" s="250">
        <v>0</v>
      </c>
      <c r="M234" s="250">
        <v>0</v>
      </c>
      <c r="N234" s="250">
        <v>0</v>
      </c>
      <c r="O234" s="250">
        <v>0</v>
      </c>
      <c r="P234" s="250">
        <v>0</v>
      </c>
      <c r="Q234" s="250">
        <v>0</v>
      </c>
      <c r="R234" s="250">
        <v>0</v>
      </c>
      <c r="S234" s="250">
        <v>0</v>
      </c>
      <c r="T234" s="250">
        <v>0</v>
      </c>
      <c r="U234" s="250">
        <v>0</v>
      </c>
      <c r="V234" s="250">
        <v>0</v>
      </c>
      <c r="W234" s="250">
        <v>0</v>
      </c>
      <c r="X234" s="250">
        <v>0</v>
      </c>
      <c r="Y234" s="247">
        <v>0</v>
      </c>
      <c r="Z234" s="250">
        <v>0</v>
      </c>
      <c r="AA234" s="250">
        <v>500</v>
      </c>
      <c r="AB234" s="250">
        <v>0</v>
      </c>
      <c r="AC234" s="250">
        <v>0</v>
      </c>
      <c r="AD234" s="250">
        <v>0</v>
      </c>
      <c r="AE234" s="251">
        <v>0</v>
      </c>
      <c r="AF234" s="251">
        <v>0</v>
      </c>
      <c r="AG234" s="251">
        <v>350</v>
      </c>
      <c r="AH234" s="251">
        <v>0</v>
      </c>
      <c r="AI234" s="250">
        <f t="shared" si="4"/>
        <v>850</v>
      </c>
    </row>
    <row r="235" spans="1:35" x14ac:dyDescent="0.35">
      <c r="A235" s="5" t="s">
        <v>526</v>
      </c>
      <c r="B235" s="250">
        <v>0</v>
      </c>
      <c r="C235" s="250">
        <v>0</v>
      </c>
      <c r="D235" s="250">
        <v>600</v>
      </c>
      <c r="E235" s="250">
        <v>0</v>
      </c>
      <c r="F235" s="250">
        <v>600</v>
      </c>
      <c r="G235" s="250">
        <v>750</v>
      </c>
      <c r="H235" s="250">
        <v>80</v>
      </c>
      <c r="I235" s="250">
        <v>0</v>
      </c>
      <c r="J235" s="250">
        <v>0</v>
      </c>
      <c r="K235" s="250">
        <v>0</v>
      </c>
      <c r="L235" s="250">
        <v>0</v>
      </c>
      <c r="M235" s="250">
        <v>0</v>
      </c>
      <c r="N235" s="250">
        <v>0</v>
      </c>
      <c r="O235" s="250">
        <v>0</v>
      </c>
      <c r="P235" s="250">
        <v>0</v>
      </c>
      <c r="Q235" s="250">
        <v>0</v>
      </c>
      <c r="R235" s="250">
        <v>0</v>
      </c>
      <c r="S235" s="250">
        <v>0</v>
      </c>
      <c r="T235" s="250">
        <v>0</v>
      </c>
      <c r="U235" s="250">
        <v>0</v>
      </c>
      <c r="V235" s="250">
        <v>500</v>
      </c>
      <c r="W235" s="250">
        <v>0</v>
      </c>
      <c r="X235" s="250">
        <v>0</v>
      </c>
      <c r="Y235" s="250">
        <v>0</v>
      </c>
      <c r="Z235" s="250">
        <v>0</v>
      </c>
      <c r="AA235" s="250">
        <v>650</v>
      </c>
      <c r="AB235" s="250">
        <v>0</v>
      </c>
      <c r="AC235" s="250">
        <v>0</v>
      </c>
      <c r="AD235" s="250">
        <v>0</v>
      </c>
      <c r="AE235" s="251">
        <v>0</v>
      </c>
      <c r="AF235" s="251">
        <v>0</v>
      </c>
      <c r="AG235" s="251">
        <v>350</v>
      </c>
      <c r="AH235" s="251">
        <v>0</v>
      </c>
      <c r="AI235" s="250">
        <f t="shared" si="4"/>
        <v>3530</v>
      </c>
    </row>
    <row r="236" spans="1:35" x14ac:dyDescent="0.35">
      <c r="A236" s="5" t="s">
        <v>2454</v>
      </c>
      <c r="B236" s="250">
        <v>0</v>
      </c>
      <c r="C236" s="250">
        <v>0</v>
      </c>
      <c r="D236" s="250">
        <v>0</v>
      </c>
      <c r="E236" s="250">
        <v>0</v>
      </c>
      <c r="F236" s="250">
        <v>0</v>
      </c>
      <c r="G236" s="250">
        <v>0</v>
      </c>
      <c r="H236" s="250">
        <v>0</v>
      </c>
      <c r="I236" s="250">
        <v>0</v>
      </c>
      <c r="J236" s="250">
        <v>0</v>
      </c>
      <c r="K236" s="250">
        <v>0</v>
      </c>
      <c r="L236" s="250">
        <v>0</v>
      </c>
      <c r="M236" s="250">
        <v>0</v>
      </c>
      <c r="N236" s="250">
        <v>0</v>
      </c>
      <c r="O236" s="250">
        <v>0</v>
      </c>
      <c r="P236" s="250">
        <v>0</v>
      </c>
      <c r="Q236" s="250">
        <v>0</v>
      </c>
      <c r="R236" s="250">
        <v>0</v>
      </c>
      <c r="S236" s="250">
        <v>0</v>
      </c>
      <c r="T236" s="250">
        <v>0</v>
      </c>
      <c r="U236" s="250">
        <v>0</v>
      </c>
      <c r="V236" s="250">
        <v>0</v>
      </c>
      <c r="W236" s="250">
        <v>0</v>
      </c>
      <c r="X236" s="250">
        <v>0</v>
      </c>
      <c r="Y236" s="250">
        <v>0</v>
      </c>
      <c r="Z236" s="250">
        <v>0</v>
      </c>
      <c r="AA236" s="250">
        <v>0</v>
      </c>
      <c r="AB236" s="250">
        <v>5000</v>
      </c>
      <c r="AC236" s="250">
        <v>0</v>
      </c>
      <c r="AD236" s="250">
        <v>0</v>
      </c>
      <c r="AE236" s="251">
        <v>0</v>
      </c>
      <c r="AF236" s="251">
        <v>0</v>
      </c>
      <c r="AG236" s="251">
        <v>430</v>
      </c>
      <c r="AH236" s="251">
        <v>0</v>
      </c>
      <c r="AI236" s="250">
        <f t="shared" si="4"/>
        <v>5430</v>
      </c>
    </row>
    <row r="237" spans="1:35" x14ac:dyDescent="0.35">
      <c r="A237" s="5" t="s">
        <v>1851</v>
      </c>
      <c r="B237" s="250">
        <v>0</v>
      </c>
      <c r="C237" s="250">
        <v>0</v>
      </c>
      <c r="D237" s="250">
        <v>0</v>
      </c>
      <c r="E237" s="250">
        <v>0</v>
      </c>
      <c r="F237" s="250">
        <v>0</v>
      </c>
      <c r="G237" s="250">
        <v>0</v>
      </c>
      <c r="H237" s="250">
        <v>0</v>
      </c>
      <c r="I237" s="250">
        <v>0</v>
      </c>
      <c r="J237" s="250">
        <v>0</v>
      </c>
      <c r="K237" s="250">
        <v>0</v>
      </c>
      <c r="L237" s="250">
        <v>0</v>
      </c>
      <c r="M237" s="250">
        <v>0</v>
      </c>
      <c r="N237" s="250">
        <v>0</v>
      </c>
      <c r="O237" s="250">
        <v>0</v>
      </c>
      <c r="P237" s="250">
        <v>0</v>
      </c>
      <c r="Q237" s="250">
        <v>0</v>
      </c>
      <c r="R237" s="250">
        <v>0</v>
      </c>
      <c r="S237" s="250">
        <v>0</v>
      </c>
      <c r="T237" s="250">
        <v>0</v>
      </c>
      <c r="U237" s="250">
        <v>0</v>
      </c>
      <c r="V237" s="250">
        <v>0</v>
      </c>
      <c r="W237" s="250">
        <v>0</v>
      </c>
      <c r="X237" s="250">
        <v>0</v>
      </c>
      <c r="Y237" s="250">
        <v>0</v>
      </c>
      <c r="Z237" s="250">
        <v>0</v>
      </c>
      <c r="AA237" s="250">
        <v>0</v>
      </c>
      <c r="AB237" s="250">
        <v>0</v>
      </c>
      <c r="AC237" s="250">
        <v>0</v>
      </c>
      <c r="AD237" s="250">
        <v>0</v>
      </c>
      <c r="AE237" s="251">
        <v>0</v>
      </c>
      <c r="AF237" s="251">
        <v>0</v>
      </c>
      <c r="AG237" s="251">
        <v>0</v>
      </c>
      <c r="AH237" s="251">
        <v>25000</v>
      </c>
      <c r="AI237" s="250">
        <f t="shared" si="4"/>
        <v>25000</v>
      </c>
    </row>
    <row r="238" spans="1:35" x14ac:dyDescent="0.35">
      <c r="A238" s="5" t="s">
        <v>2407</v>
      </c>
      <c r="B238" s="250">
        <v>0</v>
      </c>
      <c r="C238" s="250">
        <v>0</v>
      </c>
      <c r="D238" s="250">
        <v>0</v>
      </c>
      <c r="E238" s="250">
        <v>0</v>
      </c>
      <c r="F238" s="250">
        <v>0</v>
      </c>
      <c r="G238" s="250">
        <v>0</v>
      </c>
      <c r="H238" s="250">
        <v>0</v>
      </c>
      <c r="I238" s="250">
        <v>0</v>
      </c>
      <c r="J238" s="250">
        <v>0</v>
      </c>
      <c r="K238" s="250">
        <v>0</v>
      </c>
      <c r="L238" s="250">
        <v>0</v>
      </c>
      <c r="M238" s="250">
        <v>0</v>
      </c>
      <c r="N238" s="250">
        <v>0</v>
      </c>
      <c r="O238" s="250">
        <v>0</v>
      </c>
      <c r="P238" s="250">
        <v>0</v>
      </c>
      <c r="Q238" s="250">
        <v>0</v>
      </c>
      <c r="R238" s="250">
        <v>0</v>
      </c>
      <c r="S238" s="250">
        <v>0</v>
      </c>
      <c r="T238" s="250">
        <v>0</v>
      </c>
      <c r="U238" s="250">
        <v>0</v>
      </c>
      <c r="V238" s="250">
        <v>0</v>
      </c>
      <c r="W238" s="250">
        <v>0</v>
      </c>
      <c r="X238" s="250">
        <v>0</v>
      </c>
      <c r="Y238" s="250">
        <v>0</v>
      </c>
      <c r="Z238" s="250">
        <v>0</v>
      </c>
      <c r="AA238" s="250">
        <v>0</v>
      </c>
      <c r="AB238" s="250">
        <v>2500</v>
      </c>
      <c r="AC238" s="250">
        <v>0</v>
      </c>
      <c r="AD238" s="250">
        <v>0</v>
      </c>
      <c r="AE238" s="251">
        <v>0</v>
      </c>
      <c r="AF238" s="251">
        <v>0</v>
      </c>
      <c r="AG238" s="251">
        <v>0</v>
      </c>
      <c r="AH238" s="251">
        <v>0</v>
      </c>
      <c r="AI238" s="250">
        <f t="shared" si="4"/>
        <v>2500</v>
      </c>
    </row>
    <row r="239" spans="1:35" x14ac:dyDescent="0.35">
      <c r="A239" s="5" t="s">
        <v>2612</v>
      </c>
      <c r="B239" s="250"/>
      <c r="C239" s="250"/>
      <c r="D239" s="250"/>
      <c r="E239" s="250"/>
      <c r="F239" s="250"/>
      <c r="G239" s="250"/>
      <c r="H239" s="250"/>
      <c r="I239" s="250"/>
      <c r="J239" s="250"/>
      <c r="K239" s="250"/>
      <c r="L239" s="250"/>
      <c r="M239" s="250"/>
      <c r="N239" s="250"/>
      <c r="O239" s="250"/>
      <c r="P239" s="250"/>
      <c r="Q239" s="250"/>
      <c r="R239" s="250"/>
      <c r="S239" s="250"/>
      <c r="T239" s="250"/>
      <c r="U239" s="250"/>
      <c r="V239" s="250"/>
      <c r="W239" s="250"/>
      <c r="X239" s="250"/>
      <c r="Y239" s="250"/>
      <c r="Z239" s="250"/>
      <c r="AA239" s="250"/>
      <c r="AB239" s="250"/>
      <c r="AC239" s="250"/>
      <c r="AD239" s="250"/>
      <c r="AE239" s="251"/>
      <c r="AF239" s="251"/>
      <c r="AG239" s="251">
        <v>1500</v>
      </c>
      <c r="AH239" s="251">
        <v>0</v>
      </c>
      <c r="AI239" s="250">
        <f t="shared" si="4"/>
        <v>1500</v>
      </c>
    </row>
    <row r="240" spans="1:35" x14ac:dyDescent="0.35">
      <c r="A240" s="5" t="s">
        <v>537</v>
      </c>
      <c r="B240" s="250">
        <v>0</v>
      </c>
      <c r="C240" s="250">
        <v>0</v>
      </c>
      <c r="D240" s="250">
        <v>0</v>
      </c>
      <c r="E240" s="250">
        <v>0</v>
      </c>
      <c r="F240" s="250">
        <v>0</v>
      </c>
      <c r="G240" s="250">
        <v>300</v>
      </c>
      <c r="H240" s="250">
        <v>0</v>
      </c>
      <c r="I240" s="250">
        <v>0</v>
      </c>
      <c r="J240" s="250">
        <v>0</v>
      </c>
      <c r="K240" s="250">
        <v>0</v>
      </c>
      <c r="L240" s="250">
        <v>0</v>
      </c>
      <c r="M240" s="250">
        <v>0</v>
      </c>
      <c r="N240" s="250">
        <v>0</v>
      </c>
      <c r="O240" s="250">
        <v>0</v>
      </c>
      <c r="P240" s="250">
        <v>0</v>
      </c>
      <c r="Q240" s="250">
        <v>0</v>
      </c>
      <c r="R240" s="250">
        <v>0</v>
      </c>
      <c r="S240" s="250">
        <v>0</v>
      </c>
      <c r="T240" s="250">
        <v>0</v>
      </c>
      <c r="U240" s="250">
        <v>0</v>
      </c>
      <c r="V240" s="250">
        <v>0</v>
      </c>
      <c r="W240" s="250">
        <v>0</v>
      </c>
      <c r="X240" s="250">
        <v>0</v>
      </c>
      <c r="Y240" s="250">
        <v>0</v>
      </c>
      <c r="Z240" s="250">
        <v>0</v>
      </c>
      <c r="AA240" s="250">
        <v>0</v>
      </c>
      <c r="AB240" s="250">
        <v>0</v>
      </c>
      <c r="AC240" s="250">
        <v>0</v>
      </c>
      <c r="AD240" s="250">
        <v>5000</v>
      </c>
      <c r="AE240" s="251">
        <v>0</v>
      </c>
      <c r="AF240" s="251">
        <v>0</v>
      </c>
      <c r="AG240" s="251">
        <v>350</v>
      </c>
      <c r="AH240" s="251">
        <v>0</v>
      </c>
      <c r="AI240" s="250">
        <f t="shared" si="4"/>
        <v>5650</v>
      </c>
    </row>
    <row r="241" spans="1:35" x14ac:dyDescent="0.35">
      <c r="A241" s="5" t="s">
        <v>764</v>
      </c>
      <c r="B241" s="250">
        <v>0</v>
      </c>
      <c r="C241" s="250">
        <v>0</v>
      </c>
      <c r="D241" s="250">
        <v>0</v>
      </c>
      <c r="E241" s="250">
        <v>0</v>
      </c>
      <c r="F241" s="250">
        <v>0</v>
      </c>
      <c r="G241" s="250">
        <v>1000</v>
      </c>
      <c r="H241" s="250">
        <v>0</v>
      </c>
      <c r="I241" s="250">
        <v>0</v>
      </c>
      <c r="J241" s="250">
        <v>0</v>
      </c>
      <c r="K241" s="250">
        <v>1495</v>
      </c>
      <c r="L241" s="250">
        <v>0</v>
      </c>
      <c r="M241" s="250">
        <v>0</v>
      </c>
      <c r="N241" s="250">
        <v>0</v>
      </c>
      <c r="O241" s="250">
        <v>0</v>
      </c>
      <c r="P241" s="250">
        <v>0</v>
      </c>
      <c r="Q241" s="250">
        <v>1000</v>
      </c>
      <c r="R241" s="250">
        <v>1000</v>
      </c>
      <c r="S241" s="250">
        <v>0</v>
      </c>
      <c r="T241" s="250">
        <v>0</v>
      </c>
      <c r="U241" s="250">
        <v>0</v>
      </c>
      <c r="V241" s="250">
        <v>0</v>
      </c>
      <c r="W241" s="250">
        <v>0</v>
      </c>
      <c r="X241" s="250">
        <v>0</v>
      </c>
      <c r="Y241" s="250">
        <v>0</v>
      </c>
      <c r="Z241" s="250">
        <v>0</v>
      </c>
      <c r="AA241" s="250">
        <v>1000</v>
      </c>
      <c r="AB241" s="250">
        <v>0</v>
      </c>
      <c r="AC241" s="250">
        <v>0</v>
      </c>
      <c r="AD241" s="250">
        <v>0</v>
      </c>
      <c r="AE241" s="251">
        <v>0</v>
      </c>
      <c r="AF241" s="251">
        <v>0</v>
      </c>
      <c r="AG241" s="251">
        <v>350</v>
      </c>
      <c r="AH241" s="251">
        <v>0</v>
      </c>
      <c r="AI241" s="250">
        <f t="shared" si="4"/>
        <v>5845</v>
      </c>
    </row>
    <row r="242" spans="1:35" x14ac:dyDescent="0.35">
      <c r="A242" s="5" t="s">
        <v>352</v>
      </c>
      <c r="B242" s="250">
        <v>0</v>
      </c>
      <c r="C242" s="250">
        <v>1500</v>
      </c>
      <c r="D242" s="250">
        <v>1000</v>
      </c>
      <c r="E242" s="250">
        <v>0</v>
      </c>
      <c r="F242" s="250">
        <v>350</v>
      </c>
      <c r="G242" s="250">
        <v>0</v>
      </c>
      <c r="H242" s="250">
        <v>0</v>
      </c>
      <c r="I242" s="250">
        <v>0</v>
      </c>
      <c r="J242" s="250">
        <v>0</v>
      </c>
      <c r="K242" s="250">
        <v>0</v>
      </c>
      <c r="L242" s="250">
        <v>0</v>
      </c>
      <c r="M242" s="250">
        <v>1795</v>
      </c>
      <c r="N242" s="250">
        <v>1000</v>
      </c>
      <c r="O242" s="250">
        <v>0</v>
      </c>
      <c r="P242" s="250">
        <v>0</v>
      </c>
      <c r="Q242" s="250">
        <v>1000</v>
      </c>
      <c r="R242" s="250">
        <v>0</v>
      </c>
      <c r="S242" s="250">
        <v>0</v>
      </c>
      <c r="T242" s="250">
        <v>0</v>
      </c>
      <c r="U242" s="250">
        <v>0</v>
      </c>
      <c r="V242" s="250">
        <v>500</v>
      </c>
      <c r="W242" s="250">
        <v>0</v>
      </c>
      <c r="X242" s="250">
        <v>0</v>
      </c>
      <c r="Y242" s="250">
        <v>0</v>
      </c>
      <c r="Z242" s="250">
        <v>0</v>
      </c>
      <c r="AA242" s="250">
        <v>2500</v>
      </c>
      <c r="AB242" s="250">
        <v>0</v>
      </c>
      <c r="AC242" s="250">
        <v>0</v>
      </c>
      <c r="AD242" s="250">
        <v>0</v>
      </c>
      <c r="AE242" s="251">
        <v>0</v>
      </c>
      <c r="AF242" s="251">
        <v>0</v>
      </c>
      <c r="AG242" s="251">
        <v>350</v>
      </c>
      <c r="AH242" s="251">
        <v>0</v>
      </c>
      <c r="AI242" s="250">
        <f t="shared" si="4"/>
        <v>9995</v>
      </c>
    </row>
    <row r="243" spans="1:35" x14ac:dyDescent="0.35">
      <c r="A243" s="5" t="s">
        <v>899</v>
      </c>
      <c r="B243" s="250">
        <v>0</v>
      </c>
      <c r="C243" s="250">
        <v>0</v>
      </c>
      <c r="D243" s="250">
        <v>0</v>
      </c>
      <c r="E243" s="250">
        <v>0</v>
      </c>
      <c r="F243" s="250">
        <v>0</v>
      </c>
      <c r="G243" s="250">
        <v>500</v>
      </c>
      <c r="H243" s="250">
        <v>0</v>
      </c>
      <c r="I243" s="250">
        <v>0</v>
      </c>
      <c r="J243" s="250">
        <v>0</v>
      </c>
      <c r="K243" s="250">
        <v>0</v>
      </c>
      <c r="L243" s="250">
        <v>0</v>
      </c>
      <c r="M243" s="250">
        <v>0</v>
      </c>
      <c r="N243" s="250">
        <v>0</v>
      </c>
      <c r="O243" s="250">
        <v>0</v>
      </c>
      <c r="P243" s="250">
        <v>0</v>
      </c>
      <c r="Q243" s="250">
        <v>0</v>
      </c>
      <c r="R243" s="250">
        <v>0</v>
      </c>
      <c r="S243" s="250">
        <v>0</v>
      </c>
      <c r="T243" s="250">
        <v>0</v>
      </c>
      <c r="U243" s="250">
        <v>0</v>
      </c>
      <c r="V243" s="250">
        <v>0</v>
      </c>
      <c r="W243" s="250">
        <v>0</v>
      </c>
      <c r="X243" s="250">
        <v>0</v>
      </c>
      <c r="Y243" s="250">
        <v>0</v>
      </c>
      <c r="Z243" s="250">
        <v>0</v>
      </c>
      <c r="AA243" s="250">
        <v>0</v>
      </c>
      <c r="AB243" s="250">
        <v>0</v>
      </c>
      <c r="AC243" s="250">
        <v>0</v>
      </c>
      <c r="AD243" s="250">
        <v>0</v>
      </c>
      <c r="AE243" s="251">
        <v>0</v>
      </c>
      <c r="AF243" s="251">
        <v>0</v>
      </c>
      <c r="AG243" s="251">
        <v>350</v>
      </c>
      <c r="AH243" s="251">
        <v>0</v>
      </c>
      <c r="AI243" s="250">
        <f t="shared" si="4"/>
        <v>850</v>
      </c>
    </row>
    <row r="244" spans="1:35" x14ac:dyDescent="0.35">
      <c r="A244" s="5" t="s">
        <v>2278</v>
      </c>
      <c r="B244" s="250">
        <v>0</v>
      </c>
      <c r="C244" s="250">
        <v>0</v>
      </c>
      <c r="D244" s="250">
        <v>0</v>
      </c>
      <c r="E244" s="250">
        <v>0</v>
      </c>
      <c r="F244" s="250">
        <v>0</v>
      </c>
      <c r="G244" s="250">
        <v>0</v>
      </c>
      <c r="H244" s="250">
        <v>0</v>
      </c>
      <c r="I244" s="250">
        <v>0</v>
      </c>
      <c r="J244" s="250">
        <v>0</v>
      </c>
      <c r="K244" s="250">
        <v>0</v>
      </c>
      <c r="L244" s="250">
        <v>0</v>
      </c>
      <c r="M244" s="250">
        <v>0</v>
      </c>
      <c r="N244" s="250">
        <v>0</v>
      </c>
      <c r="O244" s="250">
        <v>0</v>
      </c>
      <c r="P244" s="250">
        <v>0</v>
      </c>
      <c r="Q244" s="250">
        <v>0</v>
      </c>
      <c r="R244" s="250">
        <v>0</v>
      </c>
      <c r="S244" s="250">
        <v>0</v>
      </c>
      <c r="T244" s="250">
        <v>0</v>
      </c>
      <c r="U244" s="250">
        <v>0</v>
      </c>
      <c r="V244" s="250">
        <v>0</v>
      </c>
      <c r="W244" s="250">
        <v>0</v>
      </c>
      <c r="X244" s="250">
        <v>0</v>
      </c>
      <c r="Y244" s="250">
        <v>0</v>
      </c>
      <c r="Z244" s="250">
        <v>0</v>
      </c>
      <c r="AA244" s="250">
        <v>500</v>
      </c>
      <c r="AB244" s="250">
        <v>0</v>
      </c>
      <c r="AC244" s="250">
        <v>0</v>
      </c>
      <c r="AD244" s="250">
        <v>0</v>
      </c>
      <c r="AE244" s="251">
        <v>0</v>
      </c>
      <c r="AF244" s="251">
        <v>0</v>
      </c>
      <c r="AG244" s="251">
        <v>350</v>
      </c>
      <c r="AH244" s="251">
        <v>0</v>
      </c>
      <c r="AI244" s="250">
        <f t="shared" si="4"/>
        <v>850</v>
      </c>
    </row>
    <row r="245" spans="1:35" x14ac:dyDescent="0.35">
      <c r="A245" s="5" t="s">
        <v>1215</v>
      </c>
      <c r="B245" s="250">
        <v>0</v>
      </c>
      <c r="C245" s="250">
        <v>0</v>
      </c>
      <c r="D245" s="250">
        <v>0</v>
      </c>
      <c r="E245" s="250">
        <v>0</v>
      </c>
      <c r="F245" s="250">
        <v>0</v>
      </c>
      <c r="G245" s="250">
        <v>0</v>
      </c>
      <c r="H245" s="250">
        <v>0</v>
      </c>
      <c r="I245" s="250">
        <v>0</v>
      </c>
      <c r="J245" s="250">
        <v>0</v>
      </c>
      <c r="K245" s="250">
        <v>0</v>
      </c>
      <c r="L245" s="250">
        <v>0</v>
      </c>
      <c r="M245" s="250">
        <v>0</v>
      </c>
      <c r="N245" s="250">
        <v>0</v>
      </c>
      <c r="O245" s="250">
        <v>0</v>
      </c>
      <c r="P245" s="250">
        <v>0</v>
      </c>
      <c r="Q245" s="250">
        <v>0</v>
      </c>
      <c r="R245" s="250">
        <v>0</v>
      </c>
      <c r="S245" s="250">
        <v>0</v>
      </c>
      <c r="T245" s="250">
        <v>0</v>
      </c>
      <c r="U245" s="250">
        <v>0</v>
      </c>
      <c r="V245" s="250">
        <v>0</v>
      </c>
      <c r="W245" s="250">
        <v>0</v>
      </c>
      <c r="X245" s="250">
        <v>0</v>
      </c>
      <c r="Y245" s="250">
        <v>0</v>
      </c>
      <c r="Z245" s="250">
        <v>0</v>
      </c>
      <c r="AA245" s="250">
        <v>0</v>
      </c>
      <c r="AB245" s="250">
        <v>0</v>
      </c>
      <c r="AC245" s="250">
        <v>0</v>
      </c>
      <c r="AD245" s="250">
        <v>0</v>
      </c>
      <c r="AE245" s="251">
        <v>0</v>
      </c>
      <c r="AF245" s="251">
        <v>1500</v>
      </c>
      <c r="AG245" s="251">
        <v>350</v>
      </c>
      <c r="AH245" s="251">
        <v>0</v>
      </c>
      <c r="AI245" s="250">
        <f t="shared" si="4"/>
        <v>1850</v>
      </c>
    </row>
    <row r="246" spans="1:35" x14ac:dyDescent="0.35">
      <c r="A246" s="5" t="s">
        <v>1476</v>
      </c>
      <c r="B246" s="250">
        <v>0</v>
      </c>
      <c r="C246" s="250">
        <v>0</v>
      </c>
      <c r="D246" s="250">
        <v>0</v>
      </c>
      <c r="E246" s="250">
        <v>0</v>
      </c>
      <c r="F246" s="250">
        <v>0</v>
      </c>
      <c r="G246" s="250">
        <v>0</v>
      </c>
      <c r="H246" s="250">
        <v>0</v>
      </c>
      <c r="I246" s="250">
        <v>0</v>
      </c>
      <c r="J246" s="250">
        <v>0</v>
      </c>
      <c r="K246" s="250">
        <v>0</v>
      </c>
      <c r="L246" s="250">
        <v>600</v>
      </c>
      <c r="M246" s="250">
        <v>0</v>
      </c>
      <c r="N246" s="250">
        <v>0</v>
      </c>
      <c r="O246" s="250">
        <v>0</v>
      </c>
      <c r="P246" s="250">
        <v>0</v>
      </c>
      <c r="Q246" s="250">
        <v>0</v>
      </c>
      <c r="R246" s="250">
        <v>0</v>
      </c>
      <c r="S246" s="250">
        <v>0</v>
      </c>
      <c r="T246" s="250">
        <v>0</v>
      </c>
      <c r="U246" s="250">
        <v>0</v>
      </c>
      <c r="V246" s="250">
        <v>0</v>
      </c>
      <c r="W246" s="250">
        <v>0</v>
      </c>
      <c r="X246" s="250">
        <v>0</v>
      </c>
      <c r="Y246" s="250">
        <v>0</v>
      </c>
      <c r="Z246" s="250">
        <v>0</v>
      </c>
      <c r="AA246" s="250">
        <v>0</v>
      </c>
      <c r="AB246" s="250">
        <v>0</v>
      </c>
      <c r="AC246" s="250">
        <v>0</v>
      </c>
      <c r="AD246" s="250">
        <v>0</v>
      </c>
      <c r="AE246" s="251">
        <v>0</v>
      </c>
      <c r="AF246" s="251">
        <v>0</v>
      </c>
      <c r="AG246" s="251">
        <v>550</v>
      </c>
      <c r="AH246" s="251">
        <v>0</v>
      </c>
      <c r="AI246" s="250">
        <f t="shared" si="4"/>
        <v>1150</v>
      </c>
    </row>
    <row r="247" spans="1:35" x14ac:dyDescent="0.35">
      <c r="A247" s="5" t="s">
        <v>1312</v>
      </c>
      <c r="B247" s="250">
        <v>0</v>
      </c>
      <c r="C247" s="250">
        <v>0</v>
      </c>
      <c r="D247" s="250">
        <v>0</v>
      </c>
      <c r="E247" s="250">
        <v>0</v>
      </c>
      <c r="F247" s="250">
        <v>0</v>
      </c>
      <c r="G247" s="250">
        <v>0</v>
      </c>
      <c r="H247" s="250">
        <v>0</v>
      </c>
      <c r="I247" s="250">
        <v>0</v>
      </c>
      <c r="J247" s="250">
        <v>0</v>
      </c>
      <c r="K247" s="250">
        <v>0</v>
      </c>
      <c r="L247" s="250">
        <v>0</v>
      </c>
      <c r="M247" s="250">
        <v>0</v>
      </c>
      <c r="N247" s="250">
        <v>0</v>
      </c>
      <c r="O247" s="250">
        <v>0</v>
      </c>
      <c r="P247" s="250">
        <v>0</v>
      </c>
      <c r="Q247" s="250">
        <v>0</v>
      </c>
      <c r="R247" s="250">
        <v>0</v>
      </c>
      <c r="S247" s="250">
        <v>0</v>
      </c>
      <c r="T247" s="250">
        <v>0</v>
      </c>
      <c r="U247" s="250">
        <v>0</v>
      </c>
      <c r="V247" s="250">
        <v>0</v>
      </c>
      <c r="W247" s="250">
        <v>0</v>
      </c>
      <c r="X247" s="250">
        <v>0</v>
      </c>
      <c r="Y247" s="250">
        <v>0</v>
      </c>
      <c r="Z247" s="250">
        <v>0</v>
      </c>
      <c r="AA247" s="250">
        <v>0</v>
      </c>
      <c r="AB247" s="250">
        <v>0</v>
      </c>
      <c r="AC247" s="250">
        <v>0</v>
      </c>
      <c r="AD247" s="250">
        <v>0</v>
      </c>
      <c r="AE247" s="251">
        <v>0</v>
      </c>
      <c r="AF247" s="251">
        <v>0</v>
      </c>
      <c r="AG247" s="251">
        <v>350</v>
      </c>
      <c r="AH247" s="251">
        <v>0</v>
      </c>
      <c r="AI247" s="250">
        <f t="shared" si="4"/>
        <v>350</v>
      </c>
    </row>
    <row r="248" spans="1:35" x14ac:dyDescent="0.35">
      <c r="A248" s="5" t="s">
        <v>2613</v>
      </c>
      <c r="B248" s="250">
        <v>0</v>
      </c>
      <c r="C248" s="250">
        <v>0</v>
      </c>
      <c r="D248" s="250">
        <v>0</v>
      </c>
      <c r="E248" s="250">
        <v>0</v>
      </c>
      <c r="F248" s="250">
        <v>0</v>
      </c>
      <c r="G248" s="250">
        <v>0</v>
      </c>
      <c r="H248" s="250">
        <v>0</v>
      </c>
      <c r="I248" s="250">
        <v>0</v>
      </c>
      <c r="J248" s="250">
        <v>0</v>
      </c>
      <c r="K248" s="250">
        <v>0</v>
      </c>
      <c r="L248" s="250">
        <v>0</v>
      </c>
      <c r="M248" s="250">
        <v>0</v>
      </c>
      <c r="N248" s="250">
        <v>0</v>
      </c>
      <c r="O248" s="250">
        <v>0</v>
      </c>
      <c r="P248" s="250">
        <v>0</v>
      </c>
      <c r="Q248" s="250">
        <v>0</v>
      </c>
      <c r="R248" s="250">
        <v>0</v>
      </c>
      <c r="S248" s="250">
        <v>0</v>
      </c>
      <c r="T248" s="250">
        <v>0</v>
      </c>
      <c r="U248" s="250">
        <v>0</v>
      </c>
      <c r="V248" s="250">
        <v>0</v>
      </c>
      <c r="W248" s="250">
        <v>0</v>
      </c>
      <c r="X248" s="250">
        <v>0</v>
      </c>
      <c r="Y248" s="250">
        <v>0</v>
      </c>
      <c r="Z248" s="250">
        <v>0</v>
      </c>
      <c r="AA248" s="250">
        <v>450</v>
      </c>
      <c r="AB248" s="250">
        <v>0</v>
      </c>
      <c r="AC248" s="250">
        <v>0</v>
      </c>
      <c r="AD248" s="250">
        <v>0</v>
      </c>
      <c r="AE248" s="251">
        <v>0</v>
      </c>
      <c r="AF248" s="251">
        <v>0</v>
      </c>
      <c r="AG248" s="251">
        <v>775</v>
      </c>
      <c r="AH248" s="251">
        <v>0</v>
      </c>
      <c r="AI248" s="250">
        <f t="shared" si="4"/>
        <v>1225</v>
      </c>
    </row>
    <row r="249" spans="1:35" x14ac:dyDescent="0.35">
      <c r="A249" s="5" t="s">
        <v>485</v>
      </c>
      <c r="B249" s="250">
        <v>0</v>
      </c>
      <c r="C249" s="250">
        <v>0</v>
      </c>
      <c r="D249" s="250">
        <v>1000</v>
      </c>
      <c r="E249" s="250">
        <v>0</v>
      </c>
      <c r="F249" s="250">
        <v>1000</v>
      </c>
      <c r="G249" s="250">
        <v>0</v>
      </c>
      <c r="H249" s="250">
        <v>1000</v>
      </c>
      <c r="I249" s="250">
        <v>0</v>
      </c>
      <c r="J249" s="250">
        <v>0</v>
      </c>
      <c r="K249" s="250">
        <v>0</v>
      </c>
      <c r="L249" s="250">
        <v>0</v>
      </c>
      <c r="M249" s="250">
        <v>0</v>
      </c>
      <c r="N249" s="250">
        <v>0</v>
      </c>
      <c r="O249" s="250">
        <v>0</v>
      </c>
      <c r="P249" s="250">
        <v>0</v>
      </c>
      <c r="Q249" s="250">
        <v>0</v>
      </c>
      <c r="R249" s="250">
        <v>0</v>
      </c>
      <c r="S249" s="250">
        <v>0</v>
      </c>
      <c r="T249" s="250">
        <v>0</v>
      </c>
      <c r="U249" s="250">
        <v>0</v>
      </c>
      <c r="V249" s="250">
        <v>0</v>
      </c>
      <c r="W249" s="250">
        <v>0</v>
      </c>
      <c r="X249" s="250">
        <v>0</v>
      </c>
      <c r="Y249" s="250">
        <v>0</v>
      </c>
      <c r="Z249" s="250">
        <v>0</v>
      </c>
      <c r="AA249" s="250">
        <v>0</v>
      </c>
      <c r="AB249" s="250">
        <v>0</v>
      </c>
      <c r="AC249" s="250">
        <v>0</v>
      </c>
      <c r="AD249" s="250">
        <v>0</v>
      </c>
      <c r="AE249" s="251">
        <v>0</v>
      </c>
      <c r="AF249" s="251">
        <v>0</v>
      </c>
      <c r="AG249" s="251">
        <v>350</v>
      </c>
      <c r="AH249" s="251">
        <v>0</v>
      </c>
      <c r="AI249" s="250">
        <f t="shared" si="4"/>
        <v>3350</v>
      </c>
    </row>
    <row r="250" spans="1:35" x14ac:dyDescent="0.35">
      <c r="A250" s="5" t="s">
        <v>2218</v>
      </c>
      <c r="B250" s="250">
        <v>0</v>
      </c>
      <c r="C250" s="250">
        <v>0</v>
      </c>
      <c r="D250" s="250">
        <v>0</v>
      </c>
      <c r="E250" s="250">
        <v>0</v>
      </c>
      <c r="F250" s="250">
        <v>0</v>
      </c>
      <c r="G250" s="250">
        <v>0</v>
      </c>
      <c r="H250" s="250">
        <v>0</v>
      </c>
      <c r="I250" s="250">
        <v>0</v>
      </c>
      <c r="J250" s="250">
        <v>0</v>
      </c>
      <c r="K250" s="250">
        <v>0</v>
      </c>
      <c r="L250" s="250">
        <v>0</v>
      </c>
      <c r="M250" s="250">
        <v>0</v>
      </c>
      <c r="N250" s="250">
        <v>0</v>
      </c>
      <c r="O250" s="250">
        <v>0</v>
      </c>
      <c r="P250" s="250">
        <v>0</v>
      </c>
      <c r="Q250" s="250">
        <v>0</v>
      </c>
      <c r="R250" s="250">
        <v>0</v>
      </c>
      <c r="S250" s="250">
        <v>0</v>
      </c>
      <c r="T250" s="250">
        <v>0</v>
      </c>
      <c r="U250" s="250">
        <v>0</v>
      </c>
      <c r="V250" s="250">
        <v>0</v>
      </c>
      <c r="W250" s="250">
        <v>0</v>
      </c>
      <c r="X250" s="250">
        <v>0</v>
      </c>
      <c r="Y250" s="250">
        <v>0</v>
      </c>
      <c r="Z250" s="250">
        <v>0</v>
      </c>
      <c r="AA250" s="250">
        <v>1250</v>
      </c>
      <c r="AB250" s="250">
        <v>0</v>
      </c>
      <c r="AC250" s="250">
        <v>1500</v>
      </c>
      <c r="AD250" s="250">
        <v>0</v>
      </c>
      <c r="AE250" s="251">
        <v>0</v>
      </c>
      <c r="AF250" s="251">
        <v>0</v>
      </c>
      <c r="AG250" s="251">
        <v>550</v>
      </c>
      <c r="AH250" s="251">
        <v>0</v>
      </c>
      <c r="AI250" s="250">
        <f t="shared" si="4"/>
        <v>3300</v>
      </c>
    </row>
    <row r="251" spans="1:35" x14ac:dyDescent="0.35">
      <c r="A251" s="5" t="s">
        <v>232</v>
      </c>
      <c r="B251" s="250">
        <v>0</v>
      </c>
      <c r="C251" s="250">
        <v>2850</v>
      </c>
      <c r="D251" s="250">
        <v>0</v>
      </c>
      <c r="E251" s="250">
        <v>2500</v>
      </c>
      <c r="F251" s="250">
        <v>500</v>
      </c>
      <c r="G251" s="250">
        <v>2000</v>
      </c>
      <c r="H251" s="250">
        <v>0</v>
      </c>
      <c r="I251" s="250">
        <v>1000</v>
      </c>
      <c r="J251" s="250">
        <v>0</v>
      </c>
      <c r="K251" s="250">
        <v>0</v>
      </c>
      <c r="L251" s="250">
        <v>0</v>
      </c>
      <c r="M251" s="250">
        <v>1795</v>
      </c>
      <c r="N251" s="250">
        <v>1750</v>
      </c>
      <c r="O251" s="250">
        <v>0</v>
      </c>
      <c r="P251" s="250">
        <v>3000</v>
      </c>
      <c r="Q251" s="250">
        <v>2500</v>
      </c>
      <c r="R251" s="250">
        <v>0</v>
      </c>
      <c r="S251" s="250">
        <v>1500</v>
      </c>
      <c r="T251" s="250">
        <v>2000</v>
      </c>
      <c r="U251" s="250">
        <v>2500</v>
      </c>
      <c r="V251" s="250">
        <v>0</v>
      </c>
      <c r="W251" s="250">
        <v>750</v>
      </c>
      <c r="X251" s="250">
        <v>0</v>
      </c>
      <c r="Y251" s="250">
        <v>0</v>
      </c>
      <c r="Z251" s="250">
        <v>1000</v>
      </c>
      <c r="AA251" s="250">
        <v>0</v>
      </c>
      <c r="AB251" s="250">
        <v>3000</v>
      </c>
      <c r="AC251" s="250">
        <v>0</v>
      </c>
      <c r="AD251" s="250">
        <v>0</v>
      </c>
      <c r="AE251" s="251">
        <v>1000</v>
      </c>
      <c r="AF251" s="251">
        <v>1500</v>
      </c>
      <c r="AG251" s="251">
        <v>750</v>
      </c>
      <c r="AH251" s="251">
        <v>0</v>
      </c>
      <c r="AI251" s="250">
        <f t="shared" si="4"/>
        <v>31895</v>
      </c>
    </row>
    <row r="252" spans="1:35" x14ac:dyDescent="0.35">
      <c r="A252" s="5" t="s">
        <v>544</v>
      </c>
      <c r="B252" s="250">
        <v>0</v>
      </c>
      <c r="C252" s="250">
        <v>0</v>
      </c>
      <c r="D252" s="250">
        <v>1000</v>
      </c>
      <c r="E252" s="250">
        <v>0</v>
      </c>
      <c r="F252" s="250">
        <v>0</v>
      </c>
      <c r="G252" s="250">
        <v>0</v>
      </c>
      <c r="H252" s="250">
        <v>0</v>
      </c>
      <c r="I252" s="250">
        <v>0</v>
      </c>
      <c r="J252" s="250">
        <v>0</v>
      </c>
      <c r="K252" s="250">
        <v>0</v>
      </c>
      <c r="L252" s="250">
        <v>0</v>
      </c>
      <c r="M252" s="250">
        <v>0</v>
      </c>
      <c r="N252" s="250">
        <v>0</v>
      </c>
      <c r="O252" s="250">
        <v>0</v>
      </c>
      <c r="P252" s="250">
        <v>0</v>
      </c>
      <c r="Q252" s="250">
        <v>0</v>
      </c>
      <c r="R252" s="250">
        <v>0</v>
      </c>
      <c r="S252" s="250">
        <v>0</v>
      </c>
      <c r="T252" s="250">
        <v>1000</v>
      </c>
      <c r="U252" s="250">
        <v>0</v>
      </c>
      <c r="V252" s="250">
        <v>0</v>
      </c>
      <c r="W252" s="250">
        <v>0</v>
      </c>
      <c r="X252" s="250">
        <v>0</v>
      </c>
      <c r="Y252" s="247">
        <v>1000</v>
      </c>
      <c r="Z252" s="250">
        <v>0</v>
      </c>
      <c r="AA252" s="250">
        <v>0</v>
      </c>
      <c r="AB252" s="250">
        <v>0</v>
      </c>
      <c r="AC252" s="250">
        <v>0</v>
      </c>
      <c r="AD252" s="250">
        <v>0</v>
      </c>
      <c r="AE252" s="251">
        <v>0</v>
      </c>
      <c r="AF252" s="251">
        <v>0</v>
      </c>
      <c r="AG252" s="251">
        <v>0</v>
      </c>
      <c r="AH252" s="251">
        <v>500</v>
      </c>
      <c r="AI252" s="250">
        <f t="shared" si="4"/>
        <v>3500</v>
      </c>
    </row>
    <row r="253" spans="1:35" x14ac:dyDescent="0.35">
      <c r="A253" s="5" t="s">
        <v>1001</v>
      </c>
      <c r="B253" s="250">
        <v>0</v>
      </c>
      <c r="C253" s="250">
        <v>0</v>
      </c>
      <c r="D253" s="250">
        <v>0</v>
      </c>
      <c r="E253" s="250">
        <v>0</v>
      </c>
      <c r="F253" s="250">
        <v>0</v>
      </c>
      <c r="G253" s="250">
        <v>500</v>
      </c>
      <c r="H253" s="250">
        <v>0</v>
      </c>
      <c r="I253" s="250">
        <v>0</v>
      </c>
      <c r="J253" s="250">
        <v>0</v>
      </c>
      <c r="K253" s="250">
        <v>0</v>
      </c>
      <c r="L253" s="250">
        <v>0</v>
      </c>
      <c r="M253" s="250">
        <v>0</v>
      </c>
      <c r="N253" s="250">
        <v>0</v>
      </c>
      <c r="O253" s="250">
        <v>0</v>
      </c>
      <c r="P253" s="250">
        <v>0</v>
      </c>
      <c r="Q253" s="250">
        <v>0</v>
      </c>
      <c r="R253" s="250">
        <v>0</v>
      </c>
      <c r="S253" s="250">
        <v>0</v>
      </c>
      <c r="T253" s="250">
        <v>0</v>
      </c>
      <c r="U253" s="250">
        <v>0</v>
      </c>
      <c r="V253" s="250">
        <v>0</v>
      </c>
      <c r="W253" s="250">
        <v>0</v>
      </c>
      <c r="X253" s="250">
        <v>0</v>
      </c>
      <c r="Y253" s="247">
        <v>0</v>
      </c>
      <c r="Z253" s="250">
        <v>0</v>
      </c>
      <c r="AA253" s="250">
        <v>0</v>
      </c>
      <c r="AB253" s="250">
        <v>0</v>
      </c>
      <c r="AC253" s="250">
        <v>0</v>
      </c>
      <c r="AD253" s="250">
        <v>0</v>
      </c>
      <c r="AE253" s="251">
        <v>0</v>
      </c>
      <c r="AF253" s="251">
        <v>0</v>
      </c>
      <c r="AG253" s="251">
        <v>430</v>
      </c>
      <c r="AH253" s="251">
        <v>0</v>
      </c>
      <c r="AI253" s="250">
        <f t="shared" si="4"/>
        <v>930</v>
      </c>
    </row>
    <row r="254" spans="1:35" x14ac:dyDescent="0.35">
      <c r="A254" s="5" t="s">
        <v>943</v>
      </c>
      <c r="B254" s="250">
        <v>0</v>
      </c>
      <c r="C254" s="250">
        <v>0</v>
      </c>
      <c r="D254" s="250">
        <v>0</v>
      </c>
      <c r="E254" s="250">
        <v>0</v>
      </c>
      <c r="F254" s="250">
        <v>0</v>
      </c>
      <c r="G254" s="250">
        <v>500</v>
      </c>
      <c r="H254" s="250">
        <v>0</v>
      </c>
      <c r="I254" s="250">
        <v>0</v>
      </c>
      <c r="J254" s="250">
        <v>0</v>
      </c>
      <c r="K254" s="250">
        <v>0</v>
      </c>
      <c r="L254" s="250">
        <v>0</v>
      </c>
      <c r="M254" s="250">
        <v>0</v>
      </c>
      <c r="N254" s="250">
        <v>0</v>
      </c>
      <c r="O254" s="250">
        <v>0</v>
      </c>
      <c r="P254" s="250">
        <v>0</v>
      </c>
      <c r="Q254" s="250">
        <v>0</v>
      </c>
      <c r="R254" s="250">
        <v>0</v>
      </c>
      <c r="S254" s="250">
        <v>0</v>
      </c>
      <c r="T254" s="250">
        <v>0</v>
      </c>
      <c r="U254" s="250">
        <v>0</v>
      </c>
      <c r="V254" s="250">
        <v>0</v>
      </c>
      <c r="W254" s="250">
        <v>0</v>
      </c>
      <c r="X254" s="250">
        <v>0</v>
      </c>
      <c r="Y254" s="247">
        <v>0</v>
      </c>
      <c r="Z254" s="250">
        <v>0</v>
      </c>
      <c r="AA254" s="250">
        <v>0</v>
      </c>
      <c r="AB254" s="250">
        <v>0</v>
      </c>
      <c r="AC254" s="250">
        <v>0</v>
      </c>
      <c r="AD254" s="250">
        <v>0</v>
      </c>
      <c r="AE254" s="251">
        <v>0</v>
      </c>
      <c r="AF254" s="251">
        <v>0</v>
      </c>
      <c r="AG254" s="251">
        <v>350</v>
      </c>
      <c r="AH254" s="251">
        <v>0</v>
      </c>
      <c r="AI254" s="250">
        <f t="shared" si="4"/>
        <v>850</v>
      </c>
    </row>
    <row r="255" spans="1:35" x14ac:dyDescent="0.35">
      <c r="A255" s="5" t="s">
        <v>549</v>
      </c>
      <c r="B255" s="250">
        <v>0</v>
      </c>
      <c r="C255" s="250">
        <v>0</v>
      </c>
      <c r="D255" s="250">
        <v>350</v>
      </c>
      <c r="E255" s="250">
        <v>0</v>
      </c>
      <c r="F255" s="250">
        <v>0</v>
      </c>
      <c r="G255" s="250">
        <v>750</v>
      </c>
      <c r="H255" s="250">
        <v>0</v>
      </c>
      <c r="I255" s="250">
        <v>0</v>
      </c>
      <c r="J255" s="250">
        <v>0</v>
      </c>
      <c r="K255" s="250">
        <v>0</v>
      </c>
      <c r="L255" s="250">
        <v>0</v>
      </c>
      <c r="M255" s="250">
        <v>0</v>
      </c>
      <c r="N255" s="250">
        <v>0</v>
      </c>
      <c r="O255" s="250">
        <v>0</v>
      </c>
      <c r="P255" s="250">
        <v>0</v>
      </c>
      <c r="Q255" s="250">
        <v>0</v>
      </c>
      <c r="R255" s="250">
        <v>0</v>
      </c>
      <c r="S255" s="250">
        <v>0</v>
      </c>
      <c r="T255" s="250">
        <v>0</v>
      </c>
      <c r="U255" s="250">
        <v>0</v>
      </c>
      <c r="V255" s="250">
        <v>0</v>
      </c>
      <c r="W255" s="250">
        <v>0</v>
      </c>
      <c r="X255" s="250">
        <v>0</v>
      </c>
      <c r="Y255" s="250">
        <v>0</v>
      </c>
      <c r="Z255" s="250">
        <v>0</v>
      </c>
      <c r="AA255" s="250">
        <v>1000</v>
      </c>
      <c r="AB255" s="250">
        <v>0</v>
      </c>
      <c r="AC255" s="250">
        <v>0</v>
      </c>
      <c r="AD255" s="250">
        <v>0</v>
      </c>
      <c r="AE255" s="251">
        <v>0</v>
      </c>
      <c r="AF255" s="251">
        <v>0</v>
      </c>
      <c r="AG255" s="251">
        <v>775</v>
      </c>
      <c r="AH255" s="251">
        <v>0</v>
      </c>
      <c r="AI255" s="250">
        <f t="shared" ref="AI255:AI318" si="5">SUM(B255:AH255)</f>
        <v>2875</v>
      </c>
    </row>
    <row r="256" spans="1:35" x14ac:dyDescent="0.35">
      <c r="A256" s="5" t="s">
        <v>981</v>
      </c>
      <c r="B256" s="250">
        <v>0</v>
      </c>
      <c r="C256" s="250">
        <v>0</v>
      </c>
      <c r="D256" s="250">
        <v>0</v>
      </c>
      <c r="E256" s="250">
        <v>0</v>
      </c>
      <c r="F256" s="250">
        <v>0</v>
      </c>
      <c r="G256" s="250">
        <v>500</v>
      </c>
      <c r="H256" s="250">
        <v>0</v>
      </c>
      <c r="I256" s="250">
        <v>0</v>
      </c>
      <c r="J256" s="250">
        <v>0</v>
      </c>
      <c r="K256" s="250">
        <v>0</v>
      </c>
      <c r="L256" s="250">
        <v>0</v>
      </c>
      <c r="M256" s="250">
        <v>0</v>
      </c>
      <c r="N256" s="250">
        <v>0</v>
      </c>
      <c r="O256" s="250">
        <v>0</v>
      </c>
      <c r="P256" s="250">
        <v>0</v>
      </c>
      <c r="Q256" s="250">
        <v>0</v>
      </c>
      <c r="R256" s="250">
        <v>0</v>
      </c>
      <c r="S256" s="250">
        <v>0</v>
      </c>
      <c r="T256" s="250">
        <v>0</v>
      </c>
      <c r="U256" s="250">
        <v>0</v>
      </c>
      <c r="V256" s="250">
        <v>0</v>
      </c>
      <c r="W256" s="250">
        <v>0</v>
      </c>
      <c r="X256" s="250">
        <v>0</v>
      </c>
      <c r="Y256" s="250">
        <v>0</v>
      </c>
      <c r="Z256" s="250">
        <v>0</v>
      </c>
      <c r="AA256" s="250">
        <v>0</v>
      </c>
      <c r="AB256" s="250">
        <v>0</v>
      </c>
      <c r="AC256" s="250">
        <v>0</v>
      </c>
      <c r="AD256" s="250">
        <v>0</v>
      </c>
      <c r="AE256" s="251">
        <v>0</v>
      </c>
      <c r="AF256" s="251">
        <v>0</v>
      </c>
      <c r="AG256" s="251">
        <v>350</v>
      </c>
      <c r="AH256" s="251">
        <v>0</v>
      </c>
      <c r="AI256" s="250">
        <f t="shared" si="5"/>
        <v>850</v>
      </c>
    </row>
    <row r="257" spans="1:35" x14ac:dyDescent="0.35">
      <c r="A257" s="5" t="s">
        <v>2347</v>
      </c>
      <c r="B257" s="250">
        <v>0</v>
      </c>
      <c r="C257" s="250">
        <v>0</v>
      </c>
      <c r="D257" s="250">
        <v>0</v>
      </c>
      <c r="E257" s="250">
        <v>0</v>
      </c>
      <c r="F257" s="250">
        <v>0</v>
      </c>
      <c r="G257" s="250">
        <v>0</v>
      </c>
      <c r="H257" s="250">
        <v>0</v>
      </c>
      <c r="I257" s="250">
        <v>0</v>
      </c>
      <c r="J257" s="250">
        <v>0</v>
      </c>
      <c r="K257" s="250">
        <v>0</v>
      </c>
      <c r="L257" s="250">
        <v>0</v>
      </c>
      <c r="M257" s="250">
        <v>0</v>
      </c>
      <c r="N257" s="250">
        <v>0</v>
      </c>
      <c r="O257" s="250">
        <v>0</v>
      </c>
      <c r="P257" s="250">
        <v>0</v>
      </c>
      <c r="Q257" s="250">
        <v>0</v>
      </c>
      <c r="R257" s="250">
        <v>0</v>
      </c>
      <c r="S257" s="250">
        <v>0</v>
      </c>
      <c r="T257" s="250">
        <v>0</v>
      </c>
      <c r="U257" s="250">
        <v>0</v>
      </c>
      <c r="V257" s="250">
        <v>0</v>
      </c>
      <c r="W257" s="250">
        <v>0</v>
      </c>
      <c r="X257" s="250">
        <v>0</v>
      </c>
      <c r="Y257" s="250">
        <v>0</v>
      </c>
      <c r="Z257" s="250">
        <v>0</v>
      </c>
      <c r="AA257" s="250">
        <v>450</v>
      </c>
      <c r="AB257" s="250">
        <v>0</v>
      </c>
      <c r="AC257" s="250">
        <v>0</v>
      </c>
      <c r="AD257" s="250">
        <v>0</v>
      </c>
      <c r="AE257" s="251">
        <v>0</v>
      </c>
      <c r="AF257" s="251">
        <v>0</v>
      </c>
      <c r="AG257" s="251">
        <v>350</v>
      </c>
      <c r="AH257" s="251">
        <v>0</v>
      </c>
      <c r="AI257" s="250">
        <f t="shared" si="5"/>
        <v>800</v>
      </c>
    </row>
    <row r="258" spans="1:35" x14ac:dyDescent="0.35">
      <c r="A258" s="5" t="s">
        <v>2170</v>
      </c>
      <c r="B258" s="250">
        <v>0</v>
      </c>
      <c r="C258" s="250">
        <v>0</v>
      </c>
      <c r="D258" s="250">
        <v>0</v>
      </c>
      <c r="E258" s="250">
        <v>0</v>
      </c>
      <c r="F258" s="250">
        <v>0</v>
      </c>
      <c r="G258" s="250">
        <v>750</v>
      </c>
      <c r="H258" s="250">
        <v>0</v>
      </c>
      <c r="I258" s="250">
        <v>0</v>
      </c>
      <c r="J258" s="250">
        <v>0</v>
      </c>
      <c r="K258" s="250">
        <v>0</v>
      </c>
      <c r="L258" s="250">
        <v>0</v>
      </c>
      <c r="M258" s="250">
        <v>0</v>
      </c>
      <c r="N258" s="250">
        <v>0</v>
      </c>
      <c r="O258" s="250">
        <v>0</v>
      </c>
      <c r="P258" s="250">
        <v>0</v>
      </c>
      <c r="Q258" s="250">
        <v>0</v>
      </c>
      <c r="R258" s="250">
        <v>0</v>
      </c>
      <c r="S258" s="250">
        <v>0</v>
      </c>
      <c r="T258" s="250">
        <v>1000</v>
      </c>
      <c r="U258" s="250">
        <v>0</v>
      </c>
      <c r="V258" s="250">
        <v>0</v>
      </c>
      <c r="W258" s="250">
        <v>0</v>
      </c>
      <c r="X258" s="250">
        <v>0</v>
      </c>
      <c r="Y258" s="247">
        <v>1000</v>
      </c>
      <c r="Z258" s="250">
        <v>2500</v>
      </c>
      <c r="AA258" s="250">
        <v>0</v>
      </c>
      <c r="AB258" s="250">
        <v>0</v>
      </c>
      <c r="AC258" s="250">
        <v>0</v>
      </c>
      <c r="AD258" s="250">
        <v>0</v>
      </c>
      <c r="AE258" s="251">
        <v>0</v>
      </c>
      <c r="AF258" s="251">
        <v>0</v>
      </c>
      <c r="AG258" s="251">
        <v>350</v>
      </c>
      <c r="AH258" s="251">
        <v>0</v>
      </c>
      <c r="AI258" s="250">
        <f t="shared" si="5"/>
        <v>5600</v>
      </c>
    </row>
    <row r="259" spans="1:35" x14ac:dyDescent="0.35">
      <c r="A259" s="5" t="s">
        <v>2520</v>
      </c>
      <c r="B259" s="250">
        <v>0</v>
      </c>
      <c r="C259" s="250">
        <v>0</v>
      </c>
      <c r="D259" s="250">
        <v>0</v>
      </c>
      <c r="E259" s="250">
        <v>0</v>
      </c>
      <c r="F259" s="250">
        <v>0</v>
      </c>
      <c r="G259" s="250">
        <v>0</v>
      </c>
      <c r="H259" s="250">
        <v>0</v>
      </c>
      <c r="I259" s="250">
        <v>0</v>
      </c>
      <c r="J259" s="250">
        <v>0</v>
      </c>
      <c r="K259" s="250">
        <v>0</v>
      </c>
      <c r="L259" s="250">
        <v>0</v>
      </c>
      <c r="M259" s="250">
        <v>0</v>
      </c>
      <c r="N259" s="250">
        <v>0</v>
      </c>
      <c r="O259" s="250">
        <v>0</v>
      </c>
      <c r="P259" s="250">
        <v>0</v>
      </c>
      <c r="Q259" s="250">
        <v>0</v>
      </c>
      <c r="R259" s="250">
        <v>0</v>
      </c>
      <c r="S259" s="250">
        <v>0</v>
      </c>
      <c r="T259" s="250">
        <v>0</v>
      </c>
      <c r="U259" s="250">
        <v>0</v>
      </c>
      <c r="V259" s="250">
        <v>0</v>
      </c>
      <c r="W259" s="250">
        <v>0</v>
      </c>
      <c r="X259" s="250">
        <v>0</v>
      </c>
      <c r="Y259" s="250">
        <v>0</v>
      </c>
      <c r="Z259" s="250">
        <v>0</v>
      </c>
      <c r="AA259" s="250">
        <v>0</v>
      </c>
      <c r="AB259" s="250">
        <v>0</v>
      </c>
      <c r="AC259" s="250">
        <v>1500</v>
      </c>
      <c r="AD259" s="250">
        <v>0</v>
      </c>
      <c r="AE259" s="251">
        <v>0</v>
      </c>
      <c r="AF259" s="251">
        <v>0</v>
      </c>
      <c r="AG259" s="251">
        <v>0</v>
      </c>
      <c r="AH259" s="251">
        <v>500</v>
      </c>
      <c r="AI259" s="250">
        <f t="shared" si="5"/>
        <v>2000</v>
      </c>
    </row>
    <row r="260" spans="1:35" x14ac:dyDescent="0.35">
      <c r="A260" s="5" t="s">
        <v>2403</v>
      </c>
      <c r="B260" s="250">
        <v>0</v>
      </c>
      <c r="C260" s="250">
        <v>0</v>
      </c>
      <c r="D260" s="250">
        <v>0</v>
      </c>
      <c r="E260" s="250">
        <v>0</v>
      </c>
      <c r="F260" s="250">
        <v>0</v>
      </c>
      <c r="G260" s="250">
        <v>0</v>
      </c>
      <c r="H260" s="250">
        <v>0</v>
      </c>
      <c r="I260" s="250">
        <v>0</v>
      </c>
      <c r="J260" s="250">
        <v>0</v>
      </c>
      <c r="K260" s="250">
        <v>0</v>
      </c>
      <c r="L260" s="250">
        <v>0</v>
      </c>
      <c r="M260" s="250">
        <v>0</v>
      </c>
      <c r="N260" s="250">
        <v>0</v>
      </c>
      <c r="O260" s="250">
        <v>0</v>
      </c>
      <c r="P260" s="250">
        <v>0</v>
      </c>
      <c r="Q260" s="250">
        <v>0</v>
      </c>
      <c r="R260" s="250">
        <v>0</v>
      </c>
      <c r="S260" s="250">
        <v>0</v>
      </c>
      <c r="T260" s="250">
        <v>0</v>
      </c>
      <c r="U260" s="250">
        <v>0</v>
      </c>
      <c r="V260" s="250">
        <v>0</v>
      </c>
      <c r="W260" s="250">
        <v>0</v>
      </c>
      <c r="X260" s="250">
        <v>0</v>
      </c>
      <c r="Y260" s="250">
        <v>0</v>
      </c>
      <c r="Z260" s="250">
        <v>0</v>
      </c>
      <c r="AA260" s="250">
        <v>0</v>
      </c>
      <c r="AB260" s="250">
        <v>3500</v>
      </c>
      <c r="AC260" s="250">
        <v>0</v>
      </c>
      <c r="AD260" s="250">
        <v>0</v>
      </c>
      <c r="AE260" s="251">
        <v>0</v>
      </c>
      <c r="AF260" s="251">
        <v>0</v>
      </c>
      <c r="AG260" s="251">
        <v>0</v>
      </c>
      <c r="AH260" s="251">
        <v>0</v>
      </c>
      <c r="AI260" s="250">
        <f t="shared" si="5"/>
        <v>3500</v>
      </c>
    </row>
    <row r="261" spans="1:35" x14ac:dyDescent="0.35">
      <c r="A261" s="5" t="s">
        <v>235</v>
      </c>
      <c r="B261" s="250">
        <v>0</v>
      </c>
      <c r="C261" s="250">
        <v>2850</v>
      </c>
      <c r="D261" s="250">
        <v>500</v>
      </c>
      <c r="E261" s="250">
        <v>0</v>
      </c>
      <c r="F261" s="250">
        <v>500</v>
      </c>
      <c r="G261" s="250">
        <v>5000</v>
      </c>
      <c r="H261" s="250">
        <v>0</v>
      </c>
      <c r="I261" s="250">
        <v>1000</v>
      </c>
      <c r="J261" s="250">
        <v>0</v>
      </c>
      <c r="K261" s="250">
        <v>1495</v>
      </c>
      <c r="L261" s="250">
        <v>0</v>
      </c>
      <c r="M261" s="250">
        <v>1795</v>
      </c>
      <c r="N261" s="250">
        <v>1000</v>
      </c>
      <c r="O261" s="250">
        <v>1000</v>
      </c>
      <c r="P261" s="250">
        <v>0</v>
      </c>
      <c r="Q261" s="250">
        <v>0</v>
      </c>
      <c r="R261" s="250">
        <v>0</v>
      </c>
      <c r="S261" s="250">
        <v>0</v>
      </c>
      <c r="T261" s="250">
        <v>0</v>
      </c>
      <c r="U261" s="250">
        <v>1000</v>
      </c>
      <c r="V261" s="250">
        <v>0</v>
      </c>
      <c r="W261" s="250">
        <v>0</v>
      </c>
      <c r="X261" s="250">
        <v>0</v>
      </c>
      <c r="Y261" s="250">
        <v>0</v>
      </c>
      <c r="Z261" s="250">
        <v>0</v>
      </c>
      <c r="AA261" s="250">
        <v>0</v>
      </c>
      <c r="AB261" s="250">
        <v>15000</v>
      </c>
      <c r="AC261" s="250">
        <v>0</v>
      </c>
      <c r="AD261" s="250">
        <v>1000</v>
      </c>
      <c r="AE261" s="251">
        <v>500</v>
      </c>
      <c r="AF261" s="251">
        <v>1500</v>
      </c>
      <c r="AG261" s="251">
        <v>4650</v>
      </c>
      <c r="AH261" s="251">
        <v>0</v>
      </c>
      <c r="AI261" s="250">
        <f t="shared" si="5"/>
        <v>38790</v>
      </c>
    </row>
    <row r="262" spans="1:35" x14ac:dyDescent="0.35">
      <c r="A262" s="5" t="s">
        <v>507</v>
      </c>
      <c r="B262" s="250">
        <v>0</v>
      </c>
      <c r="C262" s="250">
        <v>0</v>
      </c>
      <c r="D262" s="250">
        <v>600</v>
      </c>
      <c r="E262" s="250">
        <v>0</v>
      </c>
      <c r="F262" s="250">
        <v>600</v>
      </c>
      <c r="G262" s="250">
        <v>0</v>
      </c>
      <c r="H262" s="250">
        <v>0</v>
      </c>
      <c r="I262" s="250">
        <v>0</v>
      </c>
      <c r="J262" s="250">
        <v>0</v>
      </c>
      <c r="K262" s="250">
        <v>0</v>
      </c>
      <c r="L262" s="250">
        <v>0</v>
      </c>
      <c r="M262" s="250">
        <v>0</v>
      </c>
      <c r="N262" s="250">
        <v>0</v>
      </c>
      <c r="O262" s="250">
        <v>0</v>
      </c>
      <c r="P262" s="250">
        <v>0</v>
      </c>
      <c r="Q262" s="250">
        <v>2500</v>
      </c>
      <c r="R262" s="250">
        <v>0</v>
      </c>
      <c r="S262" s="250">
        <v>0</v>
      </c>
      <c r="T262" s="250">
        <v>0</v>
      </c>
      <c r="U262" s="250">
        <v>0</v>
      </c>
      <c r="V262" s="250">
        <v>0</v>
      </c>
      <c r="W262" s="250">
        <v>0</v>
      </c>
      <c r="X262" s="250">
        <v>0</v>
      </c>
      <c r="Y262" s="250">
        <v>0</v>
      </c>
      <c r="Z262" s="250">
        <v>0</v>
      </c>
      <c r="AA262" s="250">
        <v>0</v>
      </c>
      <c r="AB262" s="250">
        <v>0</v>
      </c>
      <c r="AC262" s="250">
        <v>0</v>
      </c>
      <c r="AD262" s="250">
        <v>0</v>
      </c>
      <c r="AE262" s="251">
        <v>500</v>
      </c>
      <c r="AF262" s="251">
        <v>3000</v>
      </c>
      <c r="AG262" s="251">
        <v>625</v>
      </c>
      <c r="AH262" s="251">
        <v>0</v>
      </c>
      <c r="AI262" s="250">
        <f t="shared" si="5"/>
        <v>7825</v>
      </c>
    </row>
    <row r="263" spans="1:35" x14ac:dyDescent="0.35">
      <c r="A263" s="5" t="s">
        <v>350</v>
      </c>
      <c r="B263" s="250">
        <v>0</v>
      </c>
      <c r="C263" s="250">
        <v>1500</v>
      </c>
      <c r="D263" s="250">
        <v>0</v>
      </c>
      <c r="E263" s="250">
        <v>0</v>
      </c>
      <c r="F263" s="250">
        <v>0</v>
      </c>
      <c r="G263" s="250">
        <v>0</v>
      </c>
      <c r="H263" s="250">
        <v>0</v>
      </c>
      <c r="I263" s="250">
        <v>0</v>
      </c>
      <c r="J263" s="250">
        <v>0</v>
      </c>
      <c r="K263" s="250">
        <v>0</v>
      </c>
      <c r="L263" s="250">
        <v>0</v>
      </c>
      <c r="M263" s="250">
        <v>0</v>
      </c>
      <c r="N263" s="250">
        <v>0</v>
      </c>
      <c r="O263" s="250">
        <v>0</v>
      </c>
      <c r="P263" s="250">
        <v>0</v>
      </c>
      <c r="Q263" s="250">
        <v>0</v>
      </c>
      <c r="R263" s="250">
        <v>0</v>
      </c>
      <c r="S263" s="250">
        <v>0</v>
      </c>
      <c r="T263" s="250">
        <v>0</v>
      </c>
      <c r="U263" s="250">
        <v>0</v>
      </c>
      <c r="V263" s="250">
        <v>0</v>
      </c>
      <c r="W263" s="250">
        <v>0</v>
      </c>
      <c r="X263" s="250">
        <v>0</v>
      </c>
      <c r="Y263" s="250">
        <v>0</v>
      </c>
      <c r="Z263" s="250">
        <v>0</v>
      </c>
      <c r="AA263" s="250">
        <v>0</v>
      </c>
      <c r="AB263" s="250">
        <v>0</v>
      </c>
      <c r="AC263" s="250">
        <v>0</v>
      </c>
      <c r="AD263" s="250">
        <v>3500</v>
      </c>
      <c r="AE263" s="251">
        <v>0</v>
      </c>
      <c r="AF263" s="251">
        <v>0</v>
      </c>
      <c r="AG263" s="251">
        <v>430</v>
      </c>
      <c r="AH263" s="251">
        <v>0</v>
      </c>
      <c r="AI263" s="250">
        <f t="shared" si="5"/>
        <v>5430</v>
      </c>
    </row>
    <row r="264" spans="1:35" x14ac:dyDescent="0.35">
      <c r="A264" s="5" t="s">
        <v>2614</v>
      </c>
      <c r="B264" s="250">
        <v>0</v>
      </c>
      <c r="C264" s="250">
        <v>0</v>
      </c>
      <c r="D264" s="250">
        <v>0</v>
      </c>
      <c r="E264" s="250">
        <v>0</v>
      </c>
      <c r="F264" s="250">
        <v>0</v>
      </c>
      <c r="G264" s="250">
        <v>0</v>
      </c>
      <c r="H264" s="250">
        <v>210</v>
      </c>
      <c r="I264" s="250">
        <v>0</v>
      </c>
      <c r="J264" s="250">
        <v>0</v>
      </c>
      <c r="K264" s="250">
        <v>0</v>
      </c>
      <c r="L264" s="250">
        <v>0</v>
      </c>
      <c r="M264" s="250">
        <v>0</v>
      </c>
      <c r="N264" s="250">
        <v>0</v>
      </c>
      <c r="O264" s="250">
        <v>0</v>
      </c>
      <c r="P264" s="250">
        <v>0</v>
      </c>
      <c r="Q264" s="250">
        <v>2500</v>
      </c>
      <c r="R264" s="250">
        <v>2500</v>
      </c>
      <c r="S264" s="250">
        <v>0</v>
      </c>
      <c r="T264" s="250">
        <v>0</v>
      </c>
      <c r="U264" s="250">
        <v>0</v>
      </c>
      <c r="V264" s="250">
        <v>0</v>
      </c>
      <c r="W264" s="250">
        <v>0</v>
      </c>
      <c r="X264" s="250">
        <v>0</v>
      </c>
      <c r="Y264" s="250">
        <v>0</v>
      </c>
      <c r="Z264" s="250">
        <v>0</v>
      </c>
      <c r="AA264" s="250">
        <v>0</v>
      </c>
      <c r="AB264" s="250">
        <v>6000</v>
      </c>
      <c r="AC264" s="250">
        <v>0</v>
      </c>
      <c r="AD264" s="250">
        <v>0</v>
      </c>
      <c r="AE264" s="251">
        <v>0</v>
      </c>
      <c r="AF264" s="251">
        <v>1500</v>
      </c>
      <c r="AG264" s="251">
        <v>650</v>
      </c>
      <c r="AH264" s="251">
        <v>0</v>
      </c>
      <c r="AI264" s="250">
        <f t="shared" si="5"/>
        <v>13360</v>
      </c>
    </row>
    <row r="265" spans="1:35" x14ac:dyDescent="0.35">
      <c r="A265" s="5" t="s">
        <v>2615</v>
      </c>
      <c r="B265" s="250">
        <v>0</v>
      </c>
      <c r="C265" s="250">
        <v>0</v>
      </c>
      <c r="D265" s="250">
        <v>0</v>
      </c>
      <c r="E265" s="250">
        <v>0</v>
      </c>
      <c r="F265" s="250">
        <v>0</v>
      </c>
      <c r="G265" s="250">
        <v>500</v>
      </c>
      <c r="H265" s="250">
        <v>0</v>
      </c>
      <c r="I265" s="250">
        <v>0</v>
      </c>
      <c r="J265" s="250">
        <v>0</v>
      </c>
      <c r="K265" s="250">
        <v>0</v>
      </c>
      <c r="L265" s="250">
        <v>0</v>
      </c>
      <c r="M265" s="250">
        <v>0</v>
      </c>
      <c r="N265" s="250">
        <v>0</v>
      </c>
      <c r="O265" s="250">
        <v>0</v>
      </c>
      <c r="P265" s="250">
        <v>0</v>
      </c>
      <c r="Q265" s="250">
        <v>0</v>
      </c>
      <c r="R265" s="250">
        <v>0</v>
      </c>
      <c r="S265" s="250">
        <v>0</v>
      </c>
      <c r="T265" s="250">
        <v>0</v>
      </c>
      <c r="U265" s="250">
        <v>0</v>
      </c>
      <c r="V265" s="250">
        <v>0</v>
      </c>
      <c r="W265" s="250">
        <v>0</v>
      </c>
      <c r="X265" s="250">
        <v>0</v>
      </c>
      <c r="Y265" s="250">
        <v>0</v>
      </c>
      <c r="Z265" s="250">
        <v>0</v>
      </c>
      <c r="AA265" s="250">
        <v>0</v>
      </c>
      <c r="AB265" s="250">
        <v>0</v>
      </c>
      <c r="AC265" s="250">
        <v>0</v>
      </c>
      <c r="AD265" s="250">
        <v>0</v>
      </c>
      <c r="AE265" s="251">
        <v>0</v>
      </c>
      <c r="AF265" s="251">
        <v>0</v>
      </c>
      <c r="AG265" s="251">
        <v>350</v>
      </c>
      <c r="AH265" s="251">
        <v>0</v>
      </c>
      <c r="AI265" s="250">
        <f t="shared" si="5"/>
        <v>850</v>
      </c>
    </row>
    <row r="266" spans="1:35" x14ac:dyDescent="0.35">
      <c r="A266" s="5" t="s">
        <v>1670</v>
      </c>
      <c r="B266" s="250">
        <v>0</v>
      </c>
      <c r="C266" s="250">
        <v>0</v>
      </c>
      <c r="D266" s="250">
        <v>0</v>
      </c>
      <c r="E266" s="250">
        <v>0</v>
      </c>
      <c r="F266" s="250">
        <v>0</v>
      </c>
      <c r="G266" s="250">
        <v>0</v>
      </c>
      <c r="H266" s="250">
        <v>0</v>
      </c>
      <c r="I266" s="250">
        <v>0</v>
      </c>
      <c r="J266" s="250">
        <v>0</v>
      </c>
      <c r="K266" s="250">
        <v>0</v>
      </c>
      <c r="L266" s="250">
        <v>0</v>
      </c>
      <c r="M266" s="250">
        <v>0</v>
      </c>
      <c r="N266" s="250">
        <v>0</v>
      </c>
      <c r="O266" s="250">
        <v>0</v>
      </c>
      <c r="P266" s="250">
        <v>0</v>
      </c>
      <c r="Q266" s="250">
        <v>0</v>
      </c>
      <c r="R266" s="250">
        <v>5000</v>
      </c>
      <c r="S266" s="250">
        <v>0</v>
      </c>
      <c r="T266" s="250">
        <v>0</v>
      </c>
      <c r="U266" s="250">
        <v>0</v>
      </c>
      <c r="V266" s="250">
        <v>0</v>
      </c>
      <c r="W266" s="250">
        <v>0</v>
      </c>
      <c r="X266" s="250">
        <v>0</v>
      </c>
      <c r="Y266" s="250">
        <v>0</v>
      </c>
      <c r="Z266" s="250">
        <v>0</v>
      </c>
      <c r="AA266" s="250">
        <v>0</v>
      </c>
      <c r="AB266" s="250">
        <v>0</v>
      </c>
      <c r="AC266" s="250">
        <v>0</v>
      </c>
      <c r="AD266" s="250">
        <v>0</v>
      </c>
      <c r="AE266" s="251">
        <v>0</v>
      </c>
      <c r="AF266" s="251">
        <v>0</v>
      </c>
      <c r="AG266" s="251">
        <v>350</v>
      </c>
      <c r="AH266" s="251">
        <v>0</v>
      </c>
      <c r="AI266" s="250">
        <f t="shared" si="5"/>
        <v>5350</v>
      </c>
    </row>
    <row r="267" spans="1:35" x14ac:dyDescent="0.35">
      <c r="A267" s="5" t="s">
        <v>69</v>
      </c>
      <c r="B267" s="250">
        <v>500</v>
      </c>
      <c r="C267" s="250">
        <v>1500</v>
      </c>
      <c r="D267" s="250">
        <v>1000</v>
      </c>
      <c r="E267" s="250">
        <v>0</v>
      </c>
      <c r="F267" s="250">
        <v>0</v>
      </c>
      <c r="G267" s="250">
        <v>1000</v>
      </c>
      <c r="H267" s="250">
        <v>0</v>
      </c>
      <c r="I267" s="250">
        <v>0</v>
      </c>
      <c r="J267" s="250">
        <v>0</v>
      </c>
      <c r="K267" s="250">
        <v>1495</v>
      </c>
      <c r="L267" s="250">
        <v>0</v>
      </c>
      <c r="M267" s="250">
        <v>0</v>
      </c>
      <c r="N267" s="250">
        <v>0</v>
      </c>
      <c r="O267" s="250">
        <v>0</v>
      </c>
      <c r="P267" s="250">
        <v>0</v>
      </c>
      <c r="Q267" s="250">
        <v>0</v>
      </c>
      <c r="R267" s="250">
        <v>0</v>
      </c>
      <c r="S267" s="250">
        <v>0</v>
      </c>
      <c r="T267" s="250">
        <v>0</v>
      </c>
      <c r="U267" s="250">
        <v>6000</v>
      </c>
      <c r="V267" s="250">
        <v>0</v>
      </c>
      <c r="W267" s="250">
        <v>0</v>
      </c>
      <c r="X267" s="250">
        <v>0</v>
      </c>
      <c r="Y267" s="250">
        <v>2500</v>
      </c>
      <c r="Z267" s="250">
        <v>0</v>
      </c>
      <c r="AA267" s="250">
        <v>0</v>
      </c>
      <c r="AB267" s="250">
        <v>0</v>
      </c>
      <c r="AC267" s="250">
        <v>1200</v>
      </c>
      <c r="AD267" s="250">
        <v>0</v>
      </c>
      <c r="AE267" s="251">
        <v>500</v>
      </c>
      <c r="AF267" s="251">
        <v>1500</v>
      </c>
      <c r="AG267" s="251">
        <v>775</v>
      </c>
      <c r="AH267" s="251">
        <v>0</v>
      </c>
      <c r="AI267" s="250">
        <f t="shared" si="5"/>
        <v>17970</v>
      </c>
    </row>
    <row r="268" spans="1:35" x14ac:dyDescent="0.35">
      <c r="A268" s="5" t="s">
        <v>1597</v>
      </c>
      <c r="B268" s="250">
        <v>0</v>
      </c>
      <c r="C268" s="250">
        <v>0</v>
      </c>
      <c r="D268" s="250">
        <v>0</v>
      </c>
      <c r="E268" s="250">
        <v>0</v>
      </c>
      <c r="F268" s="250">
        <v>0</v>
      </c>
      <c r="G268" s="250">
        <v>0</v>
      </c>
      <c r="H268" s="250">
        <v>0</v>
      </c>
      <c r="I268" s="250">
        <v>0</v>
      </c>
      <c r="J268" s="250">
        <v>0</v>
      </c>
      <c r="K268" s="250">
        <v>0</v>
      </c>
      <c r="L268" s="250">
        <v>0</v>
      </c>
      <c r="M268" s="250">
        <v>0</v>
      </c>
      <c r="N268" s="250">
        <v>0</v>
      </c>
      <c r="O268" s="250">
        <v>0</v>
      </c>
      <c r="P268" s="250">
        <v>0</v>
      </c>
      <c r="Q268" s="250">
        <v>2500</v>
      </c>
      <c r="R268" s="250">
        <v>0</v>
      </c>
      <c r="S268" s="250">
        <v>0</v>
      </c>
      <c r="T268" s="250">
        <v>0</v>
      </c>
      <c r="U268" s="250">
        <v>0</v>
      </c>
      <c r="V268" s="250">
        <v>0</v>
      </c>
      <c r="W268" s="250">
        <v>0</v>
      </c>
      <c r="X268" s="250">
        <v>0</v>
      </c>
      <c r="Y268" s="250">
        <v>0</v>
      </c>
      <c r="Z268" s="250">
        <v>0</v>
      </c>
      <c r="AA268" s="250">
        <v>0</v>
      </c>
      <c r="AB268" s="250">
        <v>0</v>
      </c>
      <c r="AC268" s="250">
        <v>0</v>
      </c>
      <c r="AD268" s="250">
        <v>0</v>
      </c>
      <c r="AE268" s="251">
        <v>0</v>
      </c>
      <c r="AF268" s="251">
        <v>0</v>
      </c>
      <c r="AG268" s="251">
        <v>1150</v>
      </c>
      <c r="AH268" s="251">
        <v>0</v>
      </c>
      <c r="AI268" s="250">
        <f t="shared" si="5"/>
        <v>3650</v>
      </c>
    </row>
    <row r="269" spans="1:35" x14ac:dyDescent="0.35">
      <c r="A269" s="5" t="s">
        <v>1220</v>
      </c>
      <c r="B269" s="250">
        <v>0</v>
      </c>
      <c r="C269" s="250">
        <v>0</v>
      </c>
      <c r="D269" s="250">
        <v>0</v>
      </c>
      <c r="E269" s="250">
        <v>0</v>
      </c>
      <c r="F269" s="250">
        <v>0</v>
      </c>
      <c r="G269" s="250">
        <v>2000</v>
      </c>
      <c r="H269" s="250">
        <v>1000</v>
      </c>
      <c r="I269" s="250">
        <v>0</v>
      </c>
      <c r="J269" s="250">
        <v>0</v>
      </c>
      <c r="K269" s="250">
        <v>0</v>
      </c>
      <c r="L269" s="250">
        <v>0</v>
      </c>
      <c r="M269" s="250">
        <v>0</v>
      </c>
      <c r="N269" s="250">
        <v>0</v>
      </c>
      <c r="O269" s="250">
        <v>0</v>
      </c>
      <c r="P269" s="250">
        <v>0</v>
      </c>
      <c r="Q269" s="250">
        <v>5000</v>
      </c>
      <c r="R269" s="250">
        <v>2500</v>
      </c>
      <c r="S269" s="250">
        <v>1000</v>
      </c>
      <c r="T269" s="250">
        <v>1000</v>
      </c>
      <c r="U269" s="250">
        <v>0</v>
      </c>
      <c r="V269" s="250">
        <v>0</v>
      </c>
      <c r="W269" s="250">
        <v>0</v>
      </c>
      <c r="X269" s="250">
        <v>0</v>
      </c>
      <c r="Y269" s="250">
        <v>2500</v>
      </c>
      <c r="Z269" s="250">
        <v>2500</v>
      </c>
      <c r="AA269" s="250">
        <v>0</v>
      </c>
      <c r="AB269" s="250">
        <v>0</v>
      </c>
      <c r="AC269" s="250">
        <v>0</v>
      </c>
      <c r="AD269" s="250">
        <v>1000</v>
      </c>
      <c r="AE269" s="251">
        <v>1150</v>
      </c>
      <c r="AF269" s="251">
        <v>1500</v>
      </c>
      <c r="AG269" s="251">
        <v>1150</v>
      </c>
      <c r="AH269" s="251">
        <v>0</v>
      </c>
      <c r="AI269" s="250">
        <f t="shared" si="5"/>
        <v>22300</v>
      </c>
    </row>
    <row r="270" spans="1:35" x14ac:dyDescent="0.35">
      <c r="A270" s="5" t="s">
        <v>1750</v>
      </c>
      <c r="B270" s="250">
        <v>0</v>
      </c>
      <c r="C270" s="250">
        <v>0</v>
      </c>
      <c r="D270" s="250">
        <v>0</v>
      </c>
      <c r="E270" s="250">
        <v>0</v>
      </c>
      <c r="F270" s="250">
        <v>0</v>
      </c>
      <c r="G270" s="250">
        <v>0</v>
      </c>
      <c r="H270" s="250">
        <v>0</v>
      </c>
      <c r="I270" s="250">
        <v>0</v>
      </c>
      <c r="J270" s="250">
        <v>0</v>
      </c>
      <c r="K270" s="250">
        <v>0</v>
      </c>
      <c r="L270" s="250">
        <v>0</v>
      </c>
      <c r="M270" s="250">
        <v>0</v>
      </c>
      <c r="N270" s="250">
        <v>0</v>
      </c>
      <c r="O270" s="250">
        <v>0</v>
      </c>
      <c r="P270" s="250">
        <v>0</v>
      </c>
      <c r="Q270" s="250">
        <v>0</v>
      </c>
      <c r="R270" s="250">
        <v>0</v>
      </c>
      <c r="S270" s="250">
        <v>0</v>
      </c>
      <c r="T270" s="250">
        <v>1000</v>
      </c>
      <c r="U270" s="250">
        <v>0</v>
      </c>
      <c r="V270" s="250">
        <v>0</v>
      </c>
      <c r="W270" s="250">
        <v>0</v>
      </c>
      <c r="X270" s="250">
        <v>0</v>
      </c>
      <c r="Y270" s="250">
        <v>0</v>
      </c>
      <c r="Z270" s="250">
        <v>0</v>
      </c>
      <c r="AA270" s="250">
        <v>0</v>
      </c>
      <c r="AB270" s="250">
        <v>0</v>
      </c>
      <c r="AC270" s="250">
        <v>0</v>
      </c>
      <c r="AD270" s="250">
        <v>0</v>
      </c>
      <c r="AE270" s="251">
        <v>0</v>
      </c>
      <c r="AF270" s="251">
        <v>0</v>
      </c>
      <c r="AG270" s="251">
        <v>350</v>
      </c>
      <c r="AH270" s="251">
        <v>0</v>
      </c>
      <c r="AI270" s="250">
        <f t="shared" si="5"/>
        <v>1350</v>
      </c>
    </row>
    <row r="271" spans="1:35" x14ac:dyDescent="0.35">
      <c r="A271" s="5" t="s">
        <v>789</v>
      </c>
      <c r="B271" s="250">
        <v>0</v>
      </c>
      <c r="C271" s="250">
        <v>0</v>
      </c>
      <c r="D271" s="250">
        <v>0</v>
      </c>
      <c r="E271" s="250">
        <v>0</v>
      </c>
      <c r="F271" s="250">
        <v>0</v>
      </c>
      <c r="G271" s="250">
        <v>1000</v>
      </c>
      <c r="H271" s="250">
        <v>0</v>
      </c>
      <c r="I271" s="250">
        <v>0</v>
      </c>
      <c r="J271" s="250">
        <v>0</v>
      </c>
      <c r="K271" s="250">
        <v>0</v>
      </c>
      <c r="L271" s="250">
        <v>0</v>
      </c>
      <c r="M271" s="250">
        <v>0</v>
      </c>
      <c r="N271" s="250">
        <v>0</v>
      </c>
      <c r="O271" s="250">
        <v>0</v>
      </c>
      <c r="P271" s="250">
        <v>0</v>
      </c>
      <c r="Q271" s="250">
        <v>0</v>
      </c>
      <c r="R271" s="250">
        <v>0</v>
      </c>
      <c r="S271" s="250">
        <v>0</v>
      </c>
      <c r="T271" s="250">
        <v>0</v>
      </c>
      <c r="U271" s="250">
        <v>0</v>
      </c>
      <c r="V271" s="250">
        <v>0</v>
      </c>
      <c r="W271" s="250">
        <v>0</v>
      </c>
      <c r="X271" s="250">
        <v>0</v>
      </c>
      <c r="Y271" s="250">
        <v>0</v>
      </c>
      <c r="Z271" s="250">
        <v>0</v>
      </c>
      <c r="AA271" s="250">
        <v>0</v>
      </c>
      <c r="AB271" s="250">
        <v>0</v>
      </c>
      <c r="AC271" s="250">
        <v>0</v>
      </c>
      <c r="AD271" s="250">
        <v>0</v>
      </c>
      <c r="AE271" s="251">
        <v>0</v>
      </c>
      <c r="AF271" s="251">
        <v>0</v>
      </c>
      <c r="AG271" s="251">
        <v>0</v>
      </c>
      <c r="AH271" s="251">
        <v>0</v>
      </c>
      <c r="AI271" s="250">
        <f t="shared" si="5"/>
        <v>1000</v>
      </c>
    </row>
    <row r="272" spans="1:35" x14ac:dyDescent="0.35">
      <c r="A272" s="5" t="s">
        <v>2350</v>
      </c>
      <c r="B272" s="250">
        <v>0</v>
      </c>
      <c r="C272" s="250">
        <v>0</v>
      </c>
      <c r="D272" s="250">
        <v>0</v>
      </c>
      <c r="E272" s="250">
        <v>0</v>
      </c>
      <c r="F272" s="250">
        <v>0</v>
      </c>
      <c r="G272" s="250">
        <v>0</v>
      </c>
      <c r="H272" s="250">
        <v>0</v>
      </c>
      <c r="I272" s="250">
        <v>0</v>
      </c>
      <c r="J272" s="250">
        <v>0</v>
      </c>
      <c r="K272" s="250">
        <v>0</v>
      </c>
      <c r="L272" s="250">
        <v>0</v>
      </c>
      <c r="M272" s="250">
        <v>0</v>
      </c>
      <c r="N272" s="250">
        <v>0</v>
      </c>
      <c r="O272" s="250">
        <v>0</v>
      </c>
      <c r="P272" s="250">
        <v>0</v>
      </c>
      <c r="Q272" s="250">
        <v>0</v>
      </c>
      <c r="R272" s="250">
        <v>0</v>
      </c>
      <c r="S272" s="250">
        <v>0</v>
      </c>
      <c r="T272" s="250">
        <v>0</v>
      </c>
      <c r="U272" s="250">
        <v>0</v>
      </c>
      <c r="V272" s="250">
        <v>0</v>
      </c>
      <c r="W272" s="250">
        <v>0</v>
      </c>
      <c r="X272" s="250">
        <v>0</v>
      </c>
      <c r="Y272" s="250">
        <v>0</v>
      </c>
      <c r="Z272" s="250">
        <v>0</v>
      </c>
      <c r="AA272" s="250">
        <v>450</v>
      </c>
      <c r="AB272" s="250">
        <v>0</v>
      </c>
      <c r="AC272" s="250">
        <v>0</v>
      </c>
      <c r="AD272" s="250">
        <v>0</v>
      </c>
      <c r="AE272" s="251">
        <v>0</v>
      </c>
      <c r="AF272" s="251">
        <v>0</v>
      </c>
      <c r="AG272" s="251">
        <v>950</v>
      </c>
      <c r="AH272" s="251">
        <v>0</v>
      </c>
      <c r="AI272" s="250">
        <f t="shared" si="5"/>
        <v>1400</v>
      </c>
    </row>
    <row r="273" spans="1:35" x14ac:dyDescent="0.35">
      <c r="A273" s="5" t="s">
        <v>775</v>
      </c>
      <c r="B273" s="250">
        <v>0</v>
      </c>
      <c r="C273" s="250">
        <v>0</v>
      </c>
      <c r="D273" s="250">
        <v>0</v>
      </c>
      <c r="E273" s="250">
        <v>0</v>
      </c>
      <c r="F273" s="250">
        <v>0</v>
      </c>
      <c r="G273" s="250">
        <v>1000</v>
      </c>
      <c r="H273" s="250">
        <v>0</v>
      </c>
      <c r="I273" s="250">
        <v>0</v>
      </c>
      <c r="J273" s="250">
        <v>0</v>
      </c>
      <c r="K273" s="250">
        <v>0</v>
      </c>
      <c r="L273" s="250">
        <v>0</v>
      </c>
      <c r="M273" s="250">
        <v>0</v>
      </c>
      <c r="N273" s="250">
        <v>0</v>
      </c>
      <c r="O273" s="250">
        <v>1000</v>
      </c>
      <c r="P273" s="250">
        <v>0</v>
      </c>
      <c r="Q273" s="250">
        <v>0</v>
      </c>
      <c r="R273" s="250">
        <v>0</v>
      </c>
      <c r="S273" s="250">
        <v>0</v>
      </c>
      <c r="T273" s="250">
        <v>0</v>
      </c>
      <c r="U273" s="250">
        <v>0</v>
      </c>
      <c r="V273" s="250">
        <v>500</v>
      </c>
      <c r="W273" s="250">
        <v>0</v>
      </c>
      <c r="X273" s="250">
        <v>0</v>
      </c>
      <c r="Y273" s="250">
        <v>0</v>
      </c>
      <c r="Z273" s="250">
        <v>2000</v>
      </c>
      <c r="AA273" s="250">
        <v>0</v>
      </c>
      <c r="AB273" s="250">
        <v>0</v>
      </c>
      <c r="AC273" s="250">
        <v>0</v>
      </c>
      <c r="AD273" s="250">
        <v>1250</v>
      </c>
      <c r="AE273" s="251">
        <v>0</v>
      </c>
      <c r="AF273" s="251">
        <v>0</v>
      </c>
      <c r="AG273" s="251">
        <v>350</v>
      </c>
      <c r="AH273" s="251">
        <v>0</v>
      </c>
      <c r="AI273" s="250">
        <f t="shared" si="5"/>
        <v>6100</v>
      </c>
    </row>
    <row r="274" spans="1:35" x14ac:dyDescent="0.35">
      <c r="A274" s="5" t="s">
        <v>395</v>
      </c>
      <c r="B274" s="250">
        <v>0</v>
      </c>
      <c r="C274" s="250">
        <v>1500</v>
      </c>
      <c r="D274" s="250">
        <v>600</v>
      </c>
      <c r="E274" s="250">
        <v>0</v>
      </c>
      <c r="F274" s="250">
        <v>600</v>
      </c>
      <c r="G274" s="250">
        <v>0</v>
      </c>
      <c r="H274" s="250">
        <v>0</v>
      </c>
      <c r="I274" s="250">
        <v>0</v>
      </c>
      <c r="J274" s="250">
        <v>0</v>
      </c>
      <c r="K274" s="250">
        <v>0</v>
      </c>
      <c r="L274" s="250">
        <v>0</v>
      </c>
      <c r="M274" s="250">
        <v>0</v>
      </c>
      <c r="N274" s="250">
        <v>0</v>
      </c>
      <c r="O274" s="250">
        <v>0</v>
      </c>
      <c r="P274" s="250">
        <v>0</v>
      </c>
      <c r="Q274" s="250">
        <v>0</v>
      </c>
      <c r="R274" s="250">
        <v>1000</v>
      </c>
      <c r="S274" s="250">
        <v>0</v>
      </c>
      <c r="T274" s="250">
        <v>0</v>
      </c>
      <c r="U274" s="250">
        <v>0</v>
      </c>
      <c r="V274" s="250">
        <v>0</v>
      </c>
      <c r="W274" s="250">
        <v>1500</v>
      </c>
      <c r="X274" s="250">
        <v>0</v>
      </c>
      <c r="Y274" s="250">
        <v>0</v>
      </c>
      <c r="Z274" s="250">
        <v>0</v>
      </c>
      <c r="AA274" s="250">
        <v>0</v>
      </c>
      <c r="AB274" s="250">
        <v>0</v>
      </c>
      <c r="AC274" s="250">
        <v>0</v>
      </c>
      <c r="AD274" s="250">
        <v>0</v>
      </c>
      <c r="AE274" s="251">
        <v>500</v>
      </c>
      <c r="AF274" s="251">
        <v>1500</v>
      </c>
      <c r="AG274" s="251">
        <v>350</v>
      </c>
      <c r="AH274" s="251">
        <v>3737.5</v>
      </c>
      <c r="AI274" s="250">
        <f t="shared" si="5"/>
        <v>11287.5</v>
      </c>
    </row>
    <row r="275" spans="1:35" x14ac:dyDescent="0.35">
      <c r="A275" s="5" t="s">
        <v>747</v>
      </c>
      <c r="B275" s="250">
        <v>0</v>
      </c>
      <c r="C275" s="250">
        <v>0</v>
      </c>
      <c r="D275" s="250">
        <v>350</v>
      </c>
      <c r="E275" s="250">
        <v>0</v>
      </c>
      <c r="F275" s="250">
        <v>0</v>
      </c>
      <c r="G275" s="250">
        <v>2000</v>
      </c>
      <c r="H275" s="250">
        <v>0</v>
      </c>
      <c r="I275" s="250">
        <v>0</v>
      </c>
      <c r="J275" s="250">
        <v>0</v>
      </c>
      <c r="K275" s="250">
        <v>0</v>
      </c>
      <c r="L275" s="250">
        <v>0</v>
      </c>
      <c r="M275" s="250">
        <v>0</v>
      </c>
      <c r="N275" s="250">
        <v>0</v>
      </c>
      <c r="O275" s="250">
        <v>0</v>
      </c>
      <c r="P275" s="250">
        <v>0</v>
      </c>
      <c r="Q275" s="250">
        <v>0</v>
      </c>
      <c r="R275" s="250">
        <v>0</v>
      </c>
      <c r="S275" s="250">
        <v>0</v>
      </c>
      <c r="T275" s="250">
        <v>0</v>
      </c>
      <c r="U275" s="250">
        <v>0</v>
      </c>
      <c r="V275" s="250">
        <v>0</v>
      </c>
      <c r="W275" s="250">
        <v>0</v>
      </c>
      <c r="X275" s="250">
        <v>0</v>
      </c>
      <c r="Y275" s="250">
        <v>0</v>
      </c>
      <c r="Z275" s="250">
        <v>0</v>
      </c>
      <c r="AA275" s="250">
        <v>450</v>
      </c>
      <c r="AB275" s="250">
        <v>0</v>
      </c>
      <c r="AC275" s="250">
        <v>0</v>
      </c>
      <c r="AD275" s="250">
        <v>0</v>
      </c>
      <c r="AE275" s="251">
        <v>0</v>
      </c>
      <c r="AF275" s="251">
        <v>0</v>
      </c>
      <c r="AG275" s="251">
        <v>650</v>
      </c>
      <c r="AH275" s="251">
        <v>0</v>
      </c>
      <c r="AI275" s="250">
        <f t="shared" si="5"/>
        <v>3450</v>
      </c>
    </row>
    <row r="276" spans="1:35" x14ac:dyDescent="0.35">
      <c r="A276" s="5" t="s">
        <v>22</v>
      </c>
      <c r="B276" s="250">
        <v>5000</v>
      </c>
      <c r="C276" s="250">
        <v>0</v>
      </c>
      <c r="D276" s="250">
        <v>500</v>
      </c>
      <c r="E276" s="250">
        <v>0</v>
      </c>
      <c r="F276" s="250">
        <v>500</v>
      </c>
      <c r="G276" s="250">
        <v>500</v>
      </c>
      <c r="H276" s="250">
        <v>0</v>
      </c>
      <c r="I276" s="250">
        <v>2500</v>
      </c>
      <c r="J276" s="250">
        <v>0</v>
      </c>
      <c r="K276" s="250">
        <v>1495</v>
      </c>
      <c r="L276" s="250">
        <v>0</v>
      </c>
      <c r="M276" s="250">
        <v>0</v>
      </c>
      <c r="N276" s="250">
        <v>0</v>
      </c>
      <c r="O276" s="250">
        <v>0</v>
      </c>
      <c r="P276" s="250">
        <v>0</v>
      </c>
      <c r="Q276" s="250">
        <v>1000</v>
      </c>
      <c r="R276" s="250">
        <v>0</v>
      </c>
      <c r="S276" s="250">
        <v>0</v>
      </c>
      <c r="T276" s="250">
        <v>0</v>
      </c>
      <c r="U276" s="250">
        <v>0</v>
      </c>
      <c r="V276" s="250">
        <v>0</v>
      </c>
      <c r="W276" s="250">
        <v>0</v>
      </c>
      <c r="X276" s="250">
        <v>0</v>
      </c>
      <c r="Y276" s="250">
        <v>0</v>
      </c>
      <c r="Z276" s="250">
        <v>2000</v>
      </c>
      <c r="AA276" s="250">
        <v>500</v>
      </c>
      <c r="AB276" s="250">
        <v>0</v>
      </c>
      <c r="AC276" s="250">
        <v>1200</v>
      </c>
      <c r="AD276" s="250">
        <v>0</v>
      </c>
      <c r="AE276" s="251">
        <v>1000</v>
      </c>
      <c r="AF276" s="251">
        <v>1500</v>
      </c>
      <c r="AG276" s="251">
        <v>430</v>
      </c>
      <c r="AH276" s="251">
        <v>0</v>
      </c>
      <c r="AI276" s="250">
        <f t="shared" si="5"/>
        <v>18125</v>
      </c>
    </row>
    <row r="277" spans="1:35" x14ac:dyDescent="0.35">
      <c r="A277" s="5" t="s">
        <v>1436</v>
      </c>
      <c r="B277" s="250">
        <v>0</v>
      </c>
      <c r="C277" s="250">
        <v>0</v>
      </c>
      <c r="D277" s="250">
        <v>0</v>
      </c>
      <c r="E277" s="250">
        <v>0</v>
      </c>
      <c r="F277" s="250">
        <v>0</v>
      </c>
      <c r="G277" s="250">
        <v>0</v>
      </c>
      <c r="H277" s="250">
        <v>0</v>
      </c>
      <c r="I277" s="250">
        <v>0</v>
      </c>
      <c r="J277" s="250">
        <v>0</v>
      </c>
      <c r="K277" s="250">
        <v>0</v>
      </c>
      <c r="L277" s="250">
        <v>5000</v>
      </c>
      <c r="M277" s="250">
        <v>0</v>
      </c>
      <c r="N277" s="250">
        <v>0</v>
      </c>
      <c r="O277" s="250">
        <v>0</v>
      </c>
      <c r="P277" s="250">
        <v>0</v>
      </c>
      <c r="Q277" s="250">
        <v>0</v>
      </c>
      <c r="R277" s="250">
        <v>0</v>
      </c>
      <c r="S277" s="250">
        <v>0</v>
      </c>
      <c r="T277" s="250">
        <v>0</v>
      </c>
      <c r="U277" s="250">
        <v>0</v>
      </c>
      <c r="V277" s="250">
        <v>0</v>
      </c>
      <c r="W277" s="250">
        <v>0</v>
      </c>
      <c r="X277" s="250">
        <v>0</v>
      </c>
      <c r="Y277" s="250">
        <v>0</v>
      </c>
      <c r="Z277" s="250">
        <v>0</v>
      </c>
      <c r="AA277" s="250">
        <v>0</v>
      </c>
      <c r="AB277" s="250">
        <v>0</v>
      </c>
      <c r="AC277" s="250">
        <v>0</v>
      </c>
      <c r="AD277" s="250">
        <v>0</v>
      </c>
      <c r="AE277" s="251">
        <v>0</v>
      </c>
      <c r="AF277" s="251">
        <v>0</v>
      </c>
      <c r="AG277" s="251">
        <v>775</v>
      </c>
      <c r="AH277" s="251">
        <v>0</v>
      </c>
      <c r="AI277" s="250">
        <f t="shared" si="5"/>
        <v>5775</v>
      </c>
    </row>
    <row r="278" spans="1:35" x14ac:dyDescent="0.35">
      <c r="A278" s="5" t="s">
        <v>1040</v>
      </c>
      <c r="B278" s="250">
        <v>0</v>
      </c>
      <c r="C278" s="250">
        <v>0</v>
      </c>
      <c r="D278" s="250">
        <v>0</v>
      </c>
      <c r="E278" s="250">
        <v>0</v>
      </c>
      <c r="F278" s="250">
        <v>0</v>
      </c>
      <c r="G278" s="250">
        <v>0</v>
      </c>
      <c r="H278" s="250">
        <v>0</v>
      </c>
      <c r="I278" s="250">
        <v>0</v>
      </c>
      <c r="J278" s="250">
        <v>0</v>
      </c>
      <c r="K278" s="250">
        <v>2295</v>
      </c>
      <c r="L278" s="250">
        <v>0</v>
      </c>
      <c r="M278" s="250">
        <v>0</v>
      </c>
      <c r="N278" s="250">
        <v>0</v>
      </c>
      <c r="O278" s="250">
        <v>0</v>
      </c>
      <c r="P278" s="250">
        <v>0</v>
      </c>
      <c r="Q278" s="250">
        <v>1000</v>
      </c>
      <c r="R278" s="250">
        <v>0</v>
      </c>
      <c r="S278" s="250">
        <v>0</v>
      </c>
      <c r="T278" s="250">
        <v>0</v>
      </c>
      <c r="U278" s="250">
        <v>0</v>
      </c>
      <c r="V278" s="250">
        <v>0</v>
      </c>
      <c r="W278" s="250">
        <v>0</v>
      </c>
      <c r="X278" s="250">
        <v>0</v>
      </c>
      <c r="Y278" s="250">
        <v>0</v>
      </c>
      <c r="Z278" s="250">
        <v>0</v>
      </c>
      <c r="AA278" s="250">
        <v>0</v>
      </c>
      <c r="AB278" s="250">
        <v>0</v>
      </c>
      <c r="AC278" s="250">
        <v>1200</v>
      </c>
      <c r="AD278" s="250">
        <v>3500</v>
      </c>
      <c r="AE278" s="251">
        <v>250</v>
      </c>
      <c r="AF278" s="251">
        <v>1500</v>
      </c>
      <c r="AG278" s="251">
        <v>480</v>
      </c>
      <c r="AH278" s="251">
        <v>0</v>
      </c>
      <c r="AI278" s="250">
        <f t="shared" si="5"/>
        <v>10225</v>
      </c>
    </row>
    <row r="279" spans="1:35" ht="15.75" customHeight="1" x14ac:dyDescent="0.35">
      <c r="A279" s="5" t="s">
        <v>2616</v>
      </c>
      <c r="B279" s="250">
        <v>0</v>
      </c>
      <c r="C279" s="250">
        <v>0</v>
      </c>
      <c r="D279" s="250">
        <v>350</v>
      </c>
      <c r="E279" s="250">
        <v>0</v>
      </c>
      <c r="F279" s="250">
        <v>350</v>
      </c>
      <c r="G279" s="250">
        <v>500</v>
      </c>
      <c r="H279" s="250">
        <v>0</v>
      </c>
      <c r="I279" s="250">
        <v>0</v>
      </c>
      <c r="J279" s="250">
        <v>0</v>
      </c>
      <c r="K279" s="250">
        <v>0</v>
      </c>
      <c r="L279" s="250">
        <v>0</v>
      </c>
      <c r="M279" s="250">
        <v>0</v>
      </c>
      <c r="N279" s="250">
        <v>0</v>
      </c>
      <c r="O279" s="250">
        <v>0</v>
      </c>
      <c r="P279" s="250">
        <v>0</v>
      </c>
      <c r="Q279" s="250">
        <v>0</v>
      </c>
      <c r="R279" s="250">
        <v>0</v>
      </c>
      <c r="S279" s="250">
        <v>0</v>
      </c>
      <c r="T279" s="250">
        <v>0</v>
      </c>
      <c r="U279" s="250">
        <v>0</v>
      </c>
      <c r="V279" s="250">
        <v>0</v>
      </c>
      <c r="W279" s="250">
        <v>0</v>
      </c>
      <c r="X279" s="250">
        <v>0</v>
      </c>
      <c r="Y279" s="250">
        <v>0</v>
      </c>
      <c r="Z279" s="250">
        <v>0</v>
      </c>
      <c r="AA279" s="250">
        <v>0</v>
      </c>
      <c r="AB279" s="250">
        <v>0</v>
      </c>
      <c r="AC279" s="250">
        <v>0</v>
      </c>
      <c r="AD279" s="250">
        <v>0</v>
      </c>
      <c r="AE279" s="251">
        <v>0</v>
      </c>
      <c r="AF279" s="251">
        <v>0</v>
      </c>
      <c r="AG279" s="251">
        <v>550</v>
      </c>
      <c r="AH279" s="251">
        <v>0</v>
      </c>
      <c r="AI279" s="250">
        <f t="shared" si="5"/>
        <v>1750</v>
      </c>
    </row>
    <row r="280" spans="1:35" x14ac:dyDescent="0.35">
      <c r="A280" s="5" t="s">
        <v>545</v>
      </c>
      <c r="B280" s="250">
        <v>0</v>
      </c>
      <c r="C280" s="250">
        <v>0</v>
      </c>
      <c r="D280" s="250">
        <v>850</v>
      </c>
      <c r="E280" s="250">
        <v>0</v>
      </c>
      <c r="F280" s="250">
        <v>700</v>
      </c>
      <c r="G280" s="250">
        <v>0</v>
      </c>
      <c r="H280" s="250">
        <v>0</v>
      </c>
      <c r="I280" s="250">
        <v>0</v>
      </c>
      <c r="J280" s="250">
        <v>0</v>
      </c>
      <c r="K280" s="250">
        <v>0</v>
      </c>
      <c r="L280" s="250">
        <v>0</v>
      </c>
      <c r="M280" s="250">
        <v>0</v>
      </c>
      <c r="N280" s="250">
        <v>0</v>
      </c>
      <c r="O280" s="250">
        <v>0</v>
      </c>
      <c r="P280" s="250">
        <v>0</v>
      </c>
      <c r="Q280" s="250">
        <v>0</v>
      </c>
      <c r="R280" s="250">
        <v>0</v>
      </c>
      <c r="S280" s="250">
        <v>0</v>
      </c>
      <c r="T280" s="250">
        <v>0</v>
      </c>
      <c r="U280" s="250">
        <v>0</v>
      </c>
      <c r="V280" s="250">
        <v>0</v>
      </c>
      <c r="W280" s="250">
        <v>0</v>
      </c>
      <c r="X280" s="250">
        <v>0</v>
      </c>
      <c r="Y280" s="250">
        <v>0</v>
      </c>
      <c r="Z280" s="250">
        <v>0</v>
      </c>
      <c r="AA280" s="250">
        <v>0</v>
      </c>
      <c r="AB280" s="250">
        <v>0</v>
      </c>
      <c r="AC280" s="250">
        <v>0</v>
      </c>
      <c r="AD280" s="250">
        <v>0</v>
      </c>
      <c r="AE280" s="251">
        <v>0</v>
      </c>
      <c r="AF280" s="251">
        <v>0</v>
      </c>
      <c r="AG280" s="251">
        <v>350</v>
      </c>
      <c r="AH280" s="251">
        <v>0</v>
      </c>
      <c r="AI280" s="250">
        <f t="shared" si="5"/>
        <v>1900</v>
      </c>
    </row>
    <row r="281" spans="1:35" x14ac:dyDescent="0.35">
      <c r="A281" s="5" t="s">
        <v>1415</v>
      </c>
      <c r="B281" s="250">
        <v>0</v>
      </c>
      <c r="C281" s="250">
        <v>0</v>
      </c>
      <c r="D281" s="250">
        <v>0</v>
      </c>
      <c r="E281" s="250">
        <v>0</v>
      </c>
      <c r="F281" s="250">
        <v>0</v>
      </c>
      <c r="G281" s="250">
        <v>0</v>
      </c>
      <c r="H281" s="250">
        <v>0</v>
      </c>
      <c r="I281" s="250">
        <v>0</v>
      </c>
      <c r="J281" s="250">
        <v>0</v>
      </c>
      <c r="K281" s="250">
        <v>1495</v>
      </c>
      <c r="L281" s="250">
        <v>0</v>
      </c>
      <c r="M281" s="250">
        <v>0</v>
      </c>
      <c r="N281" s="250">
        <v>0</v>
      </c>
      <c r="O281" s="250">
        <v>0</v>
      </c>
      <c r="P281" s="250">
        <v>0</v>
      </c>
      <c r="Q281" s="250">
        <v>0</v>
      </c>
      <c r="R281" s="250">
        <v>0</v>
      </c>
      <c r="S281" s="250">
        <v>0</v>
      </c>
      <c r="T281" s="250">
        <v>0</v>
      </c>
      <c r="U281" s="250">
        <v>0</v>
      </c>
      <c r="V281" s="250">
        <v>0</v>
      </c>
      <c r="W281" s="250">
        <v>0</v>
      </c>
      <c r="X281" s="250">
        <v>0</v>
      </c>
      <c r="Y281" s="250">
        <v>0</v>
      </c>
      <c r="Z281" s="250">
        <v>0</v>
      </c>
      <c r="AA281" s="250">
        <v>0</v>
      </c>
      <c r="AB281" s="250">
        <v>0</v>
      </c>
      <c r="AC281" s="250">
        <v>1200</v>
      </c>
      <c r="AD281" s="250">
        <v>0</v>
      </c>
      <c r="AE281" s="251">
        <v>0</v>
      </c>
      <c r="AF281" s="251">
        <v>0</v>
      </c>
      <c r="AG281" s="251">
        <v>350</v>
      </c>
      <c r="AH281" s="251">
        <v>0</v>
      </c>
      <c r="AI281" s="250">
        <f t="shared" si="5"/>
        <v>3045</v>
      </c>
    </row>
    <row r="282" spans="1:35" x14ac:dyDescent="0.35">
      <c r="A282" s="5" t="s">
        <v>702</v>
      </c>
      <c r="B282" s="250">
        <v>0</v>
      </c>
      <c r="C282" s="250">
        <v>0</v>
      </c>
      <c r="D282" s="250">
        <v>0</v>
      </c>
      <c r="E282" s="250">
        <v>0</v>
      </c>
      <c r="F282" s="250">
        <v>0</v>
      </c>
      <c r="G282" s="250">
        <v>0</v>
      </c>
      <c r="H282" s="250">
        <v>0</v>
      </c>
      <c r="I282" s="250">
        <v>0</v>
      </c>
      <c r="J282" s="250">
        <v>0</v>
      </c>
      <c r="K282" s="250">
        <v>0</v>
      </c>
      <c r="L282" s="250">
        <v>0</v>
      </c>
      <c r="M282" s="250">
        <v>0</v>
      </c>
      <c r="N282" s="250">
        <v>0</v>
      </c>
      <c r="O282" s="250">
        <v>0</v>
      </c>
      <c r="P282" s="250">
        <v>0</v>
      </c>
      <c r="Q282" s="250">
        <v>0</v>
      </c>
      <c r="R282" s="250">
        <v>0</v>
      </c>
      <c r="S282" s="250">
        <v>1000</v>
      </c>
      <c r="T282" s="250">
        <v>0</v>
      </c>
      <c r="U282" s="250">
        <v>0</v>
      </c>
      <c r="V282" s="250">
        <v>0</v>
      </c>
      <c r="W282" s="250">
        <v>750</v>
      </c>
      <c r="X282" s="250">
        <v>0</v>
      </c>
      <c r="Y282" s="250">
        <v>0</v>
      </c>
      <c r="Z282" s="250">
        <v>0</v>
      </c>
      <c r="AA282" s="250">
        <v>0</v>
      </c>
      <c r="AB282" s="250">
        <v>0</v>
      </c>
      <c r="AC282" s="250">
        <v>0</v>
      </c>
      <c r="AD282" s="250">
        <v>0</v>
      </c>
      <c r="AE282" s="251">
        <v>0</v>
      </c>
      <c r="AF282" s="251">
        <v>1500</v>
      </c>
      <c r="AG282" s="251">
        <v>1600</v>
      </c>
      <c r="AH282" s="251">
        <v>0</v>
      </c>
      <c r="AI282" s="250">
        <f t="shared" si="5"/>
        <v>4850</v>
      </c>
    </row>
    <row r="283" spans="1:35" x14ac:dyDescent="0.35">
      <c r="A283" s="5" t="s">
        <v>1412</v>
      </c>
      <c r="B283" s="250">
        <v>0</v>
      </c>
      <c r="C283" s="250">
        <v>0</v>
      </c>
      <c r="D283" s="250">
        <v>0</v>
      </c>
      <c r="E283" s="250">
        <v>0</v>
      </c>
      <c r="F283" s="250">
        <v>0</v>
      </c>
      <c r="G283" s="250">
        <v>0</v>
      </c>
      <c r="H283" s="250">
        <v>0</v>
      </c>
      <c r="I283" s="250">
        <v>0</v>
      </c>
      <c r="J283" s="250">
        <v>0</v>
      </c>
      <c r="K283" s="250">
        <v>1495</v>
      </c>
      <c r="L283" s="250">
        <v>0</v>
      </c>
      <c r="M283" s="250">
        <v>0</v>
      </c>
      <c r="N283" s="250">
        <v>0</v>
      </c>
      <c r="O283" s="250">
        <v>0</v>
      </c>
      <c r="P283" s="250">
        <v>0</v>
      </c>
      <c r="Q283" s="250">
        <v>0</v>
      </c>
      <c r="R283" s="250">
        <v>0</v>
      </c>
      <c r="S283" s="250">
        <v>0</v>
      </c>
      <c r="T283" s="250">
        <v>0</v>
      </c>
      <c r="U283" s="250">
        <v>0</v>
      </c>
      <c r="V283" s="250">
        <v>0</v>
      </c>
      <c r="W283" s="250">
        <v>0</v>
      </c>
      <c r="X283" s="250">
        <v>0</v>
      </c>
      <c r="Y283" s="250">
        <v>0</v>
      </c>
      <c r="Z283" s="250">
        <v>0</v>
      </c>
      <c r="AA283" s="250">
        <v>0</v>
      </c>
      <c r="AB283" s="250">
        <v>0</v>
      </c>
      <c r="AC283" s="250">
        <v>0</v>
      </c>
      <c r="AD283" s="250">
        <v>0</v>
      </c>
      <c r="AE283" s="251">
        <v>0</v>
      </c>
      <c r="AF283" s="251">
        <v>0</v>
      </c>
      <c r="AG283" s="251">
        <v>480</v>
      </c>
      <c r="AH283" s="251">
        <v>0</v>
      </c>
      <c r="AI283" s="250">
        <f t="shared" si="5"/>
        <v>1975</v>
      </c>
    </row>
    <row r="284" spans="1:35" x14ac:dyDescent="0.35">
      <c r="A284" s="5" t="s">
        <v>704</v>
      </c>
      <c r="B284" s="250">
        <v>0</v>
      </c>
      <c r="C284" s="250">
        <v>0</v>
      </c>
      <c r="D284" s="250">
        <v>0</v>
      </c>
      <c r="E284" s="250">
        <v>0</v>
      </c>
      <c r="F284" s="250">
        <v>2500</v>
      </c>
      <c r="G284" s="250">
        <v>0</v>
      </c>
      <c r="H284" s="250">
        <v>240</v>
      </c>
      <c r="I284" s="250">
        <v>0</v>
      </c>
      <c r="J284" s="250">
        <v>0</v>
      </c>
      <c r="K284" s="250">
        <v>0</v>
      </c>
      <c r="L284" s="250">
        <v>0</v>
      </c>
      <c r="M284" s="250">
        <v>0</v>
      </c>
      <c r="N284" s="250">
        <v>0</v>
      </c>
      <c r="O284" s="250">
        <v>0</v>
      </c>
      <c r="P284" s="250">
        <v>0</v>
      </c>
      <c r="Q284" s="250">
        <v>0</v>
      </c>
      <c r="R284" s="250">
        <v>0</v>
      </c>
      <c r="S284" s="250">
        <v>0</v>
      </c>
      <c r="T284" s="250">
        <v>0</v>
      </c>
      <c r="U284" s="250">
        <v>0</v>
      </c>
      <c r="V284" s="250">
        <v>0</v>
      </c>
      <c r="W284" s="250">
        <v>0</v>
      </c>
      <c r="X284" s="250">
        <v>0</v>
      </c>
      <c r="Y284" s="250">
        <v>0</v>
      </c>
      <c r="Z284" s="250">
        <v>0</v>
      </c>
      <c r="AA284" s="250">
        <v>0</v>
      </c>
      <c r="AB284" s="250">
        <v>0</v>
      </c>
      <c r="AC284" s="250">
        <v>0</v>
      </c>
      <c r="AD284" s="250">
        <v>0</v>
      </c>
      <c r="AE284" s="251">
        <v>0</v>
      </c>
      <c r="AF284" s="251">
        <v>0</v>
      </c>
      <c r="AG284" s="251">
        <v>350</v>
      </c>
      <c r="AH284" s="251">
        <v>0</v>
      </c>
      <c r="AI284" s="250">
        <f t="shared" si="5"/>
        <v>3090</v>
      </c>
    </row>
    <row r="285" spans="1:35" x14ac:dyDescent="0.35">
      <c r="A285" s="5" t="s">
        <v>884</v>
      </c>
      <c r="B285" s="250">
        <v>0</v>
      </c>
      <c r="C285" s="250">
        <v>0</v>
      </c>
      <c r="D285" s="250">
        <v>0</v>
      </c>
      <c r="E285" s="250">
        <v>0</v>
      </c>
      <c r="F285" s="250">
        <v>0</v>
      </c>
      <c r="G285" s="250">
        <v>500</v>
      </c>
      <c r="H285" s="250">
        <v>0</v>
      </c>
      <c r="I285" s="250">
        <v>0</v>
      </c>
      <c r="J285" s="250">
        <v>0</v>
      </c>
      <c r="K285" s="250">
        <v>0</v>
      </c>
      <c r="L285" s="250">
        <v>0</v>
      </c>
      <c r="M285" s="250">
        <v>0</v>
      </c>
      <c r="N285" s="250">
        <v>0</v>
      </c>
      <c r="O285" s="250">
        <v>0</v>
      </c>
      <c r="P285" s="250">
        <v>0</v>
      </c>
      <c r="Q285" s="250">
        <v>0</v>
      </c>
      <c r="R285" s="250">
        <v>0</v>
      </c>
      <c r="S285" s="250">
        <v>0</v>
      </c>
      <c r="T285" s="250">
        <v>0</v>
      </c>
      <c r="U285" s="250">
        <v>0</v>
      </c>
      <c r="V285" s="250">
        <v>0</v>
      </c>
      <c r="W285" s="250">
        <v>0</v>
      </c>
      <c r="X285" s="250">
        <v>0</v>
      </c>
      <c r="Y285" s="250">
        <v>0</v>
      </c>
      <c r="Z285" s="250">
        <v>0</v>
      </c>
      <c r="AA285" s="250">
        <v>0</v>
      </c>
      <c r="AB285" s="250">
        <v>0</v>
      </c>
      <c r="AC285" s="250">
        <v>0</v>
      </c>
      <c r="AD285" s="250">
        <v>0</v>
      </c>
      <c r="AE285" s="251">
        <v>0</v>
      </c>
      <c r="AF285" s="251">
        <v>0</v>
      </c>
      <c r="AG285" s="251">
        <v>350</v>
      </c>
      <c r="AH285" s="251">
        <v>0</v>
      </c>
      <c r="AI285" s="250">
        <f t="shared" si="5"/>
        <v>850</v>
      </c>
    </row>
    <row r="286" spans="1:35" x14ac:dyDescent="0.35">
      <c r="A286" s="5" t="s">
        <v>1041</v>
      </c>
      <c r="B286" s="250"/>
      <c r="C286" s="250"/>
      <c r="D286" s="250"/>
      <c r="E286" s="250"/>
      <c r="F286" s="250"/>
      <c r="G286" s="250"/>
      <c r="H286" s="250"/>
      <c r="I286" s="250"/>
      <c r="J286" s="250"/>
      <c r="K286" s="250"/>
      <c r="L286" s="250"/>
      <c r="M286" s="250"/>
      <c r="N286" s="250"/>
      <c r="O286" s="250"/>
      <c r="P286" s="250"/>
      <c r="Q286" s="250"/>
      <c r="R286" s="250"/>
      <c r="S286" s="250"/>
      <c r="T286" s="250"/>
      <c r="U286" s="250"/>
      <c r="V286" s="250"/>
      <c r="W286" s="250"/>
      <c r="X286" s="250"/>
      <c r="Y286" s="247">
        <v>1000</v>
      </c>
      <c r="Z286" s="250"/>
      <c r="AA286" s="250"/>
      <c r="AB286" s="250"/>
      <c r="AC286" s="250"/>
      <c r="AD286" s="250"/>
      <c r="AE286" s="251"/>
      <c r="AF286" s="251"/>
      <c r="AG286" s="251"/>
      <c r="AH286" s="251"/>
      <c r="AI286" s="250">
        <f t="shared" si="5"/>
        <v>1000</v>
      </c>
    </row>
    <row r="287" spans="1:35" x14ac:dyDescent="0.35">
      <c r="A287" s="5" t="s">
        <v>2301</v>
      </c>
      <c r="B287" s="250">
        <v>0</v>
      </c>
      <c r="C287" s="250">
        <v>0</v>
      </c>
      <c r="D287" s="250">
        <v>0</v>
      </c>
      <c r="E287" s="250">
        <v>0</v>
      </c>
      <c r="F287" s="250">
        <v>0</v>
      </c>
      <c r="G287" s="250">
        <v>0</v>
      </c>
      <c r="H287" s="250">
        <v>0</v>
      </c>
      <c r="I287" s="250">
        <v>0</v>
      </c>
      <c r="J287" s="250">
        <v>0</v>
      </c>
      <c r="K287" s="250">
        <v>0</v>
      </c>
      <c r="L287" s="250">
        <v>0</v>
      </c>
      <c r="M287" s="250">
        <v>0</v>
      </c>
      <c r="N287" s="250">
        <v>0</v>
      </c>
      <c r="O287" s="250">
        <v>0</v>
      </c>
      <c r="P287" s="250">
        <v>0</v>
      </c>
      <c r="Q287" s="250">
        <v>0</v>
      </c>
      <c r="R287" s="250">
        <v>0</v>
      </c>
      <c r="S287" s="250">
        <v>0</v>
      </c>
      <c r="T287" s="250">
        <v>0</v>
      </c>
      <c r="U287" s="250">
        <v>0</v>
      </c>
      <c r="V287" s="250">
        <v>0</v>
      </c>
      <c r="W287" s="250">
        <v>0</v>
      </c>
      <c r="X287" s="250">
        <v>0</v>
      </c>
      <c r="Y287" s="247">
        <v>0</v>
      </c>
      <c r="Z287" s="250">
        <v>0</v>
      </c>
      <c r="AA287" s="250">
        <v>450</v>
      </c>
      <c r="AB287" s="250">
        <v>0</v>
      </c>
      <c r="AC287" s="250">
        <v>0</v>
      </c>
      <c r="AD287" s="250">
        <v>0</v>
      </c>
      <c r="AE287" s="251">
        <v>0</v>
      </c>
      <c r="AF287" s="251">
        <v>0</v>
      </c>
      <c r="AG287" s="251">
        <v>350</v>
      </c>
      <c r="AH287" s="251">
        <v>0</v>
      </c>
      <c r="AI287" s="250">
        <f t="shared" si="5"/>
        <v>800</v>
      </c>
    </row>
    <row r="288" spans="1:35" x14ac:dyDescent="0.35">
      <c r="A288" s="5" t="s">
        <v>857</v>
      </c>
      <c r="B288" s="250">
        <v>0</v>
      </c>
      <c r="C288" s="250">
        <v>0</v>
      </c>
      <c r="D288" s="250">
        <v>0</v>
      </c>
      <c r="E288" s="250">
        <v>0</v>
      </c>
      <c r="F288" s="250">
        <v>0</v>
      </c>
      <c r="G288" s="250">
        <v>820</v>
      </c>
      <c r="H288" s="250">
        <v>0</v>
      </c>
      <c r="I288" s="250">
        <v>0</v>
      </c>
      <c r="J288" s="250">
        <v>0</v>
      </c>
      <c r="K288" s="250">
        <v>0</v>
      </c>
      <c r="L288" s="250">
        <v>0</v>
      </c>
      <c r="M288" s="250">
        <v>0</v>
      </c>
      <c r="N288" s="250">
        <v>0</v>
      </c>
      <c r="O288" s="250">
        <v>0</v>
      </c>
      <c r="P288" s="250">
        <v>0</v>
      </c>
      <c r="Q288" s="250">
        <v>0</v>
      </c>
      <c r="R288" s="250">
        <v>0</v>
      </c>
      <c r="S288" s="250">
        <v>0</v>
      </c>
      <c r="T288" s="250">
        <v>0</v>
      </c>
      <c r="U288" s="250">
        <v>0</v>
      </c>
      <c r="V288" s="250">
        <v>0</v>
      </c>
      <c r="W288" s="250">
        <v>0</v>
      </c>
      <c r="X288" s="250">
        <v>0</v>
      </c>
      <c r="Y288" s="247">
        <v>0</v>
      </c>
      <c r="Z288" s="250">
        <v>0</v>
      </c>
      <c r="AA288" s="250">
        <v>0</v>
      </c>
      <c r="AB288" s="250">
        <v>0</v>
      </c>
      <c r="AC288" s="250">
        <v>0</v>
      </c>
      <c r="AD288" s="250">
        <v>0</v>
      </c>
      <c r="AE288" s="251">
        <v>0</v>
      </c>
      <c r="AF288" s="251">
        <v>0</v>
      </c>
      <c r="AG288" s="251">
        <v>350</v>
      </c>
      <c r="AH288" s="251">
        <v>0</v>
      </c>
      <c r="AI288" s="250">
        <f t="shared" si="5"/>
        <v>1170</v>
      </c>
    </row>
    <row r="289" spans="1:35" x14ac:dyDescent="0.35">
      <c r="A289" s="5" t="s">
        <v>2396</v>
      </c>
      <c r="B289" s="250">
        <v>0</v>
      </c>
      <c r="C289" s="250">
        <v>0</v>
      </c>
      <c r="D289" s="250">
        <v>0</v>
      </c>
      <c r="E289" s="250">
        <v>0</v>
      </c>
      <c r="F289" s="250">
        <v>0</v>
      </c>
      <c r="G289" s="250">
        <v>0</v>
      </c>
      <c r="H289" s="250">
        <v>0</v>
      </c>
      <c r="I289" s="250">
        <v>0</v>
      </c>
      <c r="J289" s="250">
        <v>0</v>
      </c>
      <c r="K289" s="250">
        <v>0</v>
      </c>
      <c r="L289" s="250">
        <v>0</v>
      </c>
      <c r="M289" s="250">
        <v>0</v>
      </c>
      <c r="N289" s="250">
        <v>0</v>
      </c>
      <c r="O289" s="250">
        <v>0</v>
      </c>
      <c r="P289" s="250">
        <v>0</v>
      </c>
      <c r="Q289" s="250">
        <v>0</v>
      </c>
      <c r="R289" s="250">
        <v>0</v>
      </c>
      <c r="S289" s="250">
        <v>0</v>
      </c>
      <c r="T289" s="250">
        <v>0</v>
      </c>
      <c r="U289" s="250">
        <v>0</v>
      </c>
      <c r="V289" s="250">
        <v>0</v>
      </c>
      <c r="W289" s="250">
        <v>0</v>
      </c>
      <c r="X289" s="250">
        <v>0</v>
      </c>
      <c r="Y289" s="250">
        <v>0</v>
      </c>
      <c r="Z289" s="250">
        <v>0</v>
      </c>
      <c r="AA289" s="250">
        <v>0</v>
      </c>
      <c r="AB289" s="250">
        <v>3500</v>
      </c>
      <c r="AC289" s="250">
        <v>0</v>
      </c>
      <c r="AD289" s="250">
        <v>0</v>
      </c>
      <c r="AE289" s="251">
        <v>0</v>
      </c>
      <c r="AF289" s="251">
        <v>0</v>
      </c>
      <c r="AG289" s="251">
        <v>350</v>
      </c>
      <c r="AH289" s="251">
        <v>0</v>
      </c>
      <c r="AI289" s="250">
        <f t="shared" si="5"/>
        <v>3850</v>
      </c>
    </row>
    <row r="290" spans="1:35" x14ac:dyDescent="0.35">
      <c r="A290" s="5" t="s">
        <v>2291</v>
      </c>
      <c r="B290" s="250">
        <v>0</v>
      </c>
      <c r="C290" s="250">
        <v>0</v>
      </c>
      <c r="D290" s="250">
        <v>0</v>
      </c>
      <c r="E290" s="250">
        <v>0</v>
      </c>
      <c r="F290" s="250">
        <v>0</v>
      </c>
      <c r="G290" s="250">
        <v>0</v>
      </c>
      <c r="H290" s="250">
        <v>0</v>
      </c>
      <c r="I290" s="250">
        <v>0</v>
      </c>
      <c r="J290" s="250">
        <v>0</v>
      </c>
      <c r="K290" s="250">
        <v>0</v>
      </c>
      <c r="L290" s="250">
        <v>0</v>
      </c>
      <c r="M290" s="250">
        <v>0</v>
      </c>
      <c r="N290" s="250">
        <v>0</v>
      </c>
      <c r="O290" s="250">
        <v>0</v>
      </c>
      <c r="P290" s="250">
        <v>0</v>
      </c>
      <c r="Q290" s="250">
        <v>0</v>
      </c>
      <c r="R290" s="250">
        <v>0</v>
      </c>
      <c r="S290" s="250">
        <v>0</v>
      </c>
      <c r="T290" s="250">
        <v>0</v>
      </c>
      <c r="U290" s="250">
        <v>0</v>
      </c>
      <c r="V290" s="250">
        <v>0</v>
      </c>
      <c r="W290" s="250">
        <v>0</v>
      </c>
      <c r="X290" s="250">
        <v>0</v>
      </c>
      <c r="Y290" s="250">
        <v>0</v>
      </c>
      <c r="Z290" s="250">
        <v>0</v>
      </c>
      <c r="AA290" s="250">
        <v>450</v>
      </c>
      <c r="AB290" s="250">
        <v>5000</v>
      </c>
      <c r="AC290" s="250">
        <v>0</v>
      </c>
      <c r="AD290" s="250">
        <v>0</v>
      </c>
      <c r="AE290" s="251">
        <v>0</v>
      </c>
      <c r="AF290" s="251">
        <v>0</v>
      </c>
      <c r="AG290" s="251">
        <v>480</v>
      </c>
      <c r="AH290" s="251">
        <v>0</v>
      </c>
      <c r="AI290" s="250">
        <f t="shared" si="5"/>
        <v>5930</v>
      </c>
    </row>
    <row r="291" spans="1:35" x14ac:dyDescent="0.35">
      <c r="A291" s="5" t="s">
        <v>2617</v>
      </c>
      <c r="B291" s="250">
        <v>0</v>
      </c>
      <c r="C291" s="250">
        <v>0</v>
      </c>
      <c r="D291" s="250">
        <v>0</v>
      </c>
      <c r="E291" s="250">
        <v>0</v>
      </c>
      <c r="F291" s="250">
        <v>0</v>
      </c>
      <c r="G291" s="250">
        <v>1000</v>
      </c>
      <c r="H291" s="250">
        <v>0</v>
      </c>
      <c r="I291" s="250">
        <v>0</v>
      </c>
      <c r="J291" s="250">
        <v>0</v>
      </c>
      <c r="K291" s="250">
        <v>0</v>
      </c>
      <c r="L291" s="250">
        <v>0</v>
      </c>
      <c r="M291" s="250">
        <v>0</v>
      </c>
      <c r="N291" s="250">
        <v>0</v>
      </c>
      <c r="O291" s="250">
        <v>0</v>
      </c>
      <c r="P291" s="250">
        <v>0</v>
      </c>
      <c r="Q291" s="250">
        <v>0</v>
      </c>
      <c r="R291" s="250">
        <v>0</v>
      </c>
      <c r="S291" s="250">
        <v>0</v>
      </c>
      <c r="T291" s="250">
        <v>0</v>
      </c>
      <c r="U291" s="250">
        <v>0</v>
      </c>
      <c r="V291" s="250">
        <v>0</v>
      </c>
      <c r="W291" s="250">
        <v>0</v>
      </c>
      <c r="X291" s="250">
        <v>0</v>
      </c>
      <c r="Y291" s="250">
        <v>0</v>
      </c>
      <c r="Z291" s="250">
        <v>0</v>
      </c>
      <c r="AA291" s="250">
        <v>0</v>
      </c>
      <c r="AB291" s="250">
        <v>0</v>
      </c>
      <c r="AC291" s="250">
        <v>0</v>
      </c>
      <c r="AD291" s="250">
        <v>0</v>
      </c>
      <c r="AE291" s="251">
        <v>0</v>
      </c>
      <c r="AF291" s="251">
        <v>0</v>
      </c>
      <c r="AG291" s="251">
        <v>550</v>
      </c>
      <c r="AH291" s="251">
        <v>0</v>
      </c>
      <c r="AI291" s="250">
        <f t="shared" si="5"/>
        <v>1550</v>
      </c>
    </row>
    <row r="292" spans="1:35" x14ac:dyDescent="0.35">
      <c r="A292" s="5" t="s">
        <v>572</v>
      </c>
      <c r="B292" s="250">
        <v>0</v>
      </c>
      <c r="C292" s="250">
        <v>0</v>
      </c>
      <c r="D292" s="250">
        <v>0</v>
      </c>
      <c r="E292" s="250">
        <v>0</v>
      </c>
      <c r="F292" s="250">
        <v>0</v>
      </c>
      <c r="G292" s="250">
        <v>0</v>
      </c>
      <c r="H292" s="250">
        <v>0</v>
      </c>
      <c r="I292" s="250">
        <v>0</v>
      </c>
      <c r="J292" s="250">
        <v>0</v>
      </c>
      <c r="K292" s="250">
        <v>0</v>
      </c>
      <c r="L292" s="250">
        <v>0</v>
      </c>
      <c r="M292" s="250">
        <v>0</v>
      </c>
      <c r="N292" s="250">
        <v>0</v>
      </c>
      <c r="O292" s="250">
        <v>0</v>
      </c>
      <c r="P292" s="250">
        <v>0</v>
      </c>
      <c r="Q292" s="250">
        <v>0</v>
      </c>
      <c r="R292" s="250">
        <v>0</v>
      </c>
      <c r="S292" s="250">
        <v>0</v>
      </c>
      <c r="T292" s="250">
        <v>0</v>
      </c>
      <c r="U292" s="250">
        <v>0</v>
      </c>
      <c r="V292" s="250">
        <v>0</v>
      </c>
      <c r="W292" s="250">
        <v>0</v>
      </c>
      <c r="X292" s="250">
        <v>0</v>
      </c>
      <c r="Y292" s="250">
        <v>0</v>
      </c>
      <c r="Z292" s="250">
        <v>0</v>
      </c>
      <c r="AA292" s="250">
        <v>650</v>
      </c>
      <c r="AB292" s="250">
        <v>0</v>
      </c>
      <c r="AC292" s="250">
        <v>0</v>
      </c>
      <c r="AD292" s="250">
        <v>0</v>
      </c>
      <c r="AE292" s="251">
        <v>0</v>
      </c>
      <c r="AF292" s="251">
        <v>0</v>
      </c>
      <c r="AG292" s="251">
        <v>350</v>
      </c>
      <c r="AH292" s="251">
        <v>0</v>
      </c>
      <c r="AI292" s="250">
        <f t="shared" si="5"/>
        <v>1000</v>
      </c>
    </row>
    <row r="293" spans="1:35" x14ac:dyDescent="0.35">
      <c r="A293" s="5" t="s">
        <v>2618</v>
      </c>
      <c r="B293" s="250">
        <v>0</v>
      </c>
      <c r="C293" s="250">
        <v>0</v>
      </c>
      <c r="D293" s="250">
        <v>0</v>
      </c>
      <c r="E293" s="250">
        <v>0</v>
      </c>
      <c r="F293" s="250">
        <v>0</v>
      </c>
      <c r="G293" s="250">
        <v>0</v>
      </c>
      <c r="H293" s="250">
        <v>0</v>
      </c>
      <c r="I293" s="250">
        <v>0</v>
      </c>
      <c r="J293" s="250">
        <v>0</v>
      </c>
      <c r="K293" s="250">
        <v>0</v>
      </c>
      <c r="L293" s="250">
        <v>0</v>
      </c>
      <c r="M293" s="250">
        <v>0</v>
      </c>
      <c r="N293" s="250">
        <v>0</v>
      </c>
      <c r="O293" s="250">
        <v>0</v>
      </c>
      <c r="P293" s="250">
        <v>0</v>
      </c>
      <c r="Q293" s="250">
        <v>0</v>
      </c>
      <c r="R293" s="250">
        <v>0</v>
      </c>
      <c r="S293" s="250">
        <v>0</v>
      </c>
      <c r="T293" s="250">
        <v>0</v>
      </c>
      <c r="U293" s="250">
        <v>0</v>
      </c>
      <c r="V293" s="250">
        <v>0</v>
      </c>
      <c r="W293" s="250">
        <v>0</v>
      </c>
      <c r="X293" s="250">
        <v>0</v>
      </c>
      <c r="Y293" s="250">
        <v>0</v>
      </c>
      <c r="Z293" s="250">
        <v>0</v>
      </c>
      <c r="AA293" s="250">
        <v>450</v>
      </c>
      <c r="AB293" s="250">
        <v>0</v>
      </c>
      <c r="AC293" s="250">
        <v>0</v>
      </c>
      <c r="AD293" s="250">
        <v>0</v>
      </c>
      <c r="AE293" s="251">
        <v>0</v>
      </c>
      <c r="AF293" s="251">
        <v>0</v>
      </c>
      <c r="AG293" s="251">
        <v>350</v>
      </c>
      <c r="AH293" s="251">
        <v>0</v>
      </c>
      <c r="AI293" s="250">
        <f t="shared" si="5"/>
        <v>800</v>
      </c>
    </row>
    <row r="294" spans="1:35" x14ac:dyDescent="0.35">
      <c r="A294" s="5" t="s">
        <v>1693</v>
      </c>
      <c r="B294" s="250">
        <v>0</v>
      </c>
      <c r="C294" s="250">
        <v>0</v>
      </c>
      <c r="D294" s="250">
        <v>0</v>
      </c>
      <c r="E294" s="250">
        <v>0</v>
      </c>
      <c r="F294" s="250">
        <v>0</v>
      </c>
      <c r="G294" s="250">
        <v>0</v>
      </c>
      <c r="H294" s="250">
        <v>0</v>
      </c>
      <c r="I294" s="250">
        <v>0</v>
      </c>
      <c r="J294" s="250">
        <v>0</v>
      </c>
      <c r="K294" s="250">
        <v>0</v>
      </c>
      <c r="L294" s="250">
        <v>0</v>
      </c>
      <c r="M294" s="250">
        <v>0</v>
      </c>
      <c r="N294" s="250">
        <v>0</v>
      </c>
      <c r="O294" s="250">
        <v>0</v>
      </c>
      <c r="P294" s="250">
        <v>0</v>
      </c>
      <c r="Q294" s="250">
        <v>0</v>
      </c>
      <c r="R294" s="250">
        <v>2500</v>
      </c>
      <c r="S294" s="250">
        <v>0</v>
      </c>
      <c r="T294" s="250">
        <v>0</v>
      </c>
      <c r="U294" s="250">
        <v>0</v>
      </c>
      <c r="V294" s="250">
        <v>0</v>
      </c>
      <c r="W294" s="250">
        <v>0</v>
      </c>
      <c r="X294" s="250">
        <v>0</v>
      </c>
      <c r="Y294" s="250">
        <v>0</v>
      </c>
      <c r="Z294" s="250">
        <v>0</v>
      </c>
      <c r="AA294" s="250">
        <v>0</v>
      </c>
      <c r="AB294" s="250">
        <v>2000</v>
      </c>
      <c r="AC294" s="250">
        <v>0</v>
      </c>
      <c r="AD294" s="250">
        <v>0</v>
      </c>
      <c r="AE294" s="251">
        <v>0</v>
      </c>
      <c r="AF294" s="251">
        <v>0</v>
      </c>
      <c r="AG294" s="251">
        <v>650</v>
      </c>
      <c r="AH294" s="251">
        <v>0</v>
      </c>
      <c r="AI294" s="250">
        <f t="shared" si="5"/>
        <v>5150</v>
      </c>
    </row>
    <row r="295" spans="1:35" x14ac:dyDescent="0.35">
      <c r="A295" s="5" t="s">
        <v>442</v>
      </c>
      <c r="B295" s="250">
        <v>0</v>
      </c>
      <c r="C295" s="250">
        <v>1500</v>
      </c>
      <c r="D295" s="250">
        <v>0</v>
      </c>
      <c r="E295" s="250">
        <v>0</v>
      </c>
      <c r="F295" s="250">
        <v>0</v>
      </c>
      <c r="G295" s="250">
        <v>1000</v>
      </c>
      <c r="H295" s="250">
        <v>0</v>
      </c>
      <c r="I295" s="250">
        <v>0</v>
      </c>
      <c r="J295" s="250">
        <v>0</v>
      </c>
      <c r="K295" s="250">
        <v>0</v>
      </c>
      <c r="L295" s="250">
        <v>0</v>
      </c>
      <c r="M295" s="250">
        <v>0</v>
      </c>
      <c r="N295" s="250">
        <v>0</v>
      </c>
      <c r="O295" s="250">
        <v>0</v>
      </c>
      <c r="P295" s="250">
        <v>0</v>
      </c>
      <c r="Q295" s="250">
        <v>0</v>
      </c>
      <c r="R295" s="250">
        <v>0</v>
      </c>
      <c r="S295" s="250">
        <v>0</v>
      </c>
      <c r="T295" s="250">
        <v>0</v>
      </c>
      <c r="U295" s="250">
        <v>0</v>
      </c>
      <c r="V295" s="250">
        <v>0</v>
      </c>
      <c r="W295" s="250">
        <v>0</v>
      </c>
      <c r="X295" s="250">
        <v>0</v>
      </c>
      <c r="Y295" s="250">
        <v>0</v>
      </c>
      <c r="Z295" s="250">
        <v>0</v>
      </c>
      <c r="AA295" s="250">
        <v>0</v>
      </c>
      <c r="AB295" s="250">
        <v>0</v>
      </c>
      <c r="AC295" s="250">
        <v>0</v>
      </c>
      <c r="AD295" s="250">
        <v>0</v>
      </c>
      <c r="AE295" s="251">
        <v>250</v>
      </c>
      <c r="AF295" s="251">
        <v>0</v>
      </c>
      <c r="AG295" s="251">
        <v>350</v>
      </c>
      <c r="AH295" s="251">
        <v>0</v>
      </c>
      <c r="AI295" s="250">
        <f t="shared" si="5"/>
        <v>3100</v>
      </c>
    </row>
    <row r="296" spans="1:35" x14ac:dyDescent="0.35">
      <c r="A296" s="5" t="s">
        <v>2619</v>
      </c>
      <c r="B296" s="250">
        <v>0</v>
      </c>
      <c r="C296" s="250">
        <v>0</v>
      </c>
      <c r="D296" s="250">
        <v>0</v>
      </c>
      <c r="E296" s="250">
        <v>0</v>
      </c>
      <c r="F296" s="250">
        <v>0</v>
      </c>
      <c r="G296" s="250">
        <v>0</v>
      </c>
      <c r="H296" s="250">
        <v>0</v>
      </c>
      <c r="I296" s="250">
        <v>0</v>
      </c>
      <c r="J296" s="250">
        <v>0</v>
      </c>
      <c r="K296" s="250">
        <v>0</v>
      </c>
      <c r="L296" s="250">
        <v>0</v>
      </c>
      <c r="M296" s="250">
        <v>0</v>
      </c>
      <c r="N296" s="250">
        <v>0</v>
      </c>
      <c r="O296" s="250">
        <v>0</v>
      </c>
      <c r="P296" s="250">
        <v>0</v>
      </c>
      <c r="Q296" s="250">
        <v>0</v>
      </c>
      <c r="R296" s="250">
        <v>0</v>
      </c>
      <c r="S296" s="250">
        <v>0</v>
      </c>
      <c r="T296" s="250">
        <v>0</v>
      </c>
      <c r="U296" s="250">
        <v>0</v>
      </c>
      <c r="V296" s="250">
        <v>0</v>
      </c>
      <c r="W296" s="250">
        <v>0</v>
      </c>
      <c r="X296" s="250">
        <v>0</v>
      </c>
      <c r="Y296" s="250">
        <v>0</v>
      </c>
      <c r="Z296" s="250">
        <v>0</v>
      </c>
      <c r="AA296" s="250">
        <v>450</v>
      </c>
      <c r="AB296" s="250">
        <v>0</v>
      </c>
      <c r="AC296" s="250">
        <v>0</v>
      </c>
      <c r="AD296" s="250">
        <v>0</v>
      </c>
      <c r="AE296" s="251">
        <v>0</v>
      </c>
      <c r="AF296" s="251">
        <v>0</v>
      </c>
      <c r="AG296" s="251">
        <v>350</v>
      </c>
      <c r="AH296" s="251">
        <v>0</v>
      </c>
      <c r="AI296" s="250">
        <f t="shared" si="5"/>
        <v>800</v>
      </c>
    </row>
    <row r="297" spans="1:35" x14ac:dyDescent="0.35">
      <c r="A297" s="5" t="s">
        <v>822</v>
      </c>
      <c r="B297" s="250">
        <v>0</v>
      </c>
      <c r="C297" s="250">
        <v>0</v>
      </c>
      <c r="D297" s="250">
        <v>0</v>
      </c>
      <c r="E297" s="250">
        <v>0</v>
      </c>
      <c r="F297" s="250">
        <v>0</v>
      </c>
      <c r="G297" s="250">
        <v>750</v>
      </c>
      <c r="H297" s="250">
        <v>1000</v>
      </c>
      <c r="I297" s="250">
        <v>0</v>
      </c>
      <c r="J297" s="250">
        <v>0</v>
      </c>
      <c r="K297" s="250">
        <v>0</v>
      </c>
      <c r="L297" s="250">
        <v>0</v>
      </c>
      <c r="M297" s="250">
        <v>0</v>
      </c>
      <c r="N297" s="250">
        <v>0</v>
      </c>
      <c r="O297" s="250">
        <v>0</v>
      </c>
      <c r="P297" s="250">
        <v>0</v>
      </c>
      <c r="Q297" s="250">
        <v>0</v>
      </c>
      <c r="R297" s="250">
        <v>0</v>
      </c>
      <c r="S297" s="250">
        <v>0</v>
      </c>
      <c r="T297" s="250">
        <v>0</v>
      </c>
      <c r="U297" s="250">
        <v>0</v>
      </c>
      <c r="V297" s="250">
        <v>1500</v>
      </c>
      <c r="W297" s="250">
        <v>0</v>
      </c>
      <c r="X297" s="250">
        <v>0</v>
      </c>
      <c r="Y297" s="250">
        <v>0</v>
      </c>
      <c r="Z297" s="250">
        <v>0</v>
      </c>
      <c r="AA297" s="250">
        <v>1000</v>
      </c>
      <c r="AB297" s="250">
        <v>0</v>
      </c>
      <c r="AC297" s="250">
        <v>0</v>
      </c>
      <c r="AD297" s="250">
        <v>0</v>
      </c>
      <c r="AE297" s="251">
        <v>0</v>
      </c>
      <c r="AF297" s="251">
        <v>0</v>
      </c>
      <c r="AG297" s="251">
        <v>350</v>
      </c>
      <c r="AH297" s="251">
        <v>0</v>
      </c>
      <c r="AI297" s="250">
        <f t="shared" si="5"/>
        <v>4600</v>
      </c>
    </row>
    <row r="298" spans="1:35" x14ac:dyDescent="0.35">
      <c r="A298" s="5" t="s">
        <v>2142</v>
      </c>
      <c r="B298" s="250">
        <v>0</v>
      </c>
      <c r="C298" s="250">
        <v>0</v>
      </c>
      <c r="D298" s="250">
        <v>0</v>
      </c>
      <c r="E298" s="250">
        <v>0</v>
      </c>
      <c r="F298" s="250">
        <v>0</v>
      </c>
      <c r="G298" s="250">
        <v>0</v>
      </c>
      <c r="H298" s="250">
        <v>0</v>
      </c>
      <c r="I298" s="250">
        <v>0</v>
      </c>
      <c r="J298" s="250">
        <v>0</v>
      </c>
      <c r="K298" s="250">
        <v>0</v>
      </c>
      <c r="L298" s="250">
        <v>0</v>
      </c>
      <c r="M298" s="250">
        <v>0</v>
      </c>
      <c r="N298" s="250">
        <v>0</v>
      </c>
      <c r="O298" s="250">
        <v>0</v>
      </c>
      <c r="P298" s="250">
        <v>0</v>
      </c>
      <c r="Q298" s="250">
        <v>0</v>
      </c>
      <c r="R298" s="250">
        <v>0</v>
      </c>
      <c r="S298" s="250">
        <v>0</v>
      </c>
      <c r="T298" s="250">
        <v>1000</v>
      </c>
      <c r="U298" s="250">
        <v>0</v>
      </c>
      <c r="V298" s="250">
        <v>0</v>
      </c>
      <c r="W298" s="250">
        <v>0</v>
      </c>
      <c r="X298" s="250">
        <v>0</v>
      </c>
      <c r="Y298" s="247">
        <v>1000</v>
      </c>
      <c r="Z298" s="250">
        <v>0</v>
      </c>
      <c r="AA298" s="250">
        <v>0</v>
      </c>
      <c r="AB298" s="250">
        <v>0</v>
      </c>
      <c r="AC298" s="250">
        <v>0</v>
      </c>
      <c r="AD298" s="250">
        <v>0</v>
      </c>
      <c r="AE298" s="251">
        <v>0</v>
      </c>
      <c r="AF298" s="251">
        <v>0</v>
      </c>
      <c r="AG298" s="251">
        <v>350</v>
      </c>
      <c r="AH298" s="251">
        <v>0</v>
      </c>
      <c r="AI298" s="250">
        <f t="shared" si="5"/>
        <v>2350</v>
      </c>
    </row>
    <row r="299" spans="1:35" x14ac:dyDescent="0.35">
      <c r="A299" s="5" t="s">
        <v>2327</v>
      </c>
      <c r="B299" s="250">
        <v>0</v>
      </c>
      <c r="C299" s="250">
        <v>0</v>
      </c>
      <c r="D299" s="250">
        <v>0</v>
      </c>
      <c r="E299" s="250">
        <v>0</v>
      </c>
      <c r="F299" s="250">
        <v>0</v>
      </c>
      <c r="G299" s="250">
        <v>0</v>
      </c>
      <c r="H299" s="250">
        <v>0</v>
      </c>
      <c r="I299" s="250">
        <v>0</v>
      </c>
      <c r="J299" s="250">
        <v>0</v>
      </c>
      <c r="K299" s="250">
        <v>0</v>
      </c>
      <c r="L299" s="250">
        <v>0</v>
      </c>
      <c r="M299" s="250">
        <v>0</v>
      </c>
      <c r="N299" s="250">
        <v>0</v>
      </c>
      <c r="O299" s="250">
        <v>0</v>
      </c>
      <c r="P299" s="250">
        <v>0</v>
      </c>
      <c r="Q299" s="250">
        <v>0</v>
      </c>
      <c r="R299" s="250">
        <v>0</v>
      </c>
      <c r="S299" s="250">
        <v>0</v>
      </c>
      <c r="T299" s="250">
        <v>0</v>
      </c>
      <c r="U299" s="250">
        <v>0</v>
      </c>
      <c r="V299" s="250">
        <v>0</v>
      </c>
      <c r="W299" s="250">
        <v>0</v>
      </c>
      <c r="X299" s="250">
        <v>0</v>
      </c>
      <c r="Y299" s="247">
        <v>0</v>
      </c>
      <c r="Z299" s="250">
        <v>0</v>
      </c>
      <c r="AA299" s="250">
        <v>450</v>
      </c>
      <c r="AB299" s="250">
        <v>0</v>
      </c>
      <c r="AC299" s="250">
        <v>0</v>
      </c>
      <c r="AD299" s="250">
        <v>0</v>
      </c>
      <c r="AE299" s="251">
        <v>0</v>
      </c>
      <c r="AF299" s="251">
        <v>0</v>
      </c>
      <c r="AG299" s="251">
        <v>350</v>
      </c>
      <c r="AH299" s="251">
        <v>0</v>
      </c>
      <c r="AI299" s="250">
        <f t="shared" si="5"/>
        <v>800</v>
      </c>
    </row>
    <row r="300" spans="1:35" x14ac:dyDescent="0.35">
      <c r="A300" s="5" t="s">
        <v>1755</v>
      </c>
      <c r="B300" s="250">
        <v>0</v>
      </c>
      <c r="C300" s="250">
        <v>0</v>
      </c>
      <c r="D300" s="250">
        <v>0</v>
      </c>
      <c r="E300" s="250">
        <v>0</v>
      </c>
      <c r="F300" s="250">
        <v>0</v>
      </c>
      <c r="G300" s="250">
        <v>0</v>
      </c>
      <c r="H300" s="250">
        <v>0</v>
      </c>
      <c r="I300" s="250">
        <v>0</v>
      </c>
      <c r="J300" s="250">
        <v>0</v>
      </c>
      <c r="K300" s="250">
        <v>0</v>
      </c>
      <c r="L300" s="250">
        <v>0</v>
      </c>
      <c r="M300" s="250">
        <v>0</v>
      </c>
      <c r="N300" s="250">
        <v>0</v>
      </c>
      <c r="O300" s="250">
        <v>0</v>
      </c>
      <c r="P300" s="250">
        <v>0</v>
      </c>
      <c r="Q300" s="250">
        <v>0</v>
      </c>
      <c r="R300" s="250">
        <v>0</v>
      </c>
      <c r="S300" s="250">
        <v>0</v>
      </c>
      <c r="T300" s="250">
        <v>1000</v>
      </c>
      <c r="U300" s="250">
        <v>0</v>
      </c>
      <c r="V300" s="250">
        <v>0</v>
      </c>
      <c r="W300" s="250">
        <v>0</v>
      </c>
      <c r="X300" s="250">
        <v>0</v>
      </c>
      <c r="Y300" s="250">
        <v>0</v>
      </c>
      <c r="Z300" s="250">
        <v>0</v>
      </c>
      <c r="AA300" s="250">
        <v>0</v>
      </c>
      <c r="AB300" s="250">
        <v>0</v>
      </c>
      <c r="AC300" s="250">
        <v>0</v>
      </c>
      <c r="AD300" s="250">
        <v>0</v>
      </c>
      <c r="AE300" s="251">
        <v>0</v>
      </c>
      <c r="AF300" s="251">
        <v>0</v>
      </c>
      <c r="AG300" s="251">
        <v>0</v>
      </c>
      <c r="AH300" s="251">
        <v>0</v>
      </c>
      <c r="AI300" s="250">
        <f t="shared" si="5"/>
        <v>1000</v>
      </c>
    </row>
    <row r="301" spans="1:35" x14ac:dyDescent="0.35">
      <c r="A301" s="5" t="s">
        <v>182</v>
      </c>
      <c r="B301" s="250">
        <v>0</v>
      </c>
      <c r="C301" s="250">
        <v>5000</v>
      </c>
      <c r="D301" s="250">
        <v>0</v>
      </c>
      <c r="E301" s="250">
        <v>0</v>
      </c>
      <c r="F301" s="250">
        <v>0</v>
      </c>
      <c r="G301" s="250">
        <v>0</v>
      </c>
      <c r="H301" s="250">
        <v>0</v>
      </c>
      <c r="I301" s="250">
        <v>0</v>
      </c>
      <c r="J301" s="250">
        <v>0</v>
      </c>
      <c r="K301" s="250">
        <v>0</v>
      </c>
      <c r="L301" s="250">
        <v>0</v>
      </c>
      <c r="M301" s="250">
        <v>0</v>
      </c>
      <c r="N301" s="250">
        <v>0</v>
      </c>
      <c r="O301" s="250">
        <v>0</v>
      </c>
      <c r="P301" s="250">
        <v>0</v>
      </c>
      <c r="Q301" s="250">
        <v>0</v>
      </c>
      <c r="R301" s="250">
        <v>0</v>
      </c>
      <c r="S301" s="250">
        <v>0</v>
      </c>
      <c r="T301" s="250">
        <v>0</v>
      </c>
      <c r="U301" s="250">
        <v>0</v>
      </c>
      <c r="V301" s="250">
        <v>0</v>
      </c>
      <c r="W301" s="250">
        <v>0</v>
      </c>
      <c r="X301" s="250">
        <v>0</v>
      </c>
      <c r="Y301" s="250">
        <v>0</v>
      </c>
      <c r="Z301" s="250">
        <v>0</v>
      </c>
      <c r="AA301" s="250">
        <v>450</v>
      </c>
      <c r="AB301" s="250">
        <v>0</v>
      </c>
      <c r="AC301" s="250">
        <v>0</v>
      </c>
      <c r="AD301" s="250">
        <v>0</v>
      </c>
      <c r="AE301" s="251">
        <v>0</v>
      </c>
      <c r="AF301" s="251">
        <v>0</v>
      </c>
      <c r="AG301" s="251">
        <v>350</v>
      </c>
      <c r="AH301" s="251">
        <v>0</v>
      </c>
      <c r="AI301" s="250">
        <f t="shared" si="5"/>
        <v>5800</v>
      </c>
    </row>
    <row r="302" spans="1:35" x14ac:dyDescent="0.35">
      <c r="A302" s="5" t="s">
        <v>2025</v>
      </c>
      <c r="B302" s="250">
        <v>0</v>
      </c>
      <c r="C302" s="250">
        <v>0</v>
      </c>
      <c r="D302" s="250">
        <v>0</v>
      </c>
      <c r="E302" s="250">
        <v>0</v>
      </c>
      <c r="F302" s="250">
        <v>0</v>
      </c>
      <c r="G302" s="250">
        <v>0</v>
      </c>
      <c r="H302" s="250">
        <v>0</v>
      </c>
      <c r="I302" s="250">
        <v>0</v>
      </c>
      <c r="J302" s="250">
        <v>0</v>
      </c>
      <c r="K302" s="250">
        <v>0</v>
      </c>
      <c r="L302" s="250">
        <v>0</v>
      </c>
      <c r="M302" s="250">
        <v>0</v>
      </c>
      <c r="N302" s="250">
        <v>0</v>
      </c>
      <c r="O302" s="250">
        <v>0</v>
      </c>
      <c r="P302" s="250">
        <v>0</v>
      </c>
      <c r="Q302" s="250">
        <v>0</v>
      </c>
      <c r="R302" s="250">
        <v>0</v>
      </c>
      <c r="S302" s="250">
        <v>0</v>
      </c>
      <c r="T302" s="250">
        <v>0</v>
      </c>
      <c r="U302" s="250">
        <v>0</v>
      </c>
      <c r="V302" s="250">
        <v>0</v>
      </c>
      <c r="W302" s="250">
        <v>1500</v>
      </c>
      <c r="X302" s="250">
        <v>0</v>
      </c>
      <c r="Y302" s="250">
        <v>0</v>
      </c>
      <c r="Z302" s="250">
        <v>0</v>
      </c>
      <c r="AA302" s="250">
        <v>0</v>
      </c>
      <c r="AB302" s="250">
        <v>0</v>
      </c>
      <c r="AC302" s="250">
        <v>0</v>
      </c>
      <c r="AD302" s="250">
        <v>0</v>
      </c>
      <c r="AE302" s="251">
        <v>0</v>
      </c>
      <c r="AF302" s="251">
        <v>0</v>
      </c>
      <c r="AG302" s="251">
        <v>1150</v>
      </c>
      <c r="AH302" s="251">
        <v>0</v>
      </c>
      <c r="AI302" s="250">
        <f t="shared" si="5"/>
        <v>2650</v>
      </c>
    </row>
    <row r="303" spans="1:35" ht="14.25" customHeight="1" x14ac:dyDescent="0.35">
      <c r="A303" s="5" t="s">
        <v>212</v>
      </c>
      <c r="B303" s="250">
        <v>0</v>
      </c>
      <c r="C303" s="250">
        <v>5000</v>
      </c>
      <c r="D303" s="250">
        <v>0</v>
      </c>
      <c r="E303" s="250">
        <v>0</v>
      </c>
      <c r="F303" s="250">
        <v>0</v>
      </c>
      <c r="G303" s="250">
        <v>0</v>
      </c>
      <c r="H303" s="250">
        <v>0</v>
      </c>
      <c r="I303" s="250">
        <v>0</v>
      </c>
      <c r="J303" s="250">
        <v>0</v>
      </c>
      <c r="K303" s="250">
        <v>0</v>
      </c>
      <c r="L303" s="250">
        <v>0</v>
      </c>
      <c r="M303" s="250">
        <v>0</v>
      </c>
      <c r="N303" s="250">
        <v>0</v>
      </c>
      <c r="O303" s="250">
        <v>0</v>
      </c>
      <c r="P303" s="250">
        <v>0</v>
      </c>
      <c r="Q303" s="250">
        <v>1000</v>
      </c>
      <c r="R303" s="250">
        <v>0</v>
      </c>
      <c r="S303" s="250">
        <v>0</v>
      </c>
      <c r="T303" s="250">
        <v>0</v>
      </c>
      <c r="U303" s="250">
        <v>0</v>
      </c>
      <c r="V303" s="250">
        <v>0</v>
      </c>
      <c r="W303" s="250">
        <v>0</v>
      </c>
      <c r="X303" s="250">
        <v>0</v>
      </c>
      <c r="Y303" s="250">
        <v>2500</v>
      </c>
      <c r="Z303" s="250">
        <v>0</v>
      </c>
      <c r="AA303" s="250">
        <v>2500</v>
      </c>
      <c r="AB303" s="250">
        <v>0</v>
      </c>
      <c r="AC303" s="250">
        <v>0</v>
      </c>
      <c r="AD303" s="250">
        <v>0</v>
      </c>
      <c r="AE303" s="251">
        <v>500</v>
      </c>
      <c r="AF303" s="251">
        <v>0</v>
      </c>
      <c r="AG303" s="251">
        <v>350</v>
      </c>
      <c r="AH303" s="251">
        <v>0</v>
      </c>
      <c r="AI303" s="250">
        <f t="shared" si="5"/>
        <v>11850</v>
      </c>
    </row>
    <row r="304" spans="1:35" ht="14.25" customHeight="1" x14ac:dyDescent="0.35">
      <c r="A304" s="5" t="s">
        <v>937</v>
      </c>
      <c r="B304" s="250">
        <v>0</v>
      </c>
      <c r="C304" s="250">
        <v>0</v>
      </c>
      <c r="D304" s="250">
        <v>0</v>
      </c>
      <c r="E304" s="250">
        <v>0</v>
      </c>
      <c r="F304" s="250">
        <v>0</v>
      </c>
      <c r="G304" s="250">
        <v>600</v>
      </c>
      <c r="H304" s="250">
        <v>0</v>
      </c>
      <c r="I304" s="250">
        <v>0</v>
      </c>
      <c r="J304" s="250">
        <v>0</v>
      </c>
      <c r="K304" s="250">
        <v>0</v>
      </c>
      <c r="L304" s="250">
        <v>0</v>
      </c>
      <c r="M304" s="250">
        <v>0</v>
      </c>
      <c r="N304" s="250">
        <v>0</v>
      </c>
      <c r="O304" s="250">
        <v>0</v>
      </c>
      <c r="P304" s="250">
        <v>0</v>
      </c>
      <c r="Q304" s="250">
        <v>0</v>
      </c>
      <c r="R304" s="250">
        <v>0</v>
      </c>
      <c r="S304" s="250">
        <v>0</v>
      </c>
      <c r="T304" s="250">
        <v>0</v>
      </c>
      <c r="U304" s="250">
        <v>0</v>
      </c>
      <c r="V304" s="250">
        <v>0</v>
      </c>
      <c r="W304" s="250">
        <v>0</v>
      </c>
      <c r="X304" s="250">
        <v>0</v>
      </c>
      <c r="Y304" s="250">
        <v>0</v>
      </c>
      <c r="Z304" s="250">
        <v>0</v>
      </c>
      <c r="AA304" s="250">
        <v>0</v>
      </c>
      <c r="AB304" s="250">
        <v>0</v>
      </c>
      <c r="AC304" s="250">
        <v>0</v>
      </c>
      <c r="AD304" s="250">
        <v>0</v>
      </c>
      <c r="AE304" s="251">
        <v>0</v>
      </c>
      <c r="AF304" s="251">
        <v>0</v>
      </c>
      <c r="AG304" s="251">
        <v>350</v>
      </c>
      <c r="AH304" s="251">
        <v>0</v>
      </c>
      <c r="AI304" s="250">
        <f t="shared" si="5"/>
        <v>950</v>
      </c>
    </row>
    <row r="305" spans="1:35" ht="14.25" customHeight="1" x14ac:dyDescent="0.35">
      <c r="A305" s="5" t="s">
        <v>2620</v>
      </c>
      <c r="B305" s="250">
        <v>0</v>
      </c>
      <c r="C305" s="250">
        <v>5000</v>
      </c>
      <c r="D305" s="250">
        <v>0</v>
      </c>
      <c r="E305" s="250">
        <v>0</v>
      </c>
      <c r="F305" s="250">
        <v>0</v>
      </c>
      <c r="G305" s="250">
        <v>0</v>
      </c>
      <c r="H305" s="250">
        <v>450</v>
      </c>
      <c r="I305" s="250">
        <v>0</v>
      </c>
      <c r="J305" s="250">
        <v>0</v>
      </c>
      <c r="K305" s="250">
        <v>2990</v>
      </c>
      <c r="L305" s="250">
        <v>0</v>
      </c>
      <c r="M305" s="250">
        <v>0</v>
      </c>
      <c r="N305" s="250">
        <v>0</v>
      </c>
      <c r="O305" s="250">
        <v>0</v>
      </c>
      <c r="P305" s="250">
        <v>0</v>
      </c>
      <c r="Q305" s="250">
        <v>2500</v>
      </c>
      <c r="R305" s="250">
        <v>0</v>
      </c>
      <c r="S305" s="250">
        <v>0</v>
      </c>
      <c r="T305" s="250">
        <v>0</v>
      </c>
      <c r="U305" s="250">
        <v>0</v>
      </c>
      <c r="V305" s="250">
        <v>0</v>
      </c>
      <c r="W305" s="250">
        <v>0</v>
      </c>
      <c r="X305" s="250">
        <v>0</v>
      </c>
      <c r="Y305" s="250">
        <v>0</v>
      </c>
      <c r="Z305" s="250">
        <v>0</v>
      </c>
      <c r="AA305" s="250">
        <v>0</v>
      </c>
      <c r="AB305" s="250">
        <v>0</v>
      </c>
      <c r="AC305" s="250">
        <v>1200</v>
      </c>
      <c r="AD305" s="250">
        <v>0</v>
      </c>
      <c r="AE305" s="251">
        <v>500</v>
      </c>
      <c r="AF305" s="251">
        <v>1500</v>
      </c>
      <c r="AG305" s="251">
        <v>950</v>
      </c>
      <c r="AH305" s="251">
        <v>0</v>
      </c>
      <c r="AI305" s="250">
        <f t="shared" si="5"/>
        <v>15090</v>
      </c>
    </row>
    <row r="306" spans="1:35" x14ac:dyDescent="0.35">
      <c r="A306" s="5" t="s">
        <v>70</v>
      </c>
      <c r="B306" s="250">
        <v>1500</v>
      </c>
      <c r="C306" s="250">
        <v>1500</v>
      </c>
      <c r="D306" s="250">
        <v>0</v>
      </c>
      <c r="E306" s="250">
        <v>0</v>
      </c>
      <c r="F306" s="250">
        <v>0</v>
      </c>
      <c r="G306" s="250">
        <v>0</v>
      </c>
      <c r="H306" s="250">
        <v>0</v>
      </c>
      <c r="I306" s="250">
        <v>0</v>
      </c>
      <c r="J306" s="250">
        <v>0</v>
      </c>
      <c r="K306" s="250">
        <v>0</v>
      </c>
      <c r="L306" s="250">
        <v>0</v>
      </c>
      <c r="M306" s="250">
        <v>0</v>
      </c>
      <c r="N306" s="250">
        <v>0</v>
      </c>
      <c r="O306" s="250">
        <v>0</v>
      </c>
      <c r="P306" s="250">
        <v>3000</v>
      </c>
      <c r="Q306" s="250">
        <v>2500</v>
      </c>
      <c r="R306" s="250">
        <v>0</v>
      </c>
      <c r="S306" s="250">
        <v>0</v>
      </c>
      <c r="T306" s="250">
        <v>0</v>
      </c>
      <c r="U306" s="250">
        <v>0</v>
      </c>
      <c r="V306" s="250">
        <v>0</v>
      </c>
      <c r="W306" s="250">
        <v>0</v>
      </c>
      <c r="X306" s="250">
        <v>0</v>
      </c>
      <c r="Y306" s="250">
        <v>0</v>
      </c>
      <c r="Z306" s="250">
        <v>0</v>
      </c>
      <c r="AA306" s="250">
        <v>0</v>
      </c>
      <c r="AB306" s="250">
        <v>30000</v>
      </c>
      <c r="AC306" s="250">
        <v>0</v>
      </c>
      <c r="AD306" s="250">
        <v>0</v>
      </c>
      <c r="AE306" s="251">
        <v>1000</v>
      </c>
      <c r="AF306" s="251">
        <v>0</v>
      </c>
      <c r="AG306" s="251">
        <v>1000</v>
      </c>
      <c r="AH306" s="251">
        <v>0</v>
      </c>
      <c r="AI306" s="250">
        <f t="shared" si="5"/>
        <v>40500</v>
      </c>
    </row>
    <row r="307" spans="1:35" x14ac:dyDescent="0.35">
      <c r="A307" s="5" t="s">
        <v>40</v>
      </c>
      <c r="B307" s="250">
        <v>2500</v>
      </c>
      <c r="C307" s="250">
        <v>10000</v>
      </c>
      <c r="D307" s="250">
        <v>2500</v>
      </c>
      <c r="E307" s="250">
        <v>0</v>
      </c>
      <c r="F307" s="250">
        <v>1350</v>
      </c>
      <c r="G307" s="250">
        <v>500</v>
      </c>
      <c r="H307" s="250">
        <v>2500</v>
      </c>
      <c r="I307" s="250">
        <v>2500</v>
      </c>
      <c r="J307" s="250">
        <v>0</v>
      </c>
      <c r="K307" s="250">
        <v>0</v>
      </c>
      <c r="L307" s="250">
        <v>2500</v>
      </c>
      <c r="M307" s="250">
        <v>0</v>
      </c>
      <c r="N307" s="250">
        <v>6795</v>
      </c>
      <c r="O307" s="250">
        <v>2500</v>
      </c>
      <c r="P307" s="250">
        <v>3000</v>
      </c>
      <c r="Q307" s="250">
        <v>5000</v>
      </c>
      <c r="R307" s="250">
        <v>5000</v>
      </c>
      <c r="S307" s="250">
        <v>3500</v>
      </c>
      <c r="T307" s="250">
        <v>7500</v>
      </c>
      <c r="U307" s="250">
        <v>1000</v>
      </c>
      <c r="V307" s="250">
        <v>0</v>
      </c>
      <c r="W307" s="250">
        <v>4000</v>
      </c>
      <c r="X307" s="250">
        <v>0</v>
      </c>
      <c r="Y307" s="250">
        <v>2500</v>
      </c>
      <c r="Z307" s="250">
        <v>10000</v>
      </c>
      <c r="AA307" s="250">
        <v>0</v>
      </c>
      <c r="AB307" s="250">
        <v>10000</v>
      </c>
      <c r="AC307" s="250">
        <v>0</v>
      </c>
      <c r="AD307" s="250">
        <v>3500</v>
      </c>
      <c r="AE307" s="251">
        <v>500</v>
      </c>
      <c r="AF307" s="251">
        <v>3000</v>
      </c>
      <c r="AG307" s="251">
        <v>550</v>
      </c>
      <c r="AH307" s="251">
        <v>0</v>
      </c>
      <c r="AI307" s="250">
        <f t="shared" si="5"/>
        <v>92695</v>
      </c>
    </row>
    <row r="308" spans="1:35" x14ac:dyDescent="0.35">
      <c r="A308" s="5" t="s">
        <v>424</v>
      </c>
      <c r="B308" s="250">
        <v>0</v>
      </c>
      <c r="C308" s="250">
        <v>1500</v>
      </c>
      <c r="D308" s="250">
        <v>0</v>
      </c>
      <c r="E308" s="250">
        <v>0</v>
      </c>
      <c r="F308" s="250">
        <v>0</v>
      </c>
      <c r="G308" s="250">
        <v>0</v>
      </c>
      <c r="H308" s="250">
        <v>0</v>
      </c>
      <c r="I308" s="250">
        <v>0</v>
      </c>
      <c r="J308" s="250">
        <v>0</v>
      </c>
      <c r="K308" s="250">
        <v>0</v>
      </c>
      <c r="L308" s="250">
        <v>0</v>
      </c>
      <c r="M308" s="250">
        <v>0</v>
      </c>
      <c r="N308" s="250">
        <v>0</v>
      </c>
      <c r="O308" s="250">
        <v>0</v>
      </c>
      <c r="P308" s="250">
        <v>0</v>
      </c>
      <c r="Q308" s="250">
        <v>0</v>
      </c>
      <c r="R308" s="250">
        <v>0</v>
      </c>
      <c r="S308" s="250">
        <v>6500</v>
      </c>
      <c r="T308" s="250">
        <v>0</v>
      </c>
      <c r="U308" s="250">
        <v>0</v>
      </c>
      <c r="V308" s="250">
        <v>0</v>
      </c>
      <c r="W308" s="250">
        <v>0</v>
      </c>
      <c r="X308" s="250">
        <v>0</v>
      </c>
      <c r="Y308" s="250">
        <v>0</v>
      </c>
      <c r="Z308" s="250">
        <v>0</v>
      </c>
      <c r="AA308" s="250">
        <v>0</v>
      </c>
      <c r="AB308" s="250">
        <v>0</v>
      </c>
      <c r="AC308" s="250">
        <v>0</v>
      </c>
      <c r="AD308" s="250">
        <v>0</v>
      </c>
      <c r="AE308" s="251">
        <v>0</v>
      </c>
      <c r="AF308" s="251">
        <v>0</v>
      </c>
      <c r="AG308" s="251">
        <v>1150</v>
      </c>
      <c r="AH308" s="251">
        <v>0</v>
      </c>
      <c r="AI308" s="250">
        <f t="shared" si="5"/>
        <v>9150</v>
      </c>
    </row>
    <row r="309" spans="1:35" x14ac:dyDescent="0.35">
      <c r="A309" s="5" t="s">
        <v>2002</v>
      </c>
      <c r="B309" s="250">
        <v>0</v>
      </c>
      <c r="C309" s="250">
        <v>0</v>
      </c>
      <c r="D309" s="250">
        <v>0</v>
      </c>
      <c r="E309" s="250">
        <v>0</v>
      </c>
      <c r="F309" s="250">
        <v>0</v>
      </c>
      <c r="G309" s="250">
        <v>0</v>
      </c>
      <c r="H309" s="250">
        <v>0</v>
      </c>
      <c r="I309" s="250">
        <v>0</v>
      </c>
      <c r="J309" s="250">
        <v>0</v>
      </c>
      <c r="K309" s="250">
        <v>0</v>
      </c>
      <c r="L309" s="250">
        <v>0</v>
      </c>
      <c r="M309" s="250">
        <v>0</v>
      </c>
      <c r="N309" s="250">
        <v>0</v>
      </c>
      <c r="O309" s="250">
        <v>0</v>
      </c>
      <c r="P309" s="250">
        <v>0</v>
      </c>
      <c r="Q309" s="250">
        <v>0</v>
      </c>
      <c r="R309" s="250">
        <v>0</v>
      </c>
      <c r="S309" s="250">
        <v>0</v>
      </c>
      <c r="T309" s="250">
        <v>0</v>
      </c>
      <c r="U309" s="250">
        <v>0</v>
      </c>
      <c r="V309" s="250">
        <v>0</v>
      </c>
      <c r="W309" s="250">
        <v>1250</v>
      </c>
      <c r="X309" s="250">
        <v>0</v>
      </c>
      <c r="Y309" s="250">
        <v>0</v>
      </c>
      <c r="Z309" s="250">
        <v>0</v>
      </c>
      <c r="AA309" s="250">
        <v>0</v>
      </c>
      <c r="AB309" s="250">
        <v>0</v>
      </c>
      <c r="AC309" s="250">
        <v>0</v>
      </c>
      <c r="AD309" s="250">
        <v>0</v>
      </c>
      <c r="AE309" s="251">
        <v>0</v>
      </c>
      <c r="AF309" s="251">
        <v>0</v>
      </c>
      <c r="AG309" s="251">
        <v>0</v>
      </c>
      <c r="AH309" s="251">
        <v>0</v>
      </c>
      <c r="AI309" s="250">
        <f t="shared" si="5"/>
        <v>1250</v>
      </c>
    </row>
    <row r="310" spans="1:35" x14ac:dyDescent="0.35">
      <c r="A310" s="5" t="s">
        <v>831</v>
      </c>
      <c r="B310" s="250">
        <v>0</v>
      </c>
      <c r="C310" s="250">
        <v>0</v>
      </c>
      <c r="D310" s="250">
        <v>0</v>
      </c>
      <c r="E310" s="250">
        <v>0</v>
      </c>
      <c r="F310" s="250">
        <v>0</v>
      </c>
      <c r="G310" s="250">
        <v>750</v>
      </c>
      <c r="H310" s="250">
        <v>0</v>
      </c>
      <c r="I310" s="250">
        <v>0</v>
      </c>
      <c r="J310" s="250">
        <v>0</v>
      </c>
      <c r="K310" s="250">
        <v>0</v>
      </c>
      <c r="L310" s="250">
        <v>0</v>
      </c>
      <c r="M310" s="250">
        <v>0</v>
      </c>
      <c r="N310" s="250">
        <v>0</v>
      </c>
      <c r="O310" s="250">
        <v>0</v>
      </c>
      <c r="P310" s="250">
        <v>0</v>
      </c>
      <c r="Q310" s="250">
        <v>0</v>
      </c>
      <c r="R310" s="250">
        <v>0</v>
      </c>
      <c r="S310" s="250">
        <v>0</v>
      </c>
      <c r="T310" s="250">
        <v>0</v>
      </c>
      <c r="U310" s="250">
        <v>0</v>
      </c>
      <c r="V310" s="250">
        <v>0</v>
      </c>
      <c r="W310" s="250">
        <v>1500</v>
      </c>
      <c r="X310" s="250">
        <v>0</v>
      </c>
      <c r="Y310" s="250">
        <v>0</v>
      </c>
      <c r="Z310" s="250">
        <v>5000</v>
      </c>
      <c r="AA310" s="250">
        <v>2000</v>
      </c>
      <c r="AB310" s="250">
        <v>0</v>
      </c>
      <c r="AC310" s="250">
        <v>1200</v>
      </c>
      <c r="AD310" s="250">
        <v>0</v>
      </c>
      <c r="AE310" s="251">
        <v>0</v>
      </c>
      <c r="AF310" s="251">
        <v>0</v>
      </c>
      <c r="AG310" s="251">
        <v>0</v>
      </c>
      <c r="AH310" s="251">
        <v>1000</v>
      </c>
      <c r="AI310" s="250">
        <f t="shared" si="5"/>
        <v>11450</v>
      </c>
    </row>
    <row r="311" spans="1:35" x14ac:dyDescent="0.35">
      <c r="A311" s="5" t="s">
        <v>2621</v>
      </c>
      <c r="B311" s="250">
        <v>0</v>
      </c>
      <c r="C311" s="250">
        <v>1500</v>
      </c>
      <c r="D311" s="250">
        <v>0</v>
      </c>
      <c r="E311" s="250">
        <v>0</v>
      </c>
      <c r="F311" s="250">
        <v>0</v>
      </c>
      <c r="G311" s="250">
        <v>0</v>
      </c>
      <c r="H311" s="250">
        <v>0</v>
      </c>
      <c r="I311" s="250">
        <v>0</v>
      </c>
      <c r="J311" s="250">
        <v>0</v>
      </c>
      <c r="K311" s="250">
        <v>0</v>
      </c>
      <c r="L311" s="250">
        <v>0</v>
      </c>
      <c r="M311" s="250">
        <v>0</v>
      </c>
      <c r="N311" s="250">
        <v>0</v>
      </c>
      <c r="O311" s="250">
        <v>0</v>
      </c>
      <c r="P311" s="250">
        <v>0</v>
      </c>
      <c r="Q311" s="250">
        <v>0</v>
      </c>
      <c r="R311" s="250">
        <v>0</v>
      </c>
      <c r="S311" s="250">
        <v>0</v>
      </c>
      <c r="T311" s="250">
        <v>0</v>
      </c>
      <c r="U311" s="250">
        <v>0</v>
      </c>
      <c r="V311" s="250">
        <v>0</v>
      </c>
      <c r="W311" s="250">
        <v>0</v>
      </c>
      <c r="X311" s="250">
        <v>0</v>
      </c>
      <c r="Y311" s="247">
        <v>1000</v>
      </c>
      <c r="Z311" s="250">
        <v>0</v>
      </c>
      <c r="AA311" s="250">
        <v>0</v>
      </c>
      <c r="AB311" s="250">
        <v>0</v>
      </c>
      <c r="AC311" s="250">
        <v>0</v>
      </c>
      <c r="AD311" s="250">
        <v>0</v>
      </c>
      <c r="AE311" s="251">
        <v>0</v>
      </c>
      <c r="AF311" s="251">
        <v>0</v>
      </c>
      <c r="AG311" s="251">
        <v>350</v>
      </c>
      <c r="AH311" s="251">
        <v>0</v>
      </c>
      <c r="AI311" s="250">
        <f t="shared" si="5"/>
        <v>2850</v>
      </c>
    </row>
    <row r="312" spans="1:35" x14ac:dyDescent="0.35">
      <c r="A312" s="5" t="s">
        <v>374</v>
      </c>
      <c r="B312" s="250">
        <v>0</v>
      </c>
      <c r="C312" s="250">
        <v>1500</v>
      </c>
      <c r="D312" s="250">
        <v>0</v>
      </c>
      <c r="E312" s="250">
        <v>0</v>
      </c>
      <c r="F312" s="250">
        <v>0</v>
      </c>
      <c r="G312" s="250">
        <v>0</v>
      </c>
      <c r="H312" s="250">
        <v>0</v>
      </c>
      <c r="I312" s="250">
        <v>0</v>
      </c>
      <c r="J312" s="250">
        <v>0</v>
      </c>
      <c r="K312" s="250">
        <v>0</v>
      </c>
      <c r="L312" s="250">
        <v>0</v>
      </c>
      <c r="M312" s="250">
        <v>0</v>
      </c>
      <c r="N312" s="250">
        <v>1000</v>
      </c>
      <c r="O312" s="250">
        <v>0</v>
      </c>
      <c r="P312" s="250">
        <v>0</v>
      </c>
      <c r="Q312" s="250">
        <v>0</v>
      </c>
      <c r="R312" s="250">
        <v>0</v>
      </c>
      <c r="S312" s="250">
        <v>0</v>
      </c>
      <c r="T312" s="250">
        <v>0</v>
      </c>
      <c r="U312" s="250">
        <v>0</v>
      </c>
      <c r="V312" s="250">
        <v>0</v>
      </c>
      <c r="W312" s="250">
        <v>0</v>
      </c>
      <c r="X312" s="250">
        <v>0</v>
      </c>
      <c r="Y312" s="250">
        <v>0</v>
      </c>
      <c r="Z312" s="250">
        <v>0</v>
      </c>
      <c r="AA312" s="250">
        <v>0</v>
      </c>
      <c r="AB312" s="250">
        <v>0</v>
      </c>
      <c r="AC312" s="250">
        <v>0</v>
      </c>
      <c r="AD312" s="250">
        <v>0</v>
      </c>
      <c r="AE312" s="251">
        <v>250</v>
      </c>
      <c r="AF312" s="251">
        <v>0</v>
      </c>
      <c r="AG312" s="251">
        <v>300</v>
      </c>
      <c r="AH312" s="251">
        <v>0</v>
      </c>
      <c r="AI312" s="250">
        <f t="shared" si="5"/>
        <v>3050</v>
      </c>
    </row>
    <row r="313" spans="1:35" x14ac:dyDescent="0.35">
      <c r="A313" s="5" t="s">
        <v>1229</v>
      </c>
      <c r="B313" s="250">
        <v>0</v>
      </c>
      <c r="C313" s="250">
        <v>10000</v>
      </c>
      <c r="D313" s="250">
        <v>0</v>
      </c>
      <c r="E313" s="250">
        <v>0</v>
      </c>
      <c r="F313" s="250">
        <v>0</v>
      </c>
      <c r="G313" s="250">
        <v>0</v>
      </c>
      <c r="H313" s="250">
        <v>0</v>
      </c>
      <c r="I313" s="250">
        <v>500</v>
      </c>
      <c r="J313" s="250">
        <v>0</v>
      </c>
      <c r="K313" s="250">
        <v>1495</v>
      </c>
      <c r="L313" s="250">
        <v>2500</v>
      </c>
      <c r="M313" s="250">
        <v>5385</v>
      </c>
      <c r="N313" s="250">
        <v>0</v>
      </c>
      <c r="O313" s="250">
        <v>500</v>
      </c>
      <c r="P313" s="250">
        <v>3000</v>
      </c>
      <c r="Q313" s="250"/>
      <c r="R313" s="250">
        <v>0</v>
      </c>
      <c r="S313" s="250">
        <v>0</v>
      </c>
      <c r="T313" s="250">
        <v>0</v>
      </c>
      <c r="U313" s="250">
        <v>1000</v>
      </c>
      <c r="V313" s="250">
        <v>0</v>
      </c>
      <c r="W313" s="250">
        <v>7200</v>
      </c>
      <c r="X313" s="250">
        <v>0</v>
      </c>
      <c r="Y313" s="250">
        <v>0</v>
      </c>
      <c r="Z313" s="250">
        <v>0</v>
      </c>
      <c r="AA313" s="250">
        <v>0</v>
      </c>
      <c r="AB313" s="250">
        <v>0</v>
      </c>
      <c r="AC313" s="250">
        <v>0</v>
      </c>
      <c r="AD313" s="250">
        <v>1725</v>
      </c>
      <c r="AE313" s="251">
        <v>1000</v>
      </c>
      <c r="AF313" s="251">
        <v>5000</v>
      </c>
      <c r="AG313" s="251">
        <v>6500</v>
      </c>
      <c r="AH313" s="251">
        <v>0</v>
      </c>
      <c r="AI313" s="250">
        <f t="shared" si="5"/>
        <v>45805</v>
      </c>
    </row>
    <row r="314" spans="1:35" x14ac:dyDescent="0.35">
      <c r="A314" s="5" t="s">
        <v>2622</v>
      </c>
      <c r="B314" s="250">
        <v>0</v>
      </c>
      <c r="C314" s="250">
        <v>0</v>
      </c>
      <c r="D314" s="250">
        <v>0</v>
      </c>
      <c r="E314" s="250">
        <v>0</v>
      </c>
      <c r="F314" s="250">
        <v>0</v>
      </c>
      <c r="G314" s="250">
        <v>0</v>
      </c>
      <c r="H314" s="250">
        <v>0</v>
      </c>
      <c r="I314" s="250">
        <v>0</v>
      </c>
      <c r="J314" s="250">
        <v>0</v>
      </c>
      <c r="K314" s="250">
        <v>1495</v>
      </c>
      <c r="L314" s="250">
        <v>0</v>
      </c>
      <c r="M314" s="250">
        <v>0</v>
      </c>
      <c r="N314" s="250">
        <v>0</v>
      </c>
      <c r="O314" s="250">
        <v>0</v>
      </c>
      <c r="P314" s="250">
        <v>0</v>
      </c>
      <c r="Q314" s="250">
        <v>0</v>
      </c>
      <c r="R314" s="250">
        <v>0</v>
      </c>
      <c r="S314" s="250">
        <v>0</v>
      </c>
      <c r="T314" s="250">
        <v>0</v>
      </c>
      <c r="U314" s="250">
        <v>0</v>
      </c>
      <c r="V314" s="250">
        <v>0</v>
      </c>
      <c r="W314" s="250">
        <v>0</v>
      </c>
      <c r="X314" s="250">
        <v>0</v>
      </c>
      <c r="Y314" s="250">
        <v>0</v>
      </c>
      <c r="Z314" s="250">
        <v>0</v>
      </c>
      <c r="AA314" s="250">
        <v>0</v>
      </c>
      <c r="AB314" s="250">
        <v>0</v>
      </c>
      <c r="AC314" s="250">
        <v>1200</v>
      </c>
      <c r="AD314" s="250">
        <v>0</v>
      </c>
      <c r="AE314" s="251">
        <v>0</v>
      </c>
      <c r="AF314" s="251">
        <v>0</v>
      </c>
      <c r="AG314" s="251">
        <v>0</v>
      </c>
      <c r="AH314" s="251">
        <v>0</v>
      </c>
      <c r="AI314" s="250">
        <f t="shared" si="5"/>
        <v>2695</v>
      </c>
    </row>
    <row r="315" spans="1:35" x14ac:dyDescent="0.35">
      <c r="A315" s="5" t="s">
        <v>804</v>
      </c>
      <c r="B315" s="250">
        <v>0</v>
      </c>
      <c r="C315" s="250">
        <v>0</v>
      </c>
      <c r="D315" s="250">
        <v>0</v>
      </c>
      <c r="E315" s="250">
        <v>0</v>
      </c>
      <c r="F315" s="250">
        <v>0</v>
      </c>
      <c r="G315" s="250">
        <v>2000</v>
      </c>
      <c r="H315" s="250">
        <v>0</v>
      </c>
      <c r="I315" s="250">
        <v>0</v>
      </c>
      <c r="J315" s="250">
        <v>0</v>
      </c>
      <c r="K315" s="250">
        <v>0</v>
      </c>
      <c r="L315" s="250">
        <v>0</v>
      </c>
      <c r="M315" s="250">
        <v>0</v>
      </c>
      <c r="N315" s="250">
        <v>0</v>
      </c>
      <c r="O315" s="250">
        <v>0</v>
      </c>
      <c r="P315" s="250">
        <v>0</v>
      </c>
      <c r="Q315" s="250">
        <v>0</v>
      </c>
      <c r="R315" s="250">
        <v>0</v>
      </c>
      <c r="S315" s="250">
        <v>0</v>
      </c>
      <c r="T315" s="250">
        <v>0</v>
      </c>
      <c r="U315" s="250">
        <v>0</v>
      </c>
      <c r="V315" s="250">
        <v>0</v>
      </c>
      <c r="W315" s="250">
        <v>0</v>
      </c>
      <c r="X315" s="250">
        <v>0</v>
      </c>
      <c r="Y315" s="250">
        <v>0</v>
      </c>
      <c r="Z315" s="250">
        <v>0</v>
      </c>
      <c r="AA315" s="250">
        <v>0</v>
      </c>
      <c r="AB315" s="250">
        <v>0</v>
      </c>
      <c r="AC315" s="250">
        <v>0</v>
      </c>
      <c r="AD315" s="250">
        <v>0</v>
      </c>
      <c r="AE315" s="251">
        <v>0</v>
      </c>
      <c r="AF315" s="251">
        <v>0</v>
      </c>
      <c r="AG315" s="251">
        <v>1000</v>
      </c>
      <c r="AH315" s="251">
        <v>0</v>
      </c>
      <c r="AI315" s="250">
        <f t="shared" si="5"/>
        <v>3000</v>
      </c>
    </row>
    <row r="316" spans="1:35" x14ac:dyDescent="0.35">
      <c r="A316" s="5" t="s">
        <v>705</v>
      </c>
      <c r="B316" s="250">
        <v>0</v>
      </c>
      <c r="C316" s="250">
        <v>0</v>
      </c>
      <c r="D316" s="250">
        <v>0</v>
      </c>
      <c r="E316" s="250">
        <v>0</v>
      </c>
      <c r="F316" s="250">
        <v>350</v>
      </c>
      <c r="G316" s="250">
        <v>0</v>
      </c>
      <c r="H316" s="250">
        <v>0</v>
      </c>
      <c r="I316" s="250">
        <v>0</v>
      </c>
      <c r="J316" s="250">
        <v>0</v>
      </c>
      <c r="K316" s="250">
        <v>0</v>
      </c>
      <c r="L316" s="250">
        <v>0</v>
      </c>
      <c r="M316" s="250">
        <v>0</v>
      </c>
      <c r="N316" s="250">
        <v>0</v>
      </c>
      <c r="O316" s="250">
        <v>0</v>
      </c>
      <c r="P316" s="250">
        <v>0</v>
      </c>
      <c r="Q316" s="250">
        <v>0</v>
      </c>
      <c r="R316" s="250">
        <v>0</v>
      </c>
      <c r="S316" s="250">
        <v>0</v>
      </c>
      <c r="T316" s="250">
        <v>0</v>
      </c>
      <c r="U316" s="250">
        <v>0</v>
      </c>
      <c r="V316" s="250">
        <v>0</v>
      </c>
      <c r="W316" s="250">
        <v>0</v>
      </c>
      <c r="X316" s="250">
        <v>0</v>
      </c>
      <c r="Y316" s="250">
        <v>0</v>
      </c>
      <c r="Z316" s="250">
        <v>0</v>
      </c>
      <c r="AA316" s="250">
        <v>0</v>
      </c>
      <c r="AB316" s="250">
        <v>3500</v>
      </c>
      <c r="AC316" s="250">
        <v>0</v>
      </c>
      <c r="AD316" s="250">
        <v>0</v>
      </c>
      <c r="AE316" s="251">
        <v>0</v>
      </c>
      <c r="AF316" s="251">
        <v>0</v>
      </c>
      <c r="AG316" s="251">
        <v>775</v>
      </c>
      <c r="AH316" s="251">
        <v>0</v>
      </c>
      <c r="AI316" s="250">
        <f t="shared" si="5"/>
        <v>4625</v>
      </c>
    </row>
    <row r="317" spans="1:35" x14ac:dyDescent="0.35">
      <c r="A317" s="5" t="s">
        <v>52</v>
      </c>
      <c r="B317" s="250">
        <v>1000</v>
      </c>
      <c r="C317" s="250">
        <v>6500</v>
      </c>
      <c r="D317" s="250">
        <v>0</v>
      </c>
      <c r="E317" s="250">
        <v>0</v>
      </c>
      <c r="F317" s="250">
        <v>0</v>
      </c>
      <c r="G317" s="250">
        <v>0</v>
      </c>
      <c r="H317" s="250">
        <v>0</v>
      </c>
      <c r="I317" s="250">
        <v>0</v>
      </c>
      <c r="J317" s="250">
        <v>0</v>
      </c>
      <c r="K317" s="250">
        <v>0</v>
      </c>
      <c r="L317" s="250">
        <v>0</v>
      </c>
      <c r="M317" s="250">
        <v>3590</v>
      </c>
      <c r="N317" s="250">
        <v>1000</v>
      </c>
      <c r="O317" s="250">
        <v>0</v>
      </c>
      <c r="P317" s="250">
        <v>3000</v>
      </c>
      <c r="Q317" s="250">
        <v>1000</v>
      </c>
      <c r="R317" s="250">
        <v>0</v>
      </c>
      <c r="S317" s="250">
        <v>5000</v>
      </c>
      <c r="T317" s="250">
        <v>2500</v>
      </c>
      <c r="U317" s="250">
        <v>0</v>
      </c>
      <c r="V317" s="250"/>
      <c r="W317" s="250">
        <v>750</v>
      </c>
      <c r="X317" s="250">
        <v>0</v>
      </c>
      <c r="Y317" s="250">
        <v>1250</v>
      </c>
      <c r="Z317" s="250">
        <v>5000</v>
      </c>
      <c r="AA317" s="250">
        <v>4000</v>
      </c>
      <c r="AB317" s="250">
        <v>5000</v>
      </c>
      <c r="AC317" s="250">
        <v>0</v>
      </c>
      <c r="AD317" s="250">
        <v>0</v>
      </c>
      <c r="AE317" s="251">
        <v>1000</v>
      </c>
      <c r="AF317" s="251">
        <v>3000</v>
      </c>
      <c r="AG317" s="251">
        <v>1600</v>
      </c>
      <c r="AH317" s="251">
        <v>0</v>
      </c>
      <c r="AI317" s="250">
        <f t="shared" si="5"/>
        <v>45190</v>
      </c>
    </row>
    <row r="318" spans="1:35" x14ac:dyDescent="0.35">
      <c r="A318" s="5" t="s">
        <v>1373</v>
      </c>
      <c r="B318" s="250">
        <v>0</v>
      </c>
      <c r="C318" s="250">
        <v>0</v>
      </c>
      <c r="D318" s="250">
        <v>0</v>
      </c>
      <c r="E318" s="250">
        <v>0</v>
      </c>
      <c r="F318" s="250">
        <v>0</v>
      </c>
      <c r="G318" s="250">
        <v>0</v>
      </c>
      <c r="H318" s="250">
        <v>0</v>
      </c>
      <c r="I318" s="250">
        <v>0</v>
      </c>
      <c r="J318" s="250">
        <v>0</v>
      </c>
      <c r="K318" s="250">
        <v>2000</v>
      </c>
      <c r="L318" s="250">
        <v>0</v>
      </c>
      <c r="M318" s="250">
        <v>0</v>
      </c>
      <c r="N318" s="250">
        <v>0</v>
      </c>
      <c r="O318" s="250">
        <v>0</v>
      </c>
      <c r="P318" s="250">
        <v>0</v>
      </c>
      <c r="Q318" s="250">
        <v>0</v>
      </c>
      <c r="R318" s="250">
        <v>0</v>
      </c>
      <c r="S318" s="250">
        <v>0</v>
      </c>
      <c r="T318" s="250">
        <v>0</v>
      </c>
      <c r="U318" s="250">
        <v>0</v>
      </c>
      <c r="V318" s="250">
        <v>0</v>
      </c>
      <c r="W318" s="250">
        <v>0</v>
      </c>
      <c r="X318" s="250">
        <v>0</v>
      </c>
      <c r="Y318" s="250">
        <v>0</v>
      </c>
      <c r="Z318" s="250">
        <v>0</v>
      </c>
      <c r="AA318" s="250">
        <v>0</v>
      </c>
      <c r="AB318" s="250">
        <v>15000</v>
      </c>
      <c r="AC318" s="250">
        <v>0</v>
      </c>
      <c r="AD318" s="250">
        <v>0</v>
      </c>
      <c r="AE318" s="251">
        <v>0</v>
      </c>
      <c r="AF318" s="251">
        <v>0</v>
      </c>
      <c r="AG318" s="251">
        <v>0</v>
      </c>
      <c r="AH318" s="251">
        <v>217285</v>
      </c>
      <c r="AI318" s="250">
        <f t="shared" si="5"/>
        <v>234285</v>
      </c>
    </row>
    <row r="319" spans="1:35" x14ac:dyDescent="0.35">
      <c r="A319" s="5" t="s">
        <v>819</v>
      </c>
      <c r="B319" s="250">
        <v>0</v>
      </c>
      <c r="C319" s="250">
        <v>1500</v>
      </c>
      <c r="D319" s="250">
        <v>0</v>
      </c>
      <c r="E319" s="250">
        <v>0</v>
      </c>
      <c r="F319" s="250">
        <v>600</v>
      </c>
      <c r="G319" s="250">
        <v>750</v>
      </c>
      <c r="H319" s="250">
        <v>1000</v>
      </c>
      <c r="I319" s="250">
        <v>0</v>
      </c>
      <c r="J319" s="250">
        <v>0</v>
      </c>
      <c r="K319" s="250">
        <v>0</v>
      </c>
      <c r="L319" s="250">
        <v>0</v>
      </c>
      <c r="M319" s="250">
        <v>0</v>
      </c>
      <c r="N319" s="250">
        <v>0</v>
      </c>
      <c r="O319" s="250">
        <v>0</v>
      </c>
      <c r="P319" s="250">
        <v>0</v>
      </c>
      <c r="Q319" s="250">
        <v>0</v>
      </c>
      <c r="R319" s="250">
        <v>0</v>
      </c>
      <c r="S319" s="250">
        <v>0</v>
      </c>
      <c r="T319" s="250">
        <v>0</v>
      </c>
      <c r="U319" s="250">
        <v>0</v>
      </c>
      <c r="V319" s="250">
        <v>1000</v>
      </c>
      <c r="W319" s="250">
        <v>0</v>
      </c>
      <c r="X319" s="250">
        <v>0</v>
      </c>
      <c r="Y319" s="250">
        <v>0</v>
      </c>
      <c r="Z319" s="250">
        <v>0</v>
      </c>
      <c r="AA319" s="250">
        <v>650</v>
      </c>
      <c r="AB319" s="250">
        <v>0</v>
      </c>
      <c r="AC319" s="250">
        <v>0</v>
      </c>
      <c r="AD319" s="250">
        <v>0</v>
      </c>
      <c r="AE319" s="251">
        <v>0</v>
      </c>
      <c r="AF319" s="251">
        <v>3000</v>
      </c>
      <c r="AG319" s="251">
        <v>430</v>
      </c>
      <c r="AH319" s="251">
        <v>0</v>
      </c>
      <c r="AI319" s="250">
        <f t="shared" ref="AI319:AI329" si="6">SUM(B319:AH319)</f>
        <v>8930</v>
      </c>
    </row>
    <row r="320" spans="1:35" x14ac:dyDescent="0.35">
      <c r="A320" s="5" t="s">
        <v>1863</v>
      </c>
      <c r="B320" s="250">
        <v>0</v>
      </c>
      <c r="C320" s="250">
        <v>0</v>
      </c>
      <c r="D320" s="250">
        <v>0</v>
      </c>
      <c r="E320" s="250">
        <v>0</v>
      </c>
      <c r="F320" s="250">
        <v>0</v>
      </c>
      <c r="G320" s="250">
        <v>0</v>
      </c>
      <c r="H320" s="250">
        <v>0</v>
      </c>
      <c r="I320" s="250">
        <v>0</v>
      </c>
      <c r="J320" s="250">
        <v>0</v>
      </c>
      <c r="K320" s="250">
        <v>0</v>
      </c>
      <c r="L320" s="250">
        <v>0</v>
      </c>
      <c r="M320" s="250">
        <v>0</v>
      </c>
      <c r="N320" s="250">
        <v>0</v>
      </c>
      <c r="O320" s="250">
        <v>0</v>
      </c>
      <c r="P320" s="250">
        <v>0</v>
      </c>
      <c r="Q320" s="250">
        <v>0</v>
      </c>
      <c r="R320" s="250">
        <v>0</v>
      </c>
      <c r="S320" s="250">
        <v>0</v>
      </c>
      <c r="T320" s="250">
        <v>0</v>
      </c>
      <c r="U320" s="250">
        <v>0</v>
      </c>
      <c r="V320" s="250">
        <v>0</v>
      </c>
      <c r="W320" s="250">
        <v>0</v>
      </c>
      <c r="X320" s="250">
        <v>0</v>
      </c>
      <c r="Y320" s="250">
        <v>0</v>
      </c>
      <c r="Z320" s="250">
        <v>0</v>
      </c>
      <c r="AA320" s="250">
        <v>0</v>
      </c>
      <c r="AB320" s="250">
        <v>7500</v>
      </c>
      <c r="AC320" s="250">
        <v>0</v>
      </c>
      <c r="AD320" s="250">
        <v>0</v>
      </c>
      <c r="AE320" s="251">
        <v>0</v>
      </c>
      <c r="AF320" s="251">
        <v>0</v>
      </c>
      <c r="AG320" s="251">
        <v>2500</v>
      </c>
      <c r="AH320" s="251">
        <v>0</v>
      </c>
      <c r="AI320" s="250">
        <f t="shared" si="6"/>
        <v>10000</v>
      </c>
    </row>
    <row r="321" spans="1:35" x14ac:dyDescent="0.35">
      <c r="A321" s="5" t="s">
        <v>566</v>
      </c>
      <c r="B321" s="250">
        <v>0</v>
      </c>
      <c r="C321" s="250">
        <v>1500</v>
      </c>
      <c r="D321" s="250">
        <v>350</v>
      </c>
      <c r="E321" s="250">
        <v>0</v>
      </c>
      <c r="F321" s="250">
        <v>0</v>
      </c>
      <c r="G321" s="250">
        <v>750</v>
      </c>
      <c r="H321" s="250">
        <v>0</v>
      </c>
      <c r="I321" s="250">
        <v>0</v>
      </c>
      <c r="J321" s="250">
        <v>0</v>
      </c>
      <c r="K321" s="250">
        <v>0</v>
      </c>
      <c r="L321" s="250">
        <v>0</v>
      </c>
      <c r="M321" s="250">
        <v>0</v>
      </c>
      <c r="N321" s="250">
        <v>0</v>
      </c>
      <c r="O321" s="250">
        <v>0</v>
      </c>
      <c r="P321" s="250">
        <v>0</v>
      </c>
      <c r="Q321" s="250">
        <v>0</v>
      </c>
      <c r="R321" s="250">
        <v>0</v>
      </c>
      <c r="S321" s="250">
        <v>0</v>
      </c>
      <c r="T321" s="250">
        <v>0</v>
      </c>
      <c r="U321" s="250">
        <v>0</v>
      </c>
      <c r="V321" s="250">
        <v>0</v>
      </c>
      <c r="W321" s="250">
        <v>0</v>
      </c>
      <c r="X321" s="250">
        <v>0</v>
      </c>
      <c r="Y321" s="250">
        <v>0</v>
      </c>
      <c r="Z321" s="250">
        <v>0</v>
      </c>
      <c r="AA321" s="250">
        <v>0</v>
      </c>
      <c r="AB321" s="250">
        <v>0</v>
      </c>
      <c r="AC321" s="250">
        <v>0</v>
      </c>
      <c r="AD321" s="250">
        <v>0</v>
      </c>
      <c r="AE321" s="251">
        <v>0</v>
      </c>
      <c r="AF321" s="251">
        <v>0</v>
      </c>
      <c r="AG321" s="251">
        <v>350</v>
      </c>
      <c r="AH321" s="251">
        <v>0</v>
      </c>
      <c r="AI321" s="250">
        <f t="shared" si="6"/>
        <v>2950</v>
      </c>
    </row>
    <row r="322" spans="1:35" x14ac:dyDescent="0.35">
      <c r="A322" s="5" t="s">
        <v>2623</v>
      </c>
      <c r="B322" s="250">
        <v>0</v>
      </c>
      <c r="C322" s="250">
        <v>0</v>
      </c>
      <c r="D322" s="250">
        <v>0</v>
      </c>
      <c r="E322" s="250">
        <v>0</v>
      </c>
      <c r="F322" s="250">
        <v>0</v>
      </c>
      <c r="G322" s="250">
        <v>0</v>
      </c>
      <c r="H322" s="250">
        <v>0</v>
      </c>
      <c r="I322" s="250">
        <v>0</v>
      </c>
      <c r="J322" s="250">
        <v>0</v>
      </c>
      <c r="K322" s="250">
        <v>0</v>
      </c>
      <c r="L322" s="250">
        <v>0</v>
      </c>
      <c r="M322" s="250">
        <v>0</v>
      </c>
      <c r="N322" s="250">
        <v>0</v>
      </c>
      <c r="O322" s="250">
        <v>0</v>
      </c>
      <c r="P322" s="250">
        <v>3000</v>
      </c>
      <c r="Q322" s="250">
        <v>3500</v>
      </c>
      <c r="R322" s="250">
        <v>0</v>
      </c>
      <c r="S322" s="250">
        <v>0</v>
      </c>
      <c r="T322" s="250">
        <v>0</v>
      </c>
      <c r="U322" s="250">
        <v>0</v>
      </c>
      <c r="V322" s="250">
        <v>0</v>
      </c>
      <c r="W322" s="250">
        <v>0</v>
      </c>
      <c r="X322" s="250">
        <v>0</v>
      </c>
      <c r="Y322" s="250">
        <v>4000</v>
      </c>
      <c r="Z322" s="250">
        <v>0</v>
      </c>
      <c r="AA322" s="250">
        <v>0</v>
      </c>
      <c r="AB322" s="250">
        <v>3500</v>
      </c>
      <c r="AC322" s="250">
        <v>0</v>
      </c>
      <c r="AD322" s="250">
        <v>255</v>
      </c>
      <c r="AE322" s="251">
        <v>0</v>
      </c>
      <c r="AF322" s="251">
        <v>1500</v>
      </c>
      <c r="AG322" s="251">
        <v>650</v>
      </c>
      <c r="AH322" s="251">
        <v>0</v>
      </c>
      <c r="AI322" s="250">
        <f t="shared" si="6"/>
        <v>16405</v>
      </c>
    </row>
    <row r="323" spans="1:35" x14ac:dyDescent="0.35">
      <c r="A323" s="5" t="s">
        <v>1234</v>
      </c>
      <c r="B323" s="250">
        <v>0</v>
      </c>
      <c r="C323" s="250">
        <v>0</v>
      </c>
      <c r="D323" s="250">
        <v>0</v>
      </c>
      <c r="E323" s="250">
        <v>0</v>
      </c>
      <c r="F323" s="250">
        <v>0</v>
      </c>
      <c r="G323" s="250">
        <v>0</v>
      </c>
      <c r="H323" s="250">
        <v>0</v>
      </c>
      <c r="I323" s="250">
        <v>0</v>
      </c>
      <c r="J323" s="250">
        <v>0</v>
      </c>
      <c r="K323" s="250">
        <v>0</v>
      </c>
      <c r="L323" s="250">
        <v>0</v>
      </c>
      <c r="M323" s="250">
        <v>0</v>
      </c>
      <c r="N323" s="250">
        <v>0</v>
      </c>
      <c r="O323" s="250">
        <v>0</v>
      </c>
      <c r="P323" s="250">
        <v>0</v>
      </c>
      <c r="Q323" s="250">
        <v>0</v>
      </c>
      <c r="R323" s="250">
        <v>0</v>
      </c>
      <c r="S323" s="250">
        <v>0</v>
      </c>
      <c r="T323" s="250">
        <v>0</v>
      </c>
      <c r="U323" s="250">
        <v>0</v>
      </c>
      <c r="V323" s="250">
        <v>0</v>
      </c>
      <c r="W323" s="250">
        <v>1500</v>
      </c>
      <c r="X323" s="250">
        <v>0</v>
      </c>
      <c r="Y323" s="250">
        <v>0</v>
      </c>
      <c r="Z323" s="250">
        <v>500</v>
      </c>
      <c r="AA323" s="250">
        <v>0</v>
      </c>
      <c r="AB323" s="250">
        <v>0</v>
      </c>
      <c r="AC323" s="250">
        <v>0</v>
      </c>
      <c r="AD323" s="250">
        <v>0</v>
      </c>
      <c r="AE323" s="251">
        <v>0</v>
      </c>
      <c r="AF323" s="251">
        <v>1500</v>
      </c>
      <c r="AG323" s="251">
        <v>480</v>
      </c>
      <c r="AH323" s="251">
        <v>0</v>
      </c>
      <c r="AI323" s="250">
        <f t="shared" si="6"/>
        <v>3980</v>
      </c>
    </row>
    <row r="324" spans="1:35" x14ac:dyDescent="0.35">
      <c r="A324" s="5" t="s">
        <v>657</v>
      </c>
      <c r="B324" s="250">
        <v>0</v>
      </c>
      <c r="C324" s="250">
        <v>0</v>
      </c>
      <c r="D324" s="250">
        <v>0</v>
      </c>
      <c r="E324" s="250">
        <v>0</v>
      </c>
      <c r="F324" s="250">
        <v>1200</v>
      </c>
      <c r="G324" s="250">
        <v>0</v>
      </c>
      <c r="H324" s="250">
        <v>1195</v>
      </c>
      <c r="I324" s="250">
        <v>0</v>
      </c>
      <c r="J324" s="250">
        <v>0</v>
      </c>
      <c r="K324" s="250">
        <v>0</v>
      </c>
      <c r="L324" s="250">
        <v>0</v>
      </c>
      <c r="M324" s="250">
        <v>0</v>
      </c>
      <c r="N324" s="250">
        <v>0</v>
      </c>
      <c r="O324" s="250">
        <v>0</v>
      </c>
      <c r="P324" s="250">
        <v>0</v>
      </c>
      <c r="Q324" s="250">
        <v>0</v>
      </c>
      <c r="R324" s="250">
        <v>0</v>
      </c>
      <c r="S324" s="250">
        <v>0</v>
      </c>
      <c r="T324" s="250">
        <v>0</v>
      </c>
      <c r="U324" s="250">
        <v>0</v>
      </c>
      <c r="V324" s="250">
        <v>0</v>
      </c>
      <c r="W324" s="250">
        <v>0</v>
      </c>
      <c r="X324" s="250">
        <v>0</v>
      </c>
      <c r="Y324" s="250">
        <v>0</v>
      </c>
      <c r="Z324" s="250">
        <v>0</v>
      </c>
      <c r="AA324" s="250">
        <v>0</v>
      </c>
      <c r="AB324" s="250">
        <v>0</v>
      </c>
      <c r="AC324" s="250">
        <v>0</v>
      </c>
      <c r="AD324" s="250">
        <v>0</v>
      </c>
      <c r="AE324" s="251">
        <v>0</v>
      </c>
      <c r="AF324" s="251">
        <v>0</v>
      </c>
      <c r="AG324" s="251">
        <v>350</v>
      </c>
      <c r="AH324" s="251">
        <v>0</v>
      </c>
      <c r="AI324" s="250">
        <f t="shared" si="6"/>
        <v>2745</v>
      </c>
    </row>
    <row r="325" spans="1:35" x14ac:dyDescent="0.35">
      <c r="A325" s="5" t="s">
        <v>289</v>
      </c>
      <c r="B325" s="250">
        <v>0</v>
      </c>
      <c r="C325" s="250">
        <v>2850</v>
      </c>
      <c r="D325" s="250">
        <v>0</v>
      </c>
      <c r="E325" s="250">
        <v>0</v>
      </c>
      <c r="F325" s="250">
        <v>0</v>
      </c>
      <c r="G325" s="250">
        <v>0</v>
      </c>
      <c r="H325" s="250">
        <v>0</v>
      </c>
      <c r="I325" s="250">
        <v>0</v>
      </c>
      <c r="J325" s="250">
        <v>0</v>
      </c>
      <c r="K325" s="250">
        <v>0</v>
      </c>
      <c r="L325" s="250">
        <v>0</v>
      </c>
      <c r="M325" s="250">
        <v>1795</v>
      </c>
      <c r="N325" s="250">
        <v>0</v>
      </c>
      <c r="O325" s="250">
        <v>0</v>
      </c>
      <c r="P325" s="250">
        <v>3000</v>
      </c>
      <c r="Q325" s="250">
        <v>1000</v>
      </c>
      <c r="R325" s="250">
        <v>0</v>
      </c>
      <c r="S325" s="250">
        <v>0</v>
      </c>
      <c r="T325" s="250">
        <v>5000</v>
      </c>
      <c r="U325" s="250">
        <v>0</v>
      </c>
      <c r="V325" s="250">
        <v>0</v>
      </c>
      <c r="W325" s="250">
        <v>0</v>
      </c>
      <c r="X325" s="250">
        <v>0</v>
      </c>
      <c r="Y325" s="250">
        <v>0</v>
      </c>
      <c r="Z325" s="250">
        <v>0</v>
      </c>
      <c r="AA325" s="250">
        <v>0</v>
      </c>
      <c r="AB325" s="250">
        <v>5000</v>
      </c>
      <c r="AC325" s="250">
        <v>0</v>
      </c>
      <c r="AD325" s="250">
        <v>0</v>
      </c>
      <c r="AE325" s="251">
        <v>500</v>
      </c>
      <c r="AF325" s="251">
        <v>1500</v>
      </c>
      <c r="AG325" s="251">
        <v>1150</v>
      </c>
      <c r="AH325" s="251">
        <v>0</v>
      </c>
      <c r="AI325" s="250">
        <f t="shared" si="6"/>
        <v>21795</v>
      </c>
    </row>
    <row r="326" spans="1:35" x14ac:dyDescent="0.35">
      <c r="A326" s="5" t="s">
        <v>1407</v>
      </c>
      <c r="B326" s="250">
        <v>0</v>
      </c>
      <c r="C326" s="250">
        <v>0</v>
      </c>
      <c r="D326" s="250">
        <v>0</v>
      </c>
      <c r="E326" s="250">
        <v>0</v>
      </c>
      <c r="F326" s="250">
        <v>0</v>
      </c>
      <c r="G326" s="250">
        <v>0</v>
      </c>
      <c r="H326" s="250">
        <v>0</v>
      </c>
      <c r="I326" s="250">
        <v>0</v>
      </c>
      <c r="J326" s="250">
        <v>0</v>
      </c>
      <c r="K326" s="250">
        <v>1495</v>
      </c>
      <c r="L326" s="250">
        <v>0</v>
      </c>
      <c r="M326" s="250">
        <v>0</v>
      </c>
      <c r="N326" s="250">
        <v>0</v>
      </c>
      <c r="O326" s="250">
        <v>0</v>
      </c>
      <c r="P326" s="250">
        <v>0</v>
      </c>
      <c r="Q326" s="250">
        <v>0</v>
      </c>
      <c r="R326" s="250">
        <v>0</v>
      </c>
      <c r="S326" s="250">
        <v>0</v>
      </c>
      <c r="T326" s="250">
        <v>0</v>
      </c>
      <c r="U326" s="250">
        <v>0</v>
      </c>
      <c r="V326" s="250">
        <v>0</v>
      </c>
      <c r="W326" s="250">
        <v>0</v>
      </c>
      <c r="X326" s="250">
        <v>0</v>
      </c>
      <c r="Y326" s="250">
        <v>0</v>
      </c>
      <c r="Z326" s="250">
        <v>0</v>
      </c>
      <c r="AA326" s="250">
        <v>0</v>
      </c>
      <c r="AB326" s="250">
        <v>0</v>
      </c>
      <c r="AC326" s="250">
        <v>0</v>
      </c>
      <c r="AD326" s="250">
        <v>0</v>
      </c>
      <c r="AE326" s="251">
        <v>0</v>
      </c>
      <c r="AF326" s="251">
        <v>0</v>
      </c>
      <c r="AG326" s="251">
        <v>430</v>
      </c>
      <c r="AH326" s="251">
        <v>0</v>
      </c>
      <c r="AI326" s="250">
        <f t="shared" si="6"/>
        <v>1925</v>
      </c>
    </row>
    <row r="327" spans="1:35" x14ac:dyDescent="0.35">
      <c r="A327" s="5" t="s">
        <v>552</v>
      </c>
      <c r="B327" s="250">
        <v>0</v>
      </c>
      <c r="C327" s="250">
        <v>0</v>
      </c>
      <c r="D327" s="250">
        <v>350</v>
      </c>
      <c r="E327" s="250">
        <v>0</v>
      </c>
      <c r="F327" s="250">
        <v>600</v>
      </c>
      <c r="G327" s="250">
        <v>500</v>
      </c>
      <c r="H327" s="250">
        <v>70</v>
      </c>
      <c r="I327" s="250">
        <v>0</v>
      </c>
      <c r="J327" s="250">
        <v>30</v>
      </c>
      <c r="K327" s="250">
        <v>0</v>
      </c>
      <c r="L327" s="250">
        <v>0</v>
      </c>
      <c r="M327" s="250">
        <v>0</v>
      </c>
      <c r="N327" s="250">
        <v>0</v>
      </c>
      <c r="O327" s="250">
        <v>0</v>
      </c>
      <c r="P327" s="250">
        <v>0</v>
      </c>
      <c r="Q327" s="250">
        <v>0</v>
      </c>
      <c r="R327" s="250">
        <v>0</v>
      </c>
      <c r="S327" s="250">
        <v>0</v>
      </c>
      <c r="T327" s="250">
        <v>0</v>
      </c>
      <c r="U327" s="250">
        <v>0</v>
      </c>
      <c r="V327" s="250">
        <v>500</v>
      </c>
      <c r="W327" s="250">
        <v>0</v>
      </c>
      <c r="X327" s="250">
        <v>0</v>
      </c>
      <c r="Y327" s="250">
        <v>0</v>
      </c>
      <c r="Z327" s="250">
        <v>0</v>
      </c>
      <c r="AA327" s="250">
        <v>0</v>
      </c>
      <c r="AB327" s="250">
        <v>0</v>
      </c>
      <c r="AC327" s="250">
        <v>0</v>
      </c>
      <c r="AD327" s="250">
        <v>0</v>
      </c>
      <c r="AE327" s="251">
        <v>0</v>
      </c>
      <c r="AF327" s="251">
        <v>0</v>
      </c>
      <c r="AG327" s="251">
        <v>350</v>
      </c>
      <c r="AH327" s="251">
        <v>0</v>
      </c>
      <c r="AI327" s="250">
        <f t="shared" si="6"/>
        <v>2400</v>
      </c>
    </row>
    <row r="328" spans="1:35" x14ac:dyDescent="0.35">
      <c r="A328" s="5" t="s">
        <v>346</v>
      </c>
      <c r="B328" s="250">
        <v>0</v>
      </c>
      <c r="C328" s="250">
        <v>1500</v>
      </c>
      <c r="D328" s="250">
        <v>0</v>
      </c>
      <c r="E328" s="250">
        <v>0</v>
      </c>
      <c r="F328" s="250">
        <v>0</v>
      </c>
      <c r="G328" s="250">
        <v>0</v>
      </c>
      <c r="H328" s="250">
        <v>0</v>
      </c>
      <c r="I328" s="250">
        <v>0</v>
      </c>
      <c r="J328" s="250">
        <v>0</v>
      </c>
      <c r="K328" s="250">
        <v>0</v>
      </c>
      <c r="L328" s="250">
        <v>0</v>
      </c>
      <c r="M328" s="250">
        <v>1500</v>
      </c>
      <c r="N328" s="250">
        <v>3500</v>
      </c>
      <c r="O328" s="250">
        <v>0</v>
      </c>
      <c r="P328" s="250">
        <v>0</v>
      </c>
      <c r="Q328" s="250">
        <v>750</v>
      </c>
      <c r="R328" s="250">
        <v>0</v>
      </c>
      <c r="S328" s="250">
        <v>0</v>
      </c>
      <c r="T328" s="250">
        <v>0</v>
      </c>
      <c r="U328" s="250">
        <v>2500</v>
      </c>
      <c r="V328" s="250">
        <v>0</v>
      </c>
      <c r="W328" s="250">
        <v>4000</v>
      </c>
      <c r="X328" s="250">
        <v>0</v>
      </c>
      <c r="Y328" s="250">
        <v>0</v>
      </c>
      <c r="Z328" s="250">
        <v>0</v>
      </c>
      <c r="AA328" s="250">
        <v>0</v>
      </c>
      <c r="AB328" s="250">
        <v>0</v>
      </c>
      <c r="AC328" s="250">
        <v>0</v>
      </c>
      <c r="AD328" s="250">
        <v>0</v>
      </c>
      <c r="AE328" s="251">
        <v>0</v>
      </c>
      <c r="AF328" s="251">
        <v>0</v>
      </c>
      <c r="AG328" s="251">
        <v>650</v>
      </c>
      <c r="AH328" s="251">
        <v>0</v>
      </c>
      <c r="AI328" s="250">
        <f t="shared" si="6"/>
        <v>14400</v>
      </c>
    </row>
    <row r="329" spans="1:35" x14ac:dyDescent="0.35">
      <c r="A329" s="5" t="s">
        <v>2415</v>
      </c>
      <c r="B329" s="250">
        <v>0</v>
      </c>
      <c r="C329" s="250">
        <v>0</v>
      </c>
      <c r="D329" s="250">
        <v>0</v>
      </c>
      <c r="E329" s="250">
        <v>0</v>
      </c>
      <c r="F329" s="250">
        <v>0</v>
      </c>
      <c r="G329" s="250">
        <v>0</v>
      </c>
      <c r="H329" s="250">
        <v>0</v>
      </c>
      <c r="I329" s="250">
        <v>0</v>
      </c>
      <c r="J329" s="250">
        <v>0</v>
      </c>
      <c r="K329" s="250">
        <v>0</v>
      </c>
      <c r="L329" s="250">
        <v>0</v>
      </c>
      <c r="M329" s="250">
        <v>0</v>
      </c>
      <c r="N329" s="250">
        <v>0</v>
      </c>
      <c r="O329" s="250">
        <v>0</v>
      </c>
      <c r="P329" s="250">
        <v>0</v>
      </c>
      <c r="Q329" s="250">
        <v>0</v>
      </c>
      <c r="R329" s="250">
        <v>0</v>
      </c>
      <c r="S329" s="250">
        <v>0</v>
      </c>
      <c r="T329" s="250">
        <v>0</v>
      </c>
      <c r="U329" s="250">
        <v>0</v>
      </c>
      <c r="V329" s="250">
        <v>0</v>
      </c>
      <c r="W329" s="250">
        <v>0</v>
      </c>
      <c r="X329" s="250">
        <v>0</v>
      </c>
      <c r="Y329" s="250">
        <v>0</v>
      </c>
      <c r="Z329" s="250">
        <v>0</v>
      </c>
      <c r="AA329" s="250">
        <v>0</v>
      </c>
      <c r="AB329" s="250">
        <v>3500</v>
      </c>
      <c r="AC329" s="250">
        <v>0</v>
      </c>
      <c r="AD329" s="250">
        <v>0</v>
      </c>
      <c r="AE329" s="251">
        <v>0</v>
      </c>
      <c r="AF329" s="251">
        <v>0</v>
      </c>
      <c r="AG329" s="251">
        <v>0</v>
      </c>
      <c r="AH329" s="251">
        <v>0</v>
      </c>
      <c r="AI329" s="250">
        <f t="shared" si="6"/>
        <v>3500</v>
      </c>
    </row>
    <row r="330" spans="1:35" x14ac:dyDescent="0.35">
      <c r="B330" s="250"/>
      <c r="C330" s="250"/>
      <c r="D330" s="250"/>
      <c r="E330" s="250"/>
      <c r="F330" s="250"/>
      <c r="G330" s="250"/>
      <c r="H330" s="250"/>
      <c r="I330" s="250"/>
      <c r="J330" s="250"/>
      <c r="K330" s="250"/>
      <c r="L330" s="250"/>
      <c r="M330" s="250"/>
      <c r="N330" s="250"/>
      <c r="O330" s="250"/>
      <c r="P330" s="250"/>
      <c r="Q330" s="250"/>
      <c r="R330" s="250"/>
      <c r="S330" s="250"/>
      <c r="T330" s="250"/>
      <c r="U330" s="250"/>
      <c r="V330" s="250"/>
      <c r="W330" s="250"/>
      <c r="X330" s="250"/>
      <c r="Y330" s="250"/>
      <c r="Z330" s="250"/>
      <c r="AA330" s="250"/>
      <c r="AB330" s="250"/>
      <c r="AC330" s="250"/>
      <c r="AD330" s="250"/>
      <c r="AE330" s="251"/>
      <c r="AF330" s="251"/>
      <c r="AG330" s="251"/>
      <c r="AH330" s="251"/>
      <c r="AI330" s="250"/>
    </row>
    <row r="331" spans="1:35" x14ac:dyDescent="0.35">
      <c r="B331" s="250"/>
      <c r="C331" s="250"/>
      <c r="D331" s="250"/>
      <c r="E331" s="250"/>
      <c r="F331" s="250"/>
      <c r="G331" s="250"/>
      <c r="H331" s="250"/>
      <c r="I331" s="250"/>
      <c r="J331" s="250"/>
      <c r="K331" s="250"/>
      <c r="L331" s="250"/>
      <c r="M331" s="250"/>
      <c r="N331" s="250"/>
      <c r="O331" s="250"/>
      <c r="P331" s="250"/>
      <c r="Q331" s="250"/>
      <c r="R331" s="250"/>
      <c r="S331" s="250"/>
      <c r="T331" s="250"/>
      <c r="U331" s="250"/>
      <c r="V331" s="250"/>
      <c r="W331" s="250"/>
      <c r="X331" s="250"/>
      <c r="Y331" s="250"/>
      <c r="Z331" s="250"/>
      <c r="AA331" s="250"/>
      <c r="AB331" s="250"/>
      <c r="AC331" s="250"/>
      <c r="AD331" s="250"/>
      <c r="AE331" s="251"/>
      <c r="AF331" s="251"/>
      <c r="AG331" s="251"/>
      <c r="AH331" s="251"/>
      <c r="AI331" s="250"/>
    </row>
    <row r="332" spans="1:35" x14ac:dyDescent="0.35">
      <c r="B332" s="250"/>
      <c r="C332" s="250"/>
      <c r="D332" s="250"/>
      <c r="E332" s="250"/>
      <c r="F332" s="250"/>
      <c r="G332" s="250"/>
      <c r="H332" s="250"/>
      <c r="I332" s="250"/>
      <c r="J332" s="250"/>
      <c r="K332" s="250"/>
      <c r="L332" s="250"/>
      <c r="M332" s="250"/>
      <c r="N332" s="250"/>
      <c r="O332" s="250"/>
      <c r="P332" s="250"/>
      <c r="Q332" s="250"/>
      <c r="R332" s="250"/>
      <c r="S332" s="250"/>
      <c r="T332" s="250"/>
      <c r="U332" s="250"/>
      <c r="V332" s="250"/>
      <c r="W332" s="250"/>
      <c r="X332" s="250"/>
      <c r="Y332" s="250"/>
      <c r="Z332" s="250"/>
      <c r="AA332" s="250"/>
      <c r="AB332" s="250"/>
      <c r="AC332" s="250"/>
      <c r="AD332" s="250"/>
      <c r="AE332" s="251"/>
      <c r="AF332" s="251"/>
      <c r="AG332" s="251"/>
      <c r="AH332" s="251"/>
      <c r="AI332" s="250"/>
    </row>
    <row r="333" spans="1:35" x14ac:dyDescent="0.35">
      <c r="B333" s="250"/>
      <c r="C333" s="250"/>
      <c r="D333" s="250"/>
      <c r="E333" s="250"/>
      <c r="F333" s="250"/>
      <c r="G333" s="250"/>
      <c r="H333" s="250"/>
      <c r="I333" s="250"/>
      <c r="J333" s="250"/>
      <c r="K333" s="250"/>
      <c r="L333" s="250"/>
      <c r="M333" s="250"/>
      <c r="N333" s="250"/>
      <c r="O333" s="250"/>
      <c r="P333" s="250"/>
      <c r="Q333" s="250"/>
      <c r="R333" s="250"/>
      <c r="S333" s="250"/>
      <c r="T333" s="250"/>
      <c r="U333" s="250"/>
      <c r="V333" s="250"/>
      <c r="W333" s="250"/>
      <c r="X333" s="250"/>
      <c r="Y333" s="250"/>
      <c r="Z333" s="250"/>
      <c r="AA333" s="250"/>
      <c r="AB333" s="250"/>
      <c r="AC333" s="250"/>
      <c r="AD333" s="250"/>
      <c r="AE333" s="251"/>
      <c r="AF333" s="251"/>
      <c r="AG333" s="251"/>
      <c r="AH333" s="251"/>
      <c r="AI333" s="250"/>
    </row>
    <row r="334" spans="1:35" x14ac:dyDescent="0.35">
      <c r="B334" s="250"/>
      <c r="C334" s="250"/>
      <c r="D334" s="250"/>
      <c r="E334" s="250"/>
      <c r="F334" s="250"/>
      <c r="G334" s="250"/>
      <c r="H334" s="250"/>
      <c r="I334" s="250"/>
      <c r="J334" s="250"/>
      <c r="K334" s="250"/>
      <c r="L334" s="250"/>
      <c r="M334" s="250"/>
      <c r="N334" s="250"/>
      <c r="O334" s="250"/>
      <c r="P334" s="250"/>
      <c r="Q334" s="250"/>
      <c r="R334" s="250"/>
      <c r="S334" s="250"/>
      <c r="T334" s="250"/>
      <c r="U334" s="250"/>
      <c r="V334" s="250"/>
      <c r="W334" s="250"/>
      <c r="X334" s="250"/>
      <c r="Y334" s="250"/>
      <c r="Z334" s="250"/>
      <c r="AA334" s="250"/>
      <c r="AB334" s="250"/>
      <c r="AC334" s="250"/>
      <c r="AD334" s="250"/>
      <c r="AE334" s="251"/>
      <c r="AF334" s="251"/>
      <c r="AG334" s="251"/>
      <c r="AH334" s="251"/>
      <c r="AI334" s="250"/>
    </row>
    <row r="335" spans="1:35" x14ac:dyDescent="0.35">
      <c r="B335" s="250"/>
      <c r="C335" s="250"/>
      <c r="D335" s="250"/>
      <c r="E335" s="250"/>
      <c r="F335" s="250"/>
      <c r="G335" s="250"/>
      <c r="H335" s="250"/>
      <c r="I335" s="250"/>
      <c r="J335" s="250"/>
      <c r="K335" s="250"/>
      <c r="L335" s="250"/>
      <c r="M335" s="250"/>
      <c r="N335" s="250"/>
      <c r="O335" s="250"/>
      <c r="P335" s="250"/>
      <c r="Q335" s="250"/>
      <c r="R335" s="250"/>
      <c r="S335" s="250"/>
      <c r="T335" s="250"/>
      <c r="U335" s="250"/>
      <c r="V335" s="250"/>
      <c r="W335" s="250"/>
      <c r="X335" s="250"/>
      <c r="Y335" s="250"/>
      <c r="Z335" s="250"/>
      <c r="AA335" s="250"/>
      <c r="AB335" s="250"/>
      <c r="AC335" s="250"/>
      <c r="AD335" s="250"/>
      <c r="AE335" s="251"/>
      <c r="AF335" s="251"/>
      <c r="AG335" s="251"/>
      <c r="AH335" s="251"/>
      <c r="AI335" s="250"/>
    </row>
    <row r="336" spans="1:35" x14ac:dyDescent="0.35">
      <c r="B336" s="250"/>
      <c r="C336" s="250"/>
      <c r="D336" s="250"/>
      <c r="E336" s="250"/>
      <c r="F336" s="250"/>
      <c r="G336" s="250"/>
      <c r="H336" s="250"/>
      <c r="I336" s="250"/>
      <c r="J336" s="250"/>
      <c r="K336" s="250"/>
      <c r="L336" s="250"/>
      <c r="M336" s="250"/>
      <c r="N336" s="250"/>
      <c r="O336" s="250"/>
      <c r="P336" s="250"/>
      <c r="Q336" s="250"/>
      <c r="R336" s="250"/>
      <c r="S336" s="250"/>
      <c r="T336" s="250"/>
      <c r="U336" s="250"/>
      <c r="V336" s="250"/>
      <c r="W336" s="250"/>
      <c r="X336" s="250"/>
      <c r="Y336" s="250"/>
      <c r="Z336" s="250"/>
      <c r="AA336" s="250"/>
      <c r="AB336" s="250"/>
      <c r="AC336" s="250"/>
      <c r="AD336" s="250"/>
      <c r="AE336" s="251"/>
      <c r="AF336" s="251"/>
      <c r="AG336" s="251"/>
      <c r="AH336" s="251"/>
      <c r="AI336" s="250"/>
    </row>
    <row r="337" spans="2:35" x14ac:dyDescent="0.35">
      <c r="B337" s="250"/>
      <c r="C337" s="250"/>
      <c r="D337" s="250"/>
      <c r="E337" s="250"/>
      <c r="F337" s="250"/>
      <c r="G337" s="250"/>
      <c r="H337" s="250"/>
      <c r="I337" s="250"/>
      <c r="J337" s="250"/>
      <c r="K337" s="250"/>
      <c r="L337" s="250"/>
      <c r="M337" s="250"/>
      <c r="N337" s="250"/>
      <c r="O337" s="250"/>
      <c r="P337" s="250"/>
      <c r="Q337" s="250"/>
      <c r="R337" s="250"/>
      <c r="S337" s="250"/>
      <c r="T337" s="250"/>
      <c r="U337" s="250"/>
      <c r="V337" s="250"/>
      <c r="W337" s="250"/>
      <c r="X337" s="250"/>
      <c r="Y337" s="250"/>
      <c r="Z337" s="250"/>
      <c r="AA337" s="250"/>
      <c r="AB337" s="250"/>
      <c r="AC337" s="250"/>
      <c r="AD337" s="250"/>
      <c r="AE337" s="251"/>
      <c r="AF337" s="251"/>
      <c r="AG337" s="251"/>
      <c r="AH337" s="251"/>
      <c r="AI337" s="250"/>
    </row>
    <row r="338" spans="2:35" x14ac:dyDescent="0.35">
      <c r="B338" s="250"/>
      <c r="C338" s="250"/>
      <c r="D338" s="250"/>
      <c r="E338" s="250"/>
      <c r="F338" s="250"/>
      <c r="G338" s="250"/>
      <c r="H338" s="250"/>
      <c r="I338" s="250"/>
      <c r="J338" s="250"/>
      <c r="K338" s="250"/>
      <c r="L338" s="250"/>
      <c r="M338" s="250"/>
      <c r="N338" s="250"/>
      <c r="O338" s="250"/>
      <c r="P338" s="250"/>
      <c r="Q338" s="250"/>
      <c r="R338" s="250"/>
      <c r="S338" s="250"/>
      <c r="T338" s="250"/>
      <c r="U338" s="250"/>
      <c r="V338" s="250"/>
      <c r="W338" s="250"/>
      <c r="X338" s="250"/>
      <c r="Y338" s="250"/>
      <c r="Z338" s="250"/>
      <c r="AA338" s="250"/>
      <c r="AB338" s="250"/>
      <c r="AC338" s="250"/>
      <c r="AD338" s="250"/>
      <c r="AE338" s="251"/>
      <c r="AF338" s="251"/>
      <c r="AG338" s="251"/>
      <c r="AH338" s="251"/>
      <c r="AI338" s="250"/>
    </row>
    <row r="339" spans="2:35" x14ac:dyDescent="0.35">
      <c r="B339" s="250"/>
      <c r="C339" s="250"/>
      <c r="D339" s="250"/>
      <c r="E339" s="250"/>
      <c r="F339" s="250"/>
      <c r="G339" s="250"/>
      <c r="H339" s="250"/>
      <c r="I339" s="250"/>
      <c r="J339" s="250"/>
      <c r="K339" s="250"/>
      <c r="L339" s="250"/>
      <c r="M339" s="250"/>
      <c r="N339" s="250"/>
      <c r="O339" s="250"/>
      <c r="P339" s="250"/>
      <c r="Q339" s="250"/>
      <c r="R339" s="250"/>
      <c r="S339" s="250"/>
      <c r="T339" s="250"/>
      <c r="U339" s="250"/>
      <c r="V339" s="250"/>
      <c r="W339" s="250"/>
      <c r="X339" s="250"/>
      <c r="Y339" s="250"/>
      <c r="Z339" s="250"/>
      <c r="AA339" s="250"/>
      <c r="AB339" s="250"/>
      <c r="AC339" s="250"/>
      <c r="AD339" s="250"/>
      <c r="AE339" s="251"/>
      <c r="AF339" s="251"/>
      <c r="AG339" s="251"/>
      <c r="AH339" s="251"/>
      <c r="AI339" s="250"/>
    </row>
    <row r="340" spans="2:35" x14ac:dyDescent="0.35">
      <c r="B340" s="250"/>
      <c r="C340" s="250"/>
      <c r="D340" s="250"/>
      <c r="E340" s="250"/>
      <c r="F340" s="250"/>
      <c r="G340" s="250"/>
      <c r="H340" s="250"/>
      <c r="I340" s="250"/>
      <c r="J340" s="250"/>
      <c r="K340" s="250"/>
      <c r="L340" s="250"/>
      <c r="M340" s="250"/>
      <c r="N340" s="250"/>
      <c r="O340" s="250"/>
      <c r="P340" s="250"/>
      <c r="Q340" s="250"/>
      <c r="R340" s="250"/>
      <c r="S340" s="250"/>
      <c r="T340" s="250"/>
      <c r="U340" s="250"/>
      <c r="V340" s="250"/>
      <c r="W340" s="250"/>
      <c r="X340" s="250"/>
      <c r="Y340" s="250"/>
      <c r="Z340" s="250"/>
      <c r="AA340" s="250"/>
      <c r="AB340" s="250"/>
      <c r="AC340" s="250"/>
      <c r="AD340" s="250"/>
      <c r="AE340" s="251"/>
      <c r="AF340" s="251"/>
      <c r="AG340" s="251"/>
      <c r="AH340" s="251"/>
      <c r="AI340" s="250"/>
    </row>
    <row r="341" spans="2:35" x14ac:dyDescent="0.35">
      <c r="B341" s="250"/>
      <c r="C341" s="250"/>
      <c r="D341" s="250"/>
      <c r="E341" s="250"/>
      <c r="F341" s="250"/>
      <c r="G341" s="250"/>
      <c r="H341" s="250"/>
      <c r="I341" s="250"/>
      <c r="J341" s="250"/>
      <c r="K341" s="250"/>
      <c r="L341" s="250"/>
      <c r="M341" s="250"/>
      <c r="N341" s="250"/>
      <c r="O341" s="250"/>
      <c r="P341" s="250"/>
      <c r="Q341" s="250"/>
      <c r="R341" s="250"/>
      <c r="S341" s="250"/>
      <c r="T341" s="250"/>
      <c r="U341" s="250"/>
      <c r="V341" s="250"/>
      <c r="W341" s="250"/>
      <c r="X341" s="250"/>
      <c r="Y341" s="250"/>
      <c r="Z341" s="250"/>
      <c r="AA341" s="250"/>
      <c r="AB341" s="250"/>
      <c r="AC341" s="250"/>
      <c r="AD341" s="250"/>
      <c r="AE341" s="251"/>
      <c r="AF341" s="251"/>
      <c r="AG341" s="251"/>
      <c r="AH341" s="251"/>
      <c r="AI341" s="250"/>
    </row>
    <row r="342" spans="2:35" x14ac:dyDescent="0.35">
      <c r="B342" s="250"/>
      <c r="C342" s="250"/>
      <c r="D342" s="250"/>
      <c r="E342" s="250"/>
      <c r="F342" s="250"/>
      <c r="G342" s="250"/>
      <c r="H342" s="250"/>
      <c r="I342" s="250"/>
      <c r="J342" s="250"/>
      <c r="K342" s="250"/>
      <c r="L342" s="250"/>
      <c r="M342" s="250"/>
      <c r="N342" s="250"/>
      <c r="O342" s="250"/>
      <c r="P342" s="250"/>
      <c r="Q342" s="250"/>
      <c r="R342" s="250"/>
      <c r="S342" s="250"/>
      <c r="T342" s="250"/>
      <c r="U342" s="250"/>
      <c r="V342" s="250"/>
      <c r="W342" s="250"/>
      <c r="X342" s="250"/>
      <c r="Y342" s="250"/>
      <c r="Z342" s="250"/>
      <c r="AA342" s="250"/>
      <c r="AB342" s="250"/>
      <c r="AC342" s="250"/>
      <c r="AD342" s="250"/>
      <c r="AE342" s="251"/>
      <c r="AF342" s="251"/>
      <c r="AG342" s="251"/>
      <c r="AH342" s="251"/>
      <c r="AI342" s="250"/>
    </row>
    <row r="343" spans="2:35" x14ac:dyDescent="0.35">
      <c r="B343" s="250"/>
      <c r="C343" s="250"/>
      <c r="D343" s="250"/>
      <c r="E343" s="250"/>
      <c r="F343" s="250"/>
      <c r="G343" s="250"/>
      <c r="H343" s="250"/>
      <c r="I343" s="250"/>
      <c r="J343" s="250"/>
      <c r="K343" s="250"/>
      <c r="L343" s="250"/>
      <c r="M343" s="250"/>
      <c r="N343" s="250"/>
      <c r="O343" s="250"/>
      <c r="P343" s="250"/>
      <c r="Q343" s="250"/>
      <c r="R343" s="250"/>
      <c r="S343" s="250"/>
      <c r="T343" s="250"/>
      <c r="U343" s="250"/>
      <c r="V343" s="250"/>
      <c r="W343" s="250"/>
      <c r="X343" s="250"/>
      <c r="Y343" s="250"/>
      <c r="Z343" s="250"/>
      <c r="AA343" s="250"/>
      <c r="AB343" s="250"/>
      <c r="AC343" s="250"/>
      <c r="AD343" s="250"/>
      <c r="AE343" s="251"/>
      <c r="AF343" s="251"/>
      <c r="AG343" s="251"/>
      <c r="AH343" s="251"/>
      <c r="AI343" s="250"/>
    </row>
    <row r="344" spans="2:35" x14ac:dyDescent="0.35">
      <c r="B344" s="250"/>
      <c r="C344" s="250"/>
      <c r="D344" s="250"/>
      <c r="E344" s="250"/>
      <c r="F344" s="250"/>
      <c r="G344" s="250"/>
      <c r="H344" s="250"/>
      <c r="I344" s="250"/>
      <c r="J344" s="250"/>
      <c r="K344" s="250"/>
      <c r="L344" s="250"/>
      <c r="M344" s="250"/>
      <c r="N344" s="250"/>
      <c r="O344" s="250"/>
      <c r="P344" s="250"/>
      <c r="Q344" s="250"/>
      <c r="R344" s="250"/>
      <c r="S344" s="250"/>
      <c r="T344" s="250"/>
      <c r="U344" s="250"/>
      <c r="V344" s="250"/>
      <c r="W344" s="250"/>
      <c r="X344" s="250"/>
      <c r="Y344" s="250"/>
      <c r="Z344" s="250"/>
      <c r="AA344" s="250"/>
      <c r="AB344" s="250"/>
      <c r="AC344" s="250"/>
      <c r="AD344" s="250"/>
      <c r="AE344" s="251"/>
      <c r="AF344" s="251"/>
      <c r="AG344" s="251"/>
      <c r="AH344" s="251"/>
      <c r="AI344" s="250"/>
    </row>
    <row r="345" spans="2:35" x14ac:dyDescent="0.35">
      <c r="B345" s="250"/>
      <c r="C345" s="250"/>
      <c r="D345" s="250"/>
      <c r="E345" s="250"/>
      <c r="F345" s="250"/>
      <c r="G345" s="250"/>
      <c r="H345" s="250"/>
      <c r="I345" s="250"/>
      <c r="J345" s="250"/>
      <c r="K345" s="250"/>
      <c r="L345" s="250"/>
      <c r="M345" s="250"/>
      <c r="N345" s="250"/>
      <c r="O345" s="250"/>
      <c r="P345" s="250"/>
      <c r="Q345" s="250"/>
      <c r="R345" s="250"/>
      <c r="S345" s="250"/>
      <c r="T345" s="250"/>
      <c r="U345" s="250"/>
      <c r="V345" s="250"/>
      <c r="W345" s="250"/>
      <c r="X345" s="250"/>
      <c r="Y345" s="250"/>
      <c r="Z345" s="250"/>
      <c r="AA345" s="250"/>
      <c r="AB345" s="250"/>
      <c r="AC345" s="250"/>
      <c r="AD345" s="250"/>
      <c r="AE345" s="251"/>
      <c r="AF345" s="251"/>
      <c r="AG345" s="251"/>
      <c r="AH345" s="251"/>
      <c r="AI345" s="250"/>
    </row>
    <row r="346" spans="2:35" x14ac:dyDescent="0.35">
      <c r="B346" s="250"/>
      <c r="C346" s="250"/>
      <c r="D346" s="250"/>
      <c r="E346" s="250"/>
      <c r="F346" s="250"/>
      <c r="G346" s="250"/>
      <c r="H346" s="250"/>
      <c r="I346" s="250"/>
      <c r="J346" s="250"/>
      <c r="K346" s="250"/>
      <c r="L346" s="250"/>
      <c r="M346" s="250"/>
      <c r="N346" s="250"/>
      <c r="O346" s="250"/>
      <c r="P346" s="250"/>
      <c r="Q346" s="250"/>
      <c r="R346" s="250"/>
      <c r="S346" s="250"/>
      <c r="T346" s="250"/>
      <c r="U346" s="250"/>
      <c r="V346" s="250"/>
      <c r="W346" s="250"/>
      <c r="X346" s="250"/>
      <c r="Y346" s="250"/>
      <c r="Z346" s="250"/>
      <c r="AA346" s="250"/>
      <c r="AB346" s="250"/>
      <c r="AC346" s="250"/>
      <c r="AD346" s="250"/>
      <c r="AE346" s="251"/>
      <c r="AF346" s="251"/>
      <c r="AG346" s="251"/>
      <c r="AH346" s="251"/>
      <c r="AI346" s="250"/>
    </row>
    <row r="347" spans="2:35" x14ac:dyDescent="0.35">
      <c r="B347" s="250"/>
      <c r="C347" s="250"/>
      <c r="D347" s="250"/>
      <c r="E347" s="250"/>
      <c r="F347" s="250"/>
      <c r="G347" s="250"/>
      <c r="H347" s="250"/>
      <c r="I347" s="250"/>
      <c r="J347" s="250"/>
      <c r="K347" s="250"/>
      <c r="L347" s="250"/>
      <c r="M347" s="250"/>
      <c r="N347" s="250"/>
      <c r="O347" s="250"/>
      <c r="P347" s="250"/>
      <c r="Q347" s="250"/>
      <c r="R347" s="250"/>
      <c r="S347" s="250"/>
      <c r="T347" s="250"/>
      <c r="U347" s="250"/>
      <c r="V347" s="250"/>
      <c r="W347" s="250"/>
      <c r="X347" s="250"/>
      <c r="Y347" s="250"/>
      <c r="Z347" s="250"/>
      <c r="AA347" s="250"/>
      <c r="AB347" s="250"/>
      <c r="AC347" s="250"/>
      <c r="AD347" s="250"/>
      <c r="AE347" s="251"/>
      <c r="AF347" s="251"/>
      <c r="AG347" s="251"/>
      <c r="AH347" s="251"/>
      <c r="AI347" s="250"/>
    </row>
    <row r="348" spans="2:35" x14ac:dyDescent="0.35">
      <c r="B348" s="250"/>
      <c r="C348" s="250"/>
      <c r="D348" s="250"/>
      <c r="E348" s="250"/>
      <c r="F348" s="250"/>
      <c r="G348" s="250"/>
      <c r="H348" s="250"/>
      <c r="I348" s="250"/>
      <c r="J348" s="250"/>
      <c r="K348" s="250"/>
      <c r="L348" s="250"/>
      <c r="M348" s="250"/>
      <c r="N348" s="250"/>
      <c r="O348" s="250"/>
      <c r="P348" s="250"/>
      <c r="Q348" s="250"/>
      <c r="R348" s="250"/>
      <c r="S348" s="250"/>
      <c r="T348" s="250"/>
      <c r="U348" s="250"/>
      <c r="V348" s="250"/>
      <c r="W348" s="250"/>
      <c r="X348" s="250"/>
      <c r="Y348" s="250"/>
      <c r="Z348" s="250"/>
      <c r="AA348" s="250"/>
      <c r="AB348" s="250"/>
      <c r="AC348" s="250"/>
      <c r="AD348" s="250"/>
      <c r="AE348" s="251"/>
      <c r="AF348" s="251"/>
      <c r="AG348" s="251"/>
      <c r="AH348" s="251"/>
      <c r="AI348" s="250"/>
    </row>
    <row r="349" spans="2:35" x14ac:dyDescent="0.35">
      <c r="B349" s="250"/>
      <c r="C349" s="250"/>
      <c r="D349" s="250"/>
      <c r="E349" s="250"/>
      <c r="F349" s="250"/>
      <c r="G349" s="250"/>
      <c r="H349" s="250"/>
      <c r="I349" s="250"/>
      <c r="J349" s="250"/>
      <c r="K349" s="250"/>
      <c r="L349" s="250"/>
      <c r="M349" s="250"/>
      <c r="N349" s="250"/>
      <c r="O349" s="250"/>
      <c r="P349" s="250"/>
      <c r="Q349" s="250"/>
      <c r="R349" s="250"/>
      <c r="S349" s="250"/>
      <c r="T349" s="250"/>
      <c r="U349" s="250"/>
      <c r="V349" s="250"/>
      <c r="W349" s="250"/>
      <c r="X349" s="250"/>
      <c r="Y349" s="250"/>
      <c r="Z349" s="250"/>
      <c r="AA349" s="250"/>
      <c r="AB349" s="250"/>
      <c r="AC349" s="250"/>
      <c r="AD349" s="250"/>
      <c r="AE349" s="251"/>
      <c r="AF349" s="251"/>
      <c r="AG349" s="251"/>
      <c r="AH349" s="251"/>
      <c r="AI349" s="250"/>
    </row>
    <row r="350" spans="2:35" x14ac:dyDescent="0.35">
      <c r="B350" s="250"/>
      <c r="C350" s="250"/>
      <c r="D350" s="250"/>
      <c r="E350" s="250"/>
      <c r="F350" s="250"/>
      <c r="G350" s="250"/>
      <c r="H350" s="250"/>
      <c r="I350" s="250"/>
      <c r="J350" s="250"/>
      <c r="K350" s="250"/>
      <c r="L350" s="250"/>
      <c r="M350" s="250"/>
      <c r="N350" s="250"/>
      <c r="O350" s="250"/>
      <c r="P350" s="250"/>
      <c r="Q350" s="250"/>
      <c r="R350" s="250"/>
      <c r="S350" s="250"/>
      <c r="T350" s="250"/>
      <c r="U350" s="250"/>
      <c r="V350" s="250"/>
      <c r="W350" s="250"/>
      <c r="X350" s="250"/>
      <c r="Y350" s="250"/>
      <c r="Z350" s="250"/>
      <c r="AA350" s="250"/>
      <c r="AB350" s="250"/>
      <c r="AC350" s="250"/>
      <c r="AD350" s="250"/>
      <c r="AE350" s="251"/>
      <c r="AF350" s="251"/>
      <c r="AG350" s="251"/>
      <c r="AH350" s="251"/>
      <c r="AI350" s="250"/>
    </row>
    <row r="351" spans="2:35" x14ac:dyDescent="0.35">
      <c r="B351" s="250"/>
      <c r="C351" s="250"/>
      <c r="D351" s="250"/>
      <c r="E351" s="250"/>
      <c r="F351" s="250"/>
      <c r="G351" s="250"/>
      <c r="H351" s="250"/>
      <c r="I351" s="250"/>
      <c r="J351" s="250"/>
      <c r="K351" s="250"/>
      <c r="L351" s="250"/>
      <c r="M351" s="250"/>
      <c r="N351" s="250"/>
      <c r="O351" s="250"/>
      <c r="P351" s="250"/>
      <c r="Q351" s="250"/>
      <c r="R351" s="250"/>
      <c r="S351" s="250"/>
      <c r="T351" s="250"/>
      <c r="U351" s="250"/>
      <c r="V351" s="250"/>
      <c r="W351" s="250"/>
      <c r="X351" s="250"/>
      <c r="Y351" s="250"/>
      <c r="Z351" s="250"/>
      <c r="AA351" s="250"/>
      <c r="AB351" s="250"/>
      <c r="AC351" s="250"/>
      <c r="AD351" s="250"/>
      <c r="AE351" s="251"/>
      <c r="AF351" s="251"/>
      <c r="AG351" s="251"/>
      <c r="AH351" s="251"/>
      <c r="AI351" s="250"/>
    </row>
    <row r="352" spans="2:35" x14ac:dyDescent="0.35">
      <c r="B352" s="250"/>
      <c r="C352" s="250"/>
      <c r="D352" s="250"/>
      <c r="E352" s="250"/>
      <c r="F352" s="250"/>
      <c r="G352" s="250"/>
      <c r="H352" s="250"/>
      <c r="I352" s="250"/>
      <c r="J352" s="250"/>
      <c r="K352" s="250"/>
      <c r="L352" s="250"/>
      <c r="M352" s="250"/>
      <c r="N352" s="250"/>
      <c r="O352" s="250"/>
      <c r="P352" s="250"/>
      <c r="Q352" s="250"/>
      <c r="R352" s="250"/>
      <c r="S352" s="250"/>
      <c r="T352" s="250"/>
      <c r="U352" s="250"/>
      <c r="V352" s="250"/>
      <c r="W352" s="250"/>
      <c r="X352" s="250"/>
      <c r="Y352" s="250"/>
      <c r="Z352" s="250"/>
      <c r="AA352" s="250"/>
      <c r="AB352" s="250"/>
      <c r="AC352" s="250"/>
      <c r="AD352" s="250"/>
      <c r="AE352" s="251"/>
      <c r="AF352" s="251"/>
      <c r="AG352" s="251"/>
      <c r="AH352" s="251"/>
      <c r="AI352" s="250"/>
    </row>
    <row r="353" spans="2:35" x14ac:dyDescent="0.35">
      <c r="B353" s="250"/>
      <c r="C353" s="250"/>
      <c r="D353" s="250"/>
      <c r="E353" s="250"/>
      <c r="F353" s="250"/>
      <c r="G353" s="250"/>
      <c r="H353" s="250"/>
      <c r="I353" s="250"/>
      <c r="J353" s="250"/>
      <c r="K353" s="250"/>
      <c r="L353" s="250"/>
      <c r="M353" s="250"/>
      <c r="N353" s="250"/>
      <c r="O353" s="250"/>
      <c r="P353" s="250"/>
      <c r="Q353" s="250"/>
      <c r="R353" s="250"/>
      <c r="S353" s="250"/>
      <c r="T353" s="250"/>
      <c r="U353" s="250"/>
      <c r="V353" s="250"/>
      <c r="W353" s="250"/>
      <c r="X353" s="250"/>
      <c r="Y353" s="250"/>
      <c r="Z353" s="250"/>
      <c r="AA353" s="250"/>
      <c r="AB353" s="250"/>
      <c r="AC353" s="250"/>
      <c r="AD353" s="250"/>
      <c r="AE353" s="251"/>
      <c r="AF353" s="251"/>
      <c r="AG353" s="251"/>
      <c r="AH353" s="251"/>
      <c r="AI353" s="250"/>
    </row>
    <row r="354" spans="2:35" x14ac:dyDescent="0.35">
      <c r="B354" s="250"/>
      <c r="C354" s="250"/>
      <c r="D354" s="250"/>
      <c r="E354" s="250"/>
      <c r="F354" s="250"/>
      <c r="G354" s="250"/>
      <c r="H354" s="250"/>
      <c r="I354" s="250"/>
      <c r="J354" s="250"/>
      <c r="K354" s="250"/>
      <c r="L354" s="250"/>
      <c r="M354" s="250"/>
      <c r="N354" s="250"/>
      <c r="O354" s="250"/>
      <c r="P354" s="250"/>
      <c r="Q354" s="250"/>
      <c r="R354" s="250"/>
      <c r="S354" s="250"/>
      <c r="T354" s="250"/>
      <c r="U354" s="250"/>
      <c r="V354" s="250"/>
      <c r="W354" s="250"/>
      <c r="X354" s="250"/>
      <c r="Y354" s="250"/>
      <c r="Z354" s="250"/>
      <c r="AA354" s="250"/>
      <c r="AB354" s="250"/>
      <c r="AC354" s="250"/>
      <c r="AD354" s="250"/>
      <c r="AE354" s="251"/>
      <c r="AF354" s="251"/>
      <c r="AG354" s="251"/>
      <c r="AH354" s="251"/>
      <c r="AI354" s="250"/>
    </row>
    <row r="355" spans="2:35" x14ac:dyDescent="0.35">
      <c r="B355" s="250"/>
      <c r="C355" s="250"/>
      <c r="D355" s="250"/>
      <c r="E355" s="250"/>
      <c r="F355" s="250"/>
      <c r="G355" s="250"/>
      <c r="H355" s="250"/>
      <c r="I355" s="250"/>
      <c r="J355" s="250"/>
      <c r="K355" s="250"/>
      <c r="L355" s="250"/>
      <c r="M355" s="250"/>
      <c r="N355" s="250"/>
      <c r="O355" s="250"/>
      <c r="P355" s="250"/>
      <c r="Q355" s="250"/>
      <c r="R355" s="250"/>
      <c r="S355" s="250"/>
      <c r="T355" s="250"/>
      <c r="U355" s="250"/>
      <c r="V355" s="250"/>
      <c r="W355" s="250"/>
      <c r="X355" s="250"/>
      <c r="Y355" s="250"/>
      <c r="Z355" s="250"/>
      <c r="AA355" s="250"/>
      <c r="AB355" s="250"/>
      <c r="AC355" s="250"/>
      <c r="AD355" s="250"/>
      <c r="AE355" s="251"/>
      <c r="AF355" s="251"/>
      <c r="AG355" s="251"/>
      <c r="AH355" s="251"/>
      <c r="AI355" s="250"/>
    </row>
    <row r="356" spans="2:35" x14ac:dyDescent="0.35">
      <c r="B356" s="250"/>
      <c r="C356" s="250"/>
      <c r="D356" s="250"/>
      <c r="E356" s="250"/>
      <c r="F356" s="250"/>
      <c r="G356" s="250"/>
      <c r="H356" s="250"/>
      <c r="I356" s="250"/>
      <c r="J356" s="250"/>
      <c r="K356" s="250"/>
      <c r="L356" s="250"/>
      <c r="M356" s="250"/>
      <c r="N356" s="250"/>
      <c r="O356" s="250"/>
      <c r="P356" s="250"/>
      <c r="Q356" s="250"/>
      <c r="R356" s="250"/>
      <c r="S356" s="250"/>
      <c r="T356" s="250"/>
      <c r="U356" s="250"/>
      <c r="V356" s="250"/>
      <c r="W356" s="250"/>
      <c r="X356" s="250"/>
      <c r="Y356" s="250"/>
      <c r="Z356" s="250"/>
      <c r="AA356" s="250"/>
      <c r="AB356" s="250"/>
      <c r="AC356" s="250"/>
      <c r="AD356" s="250"/>
      <c r="AE356" s="251"/>
      <c r="AF356" s="251"/>
      <c r="AG356" s="251"/>
      <c r="AH356" s="251"/>
      <c r="AI356" s="250"/>
    </row>
    <row r="357" spans="2:35" x14ac:dyDescent="0.35">
      <c r="B357" s="250"/>
      <c r="C357" s="250"/>
      <c r="D357" s="250"/>
      <c r="E357" s="250"/>
      <c r="F357" s="250"/>
      <c r="G357" s="250"/>
      <c r="H357" s="250"/>
      <c r="I357" s="250"/>
      <c r="J357" s="250"/>
      <c r="K357" s="250"/>
      <c r="L357" s="250"/>
      <c r="M357" s="250"/>
      <c r="N357" s="250"/>
      <c r="O357" s="250"/>
      <c r="P357" s="250"/>
      <c r="Q357" s="250"/>
      <c r="R357" s="250"/>
      <c r="S357" s="250"/>
      <c r="T357" s="250"/>
      <c r="U357" s="250"/>
      <c r="V357" s="250"/>
      <c r="W357" s="250"/>
      <c r="X357" s="250"/>
      <c r="Y357" s="250"/>
      <c r="Z357" s="250"/>
      <c r="AA357" s="250"/>
      <c r="AB357" s="250"/>
      <c r="AC357" s="250"/>
      <c r="AD357" s="250"/>
      <c r="AE357" s="251"/>
      <c r="AF357" s="251"/>
      <c r="AG357" s="251"/>
      <c r="AH357" s="251"/>
      <c r="AI357" s="250"/>
    </row>
    <row r="358" spans="2:35" x14ac:dyDescent="0.35">
      <c r="B358" s="250"/>
      <c r="C358" s="250"/>
      <c r="D358" s="250"/>
      <c r="E358" s="250"/>
      <c r="F358" s="250"/>
      <c r="G358" s="250"/>
      <c r="H358" s="250"/>
      <c r="I358" s="250"/>
      <c r="J358" s="250"/>
      <c r="K358" s="250"/>
      <c r="L358" s="250"/>
      <c r="M358" s="250"/>
      <c r="N358" s="250"/>
      <c r="O358" s="250"/>
      <c r="P358" s="250"/>
      <c r="Q358" s="250"/>
      <c r="R358" s="250"/>
      <c r="S358" s="250"/>
      <c r="T358" s="250"/>
      <c r="U358" s="250"/>
      <c r="V358" s="250"/>
      <c r="W358" s="250"/>
      <c r="X358" s="250"/>
      <c r="Y358" s="250"/>
      <c r="Z358" s="250"/>
      <c r="AA358" s="250"/>
      <c r="AB358" s="250"/>
      <c r="AC358" s="250"/>
      <c r="AD358" s="250"/>
      <c r="AE358" s="251"/>
      <c r="AF358" s="251"/>
      <c r="AG358" s="251"/>
      <c r="AH358" s="251"/>
      <c r="AI358" s="250"/>
    </row>
    <row r="359" spans="2:35" x14ac:dyDescent="0.35">
      <c r="B359" s="250"/>
      <c r="C359" s="250"/>
      <c r="D359" s="250"/>
      <c r="E359" s="250"/>
      <c r="F359" s="250"/>
      <c r="G359" s="250"/>
      <c r="H359" s="250"/>
      <c r="I359" s="250"/>
      <c r="J359" s="250"/>
      <c r="K359" s="250"/>
      <c r="L359" s="250"/>
      <c r="M359" s="250"/>
      <c r="N359" s="250"/>
      <c r="O359" s="250"/>
      <c r="P359" s="250"/>
      <c r="Q359" s="250"/>
      <c r="R359" s="250"/>
      <c r="S359" s="250"/>
      <c r="T359" s="250"/>
      <c r="U359" s="250"/>
      <c r="V359" s="250"/>
      <c r="W359" s="250"/>
      <c r="X359" s="250"/>
      <c r="Y359" s="250"/>
      <c r="Z359" s="250"/>
      <c r="AA359" s="250"/>
      <c r="AB359" s="250"/>
      <c r="AC359" s="250"/>
      <c r="AD359" s="250"/>
      <c r="AE359" s="251"/>
      <c r="AF359" s="251"/>
      <c r="AG359" s="251"/>
      <c r="AH359" s="251"/>
      <c r="AI359" s="250"/>
    </row>
    <row r="360" spans="2:35" x14ac:dyDescent="0.35">
      <c r="B360" s="250"/>
      <c r="C360" s="250"/>
      <c r="D360" s="250"/>
      <c r="E360" s="250"/>
      <c r="F360" s="250"/>
      <c r="G360" s="250"/>
      <c r="H360" s="250"/>
      <c r="I360" s="250"/>
      <c r="J360" s="250"/>
      <c r="K360" s="250"/>
      <c r="L360" s="250"/>
      <c r="M360" s="250"/>
      <c r="N360" s="250"/>
      <c r="O360" s="250"/>
      <c r="P360" s="250"/>
      <c r="Q360" s="250"/>
      <c r="R360" s="250"/>
      <c r="S360" s="250"/>
      <c r="T360" s="250"/>
      <c r="U360" s="250"/>
      <c r="V360" s="250"/>
      <c r="W360" s="250"/>
      <c r="X360" s="250"/>
      <c r="Y360" s="250"/>
      <c r="Z360" s="250"/>
      <c r="AA360" s="250"/>
      <c r="AB360" s="250"/>
      <c r="AC360" s="250"/>
      <c r="AD360" s="250"/>
      <c r="AE360" s="251"/>
      <c r="AF360" s="251"/>
      <c r="AG360" s="251"/>
      <c r="AH360" s="251"/>
      <c r="AI360" s="250"/>
    </row>
    <row r="361" spans="2:35" x14ac:dyDescent="0.35">
      <c r="B361" s="250"/>
      <c r="C361" s="250"/>
      <c r="D361" s="250"/>
      <c r="E361" s="250"/>
      <c r="F361" s="250"/>
      <c r="G361" s="250"/>
      <c r="H361" s="250"/>
      <c r="I361" s="250"/>
      <c r="J361" s="250"/>
      <c r="K361" s="250"/>
      <c r="L361" s="250"/>
      <c r="M361" s="250"/>
      <c r="N361" s="250"/>
      <c r="O361" s="250"/>
      <c r="P361" s="250"/>
      <c r="Q361" s="250"/>
      <c r="R361" s="250"/>
      <c r="S361" s="250"/>
      <c r="T361" s="250"/>
      <c r="U361" s="250"/>
      <c r="V361" s="250"/>
      <c r="W361" s="250"/>
      <c r="X361" s="250"/>
      <c r="Y361" s="250"/>
      <c r="Z361" s="250"/>
      <c r="AA361" s="250"/>
      <c r="AB361" s="250"/>
      <c r="AC361" s="250"/>
      <c r="AD361" s="250"/>
      <c r="AE361" s="251"/>
      <c r="AF361" s="251"/>
      <c r="AG361" s="251"/>
      <c r="AH361" s="251"/>
      <c r="AI361" s="250"/>
    </row>
    <row r="362" spans="2:35" x14ac:dyDescent="0.35">
      <c r="B362" s="250"/>
      <c r="C362" s="250"/>
      <c r="D362" s="250"/>
      <c r="E362" s="250"/>
      <c r="F362" s="250"/>
      <c r="G362" s="250"/>
      <c r="H362" s="250"/>
      <c r="I362" s="250"/>
      <c r="J362" s="250"/>
      <c r="K362" s="250"/>
      <c r="L362" s="250"/>
      <c r="M362" s="250"/>
      <c r="N362" s="250"/>
      <c r="O362" s="250"/>
      <c r="P362" s="250"/>
      <c r="Q362" s="250"/>
      <c r="R362" s="250"/>
      <c r="S362" s="250"/>
      <c r="T362" s="250"/>
      <c r="U362" s="250"/>
      <c r="V362" s="250"/>
      <c r="W362" s="250"/>
      <c r="X362" s="250"/>
      <c r="Y362" s="250"/>
      <c r="Z362" s="250"/>
      <c r="AA362" s="250"/>
      <c r="AB362" s="250"/>
      <c r="AC362" s="250"/>
      <c r="AD362" s="250"/>
      <c r="AE362" s="251"/>
      <c r="AF362" s="251"/>
      <c r="AG362" s="251"/>
      <c r="AH362" s="251"/>
      <c r="AI362" s="250"/>
    </row>
    <row r="363" spans="2:35" x14ac:dyDescent="0.35">
      <c r="B363" s="250"/>
      <c r="C363" s="250"/>
      <c r="D363" s="250"/>
      <c r="E363" s="250"/>
      <c r="F363" s="250"/>
      <c r="G363" s="250"/>
      <c r="H363" s="250"/>
      <c r="I363" s="250"/>
      <c r="J363" s="250"/>
      <c r="K363" s="250"/>
      <c r="L363" s="250"/>
      <c r="M363" s="250"/>
      <c r="N363" s="250"/>
      <c r="O363" s="250"/>
      <c r="P363" s="250"/>
      <c r="Q363" s="250"/>
      <c r="R363" s="250"/>
      <c r="S363" s="250"/>
      <c r="T363" s="250"/>
      <c r="U363" s="250"/>
      <c r="V363" s="250"/>
      <c r="W363" s="250"/>
      <c r="X363" s="250"/>
      <c r="Y363" s="250"/>
      <c r="Z363" s="250"/>
      <c r="AA363" s="250"/>
      <c r="AB363" s="250"/>
      <c r="AC363" s="250"/>
      <c r="AD363" s="250"/>
      <c r="AE363" s="251"/>
      <c r="AF363" s="251"/>
      <c r="AG363" s="251"/>
      <c r="AH363" s="251"/>
      <c r="AI363" s="250"/>
    </row>
    <row r="364" spans="2:35" x14ac:dyDescent="0.35">
      <c r="B364" s="250"/>
      <c r="C364" s="250"/>
      <c r="D364" s="250"/>
      <c r="E364" s="250"/>
      <c r="F364" s="250"/>
      <c r="G364" s="250"/>
      <c r="H364" s="250"/>
      <c r="I364" s="250"/>
      <c r="J364" s="250"/>
      <c r="K364" s="250"/>
      <c r="L364" s="250"/>
      <c r="M364" s="250"/>
      <c r="N364" s="250"/>
      <c r="O364" s="250"/>
      <c r="P364" s="250"/>
      <c r="Q364" s="250"/>
      <c r="R364" s="250"/>
      <c r="S364" s="250"/>
      <c r="T364" s="250"/>
      <c r="U364" s="250"/>
      <c r="V364" s="250"/>
      <c r="W364" s="250"/>
      <c r="X364" s="250"/>
      <c r="Y364" s="250"/>
      <c r="Z364" s="250"/>
      <c r="AA364" s="250"/>
      <c r="AB364" s="250"/>
      <c r="AC364" s="250"/>
      <c r="AD364" s="250"/>
      <c r="AE364" s="251"/>
      <c r="AF364" s="251"/>
      <c r="AG364" s="251"/>
      <c r="AH364" s="251"/>
      <c r="AI364" s="250"/>
    </row>
    <row r="365" spans="2:35" x14ac:dyDescent="0.35">
      <c r="B365" s="250"/>
      <c r="C365" s="250"/>
      <c r="D365" s="250"/>
      <c r="E365" s="250"/>
      <c r="F365" s="250"/>
      <c r="G365" s="250"/>
      <c r="H365" s="250"/>
      <c r="I365" s="250"/>
      <c r="J365" s="250"/>
      <c r="K365" s="250"/>
      <c r="L365" s="250"/>
      <c r="M365" s="250"/>
      <c r="N365" s="250"/>
      <c r="O365" s="250"/>
      <c r="P365" s="250"/>
      <c r="Q365" s="250"/>
      <c r="R365" s="250"/>
      <c r="S365" s="250"/>
      <c r="T365" s="250"/>
      <c r="U365" s="250"/>
      <c r="V365" s="250"/>
      <c r="W365" s="250"/>
      <c r="X365" s="250"/>
      <c r="Y365" s="250"/>
      <c r="Z365" s="250"/>
      <c r="AA365" s="250"/>
      <c r="AB365" s="250"/>
      <c r="AC365" s="250"/>
      <c r="AD365" s="250"/>
      <c r="AE365" s="251"/>
      <c r="AF365" s="251"/>
      <c r="AG365" s="251"/>
      <c r="AH365" s="251"/>
      <c r="AI365" s="250"/>
    </row>
    <row r="366" spans="2:35" x14ac:dyDescent="0.35">
      <c r="B366" s="250"/>
      <c r="C366" s="250"/>
      <c r="D366" s="250"/>
      <c r="E366" s="250"/>
      <c r="F366" s="250"/>
      <c r="G366" s="250"/>
      <c r="H366" s="250"/>
      <c r="I366" s="250"/>
      <c r="J366" s="250"/>
      <c r="K366" s="250"/>
      <c r="L366" s="250"/>
      <c r="M366" s="250"/>
      <c r="N366" s="250"/>
      <c r="O366" s="250"/>
      <c r="P366" s="250"/>
      <c r="Q366" s="250"/>
      <c r="R366" s="250"/>
      <c r="S366" s="250"/>
      <c r="T366" s="250"/>
      <c r="U366" s="250"/>
      <c r="V366" s="250"/>
      <c r="W366" s="250"/>
      <c r="X366" s="250"/>
      <c r="Y366" s="250"/>
      <c r="Z366" s="250"/>
      <c r="AA366" s="250"/>
      <c r="AB366" s="250"/>
      <c r="AC366" s="250"/>
      <c r="AD366" s="250"/>
      <c r="AE366" s="251"/>
      <c r="AF366" s="251"/>
      <c r="AG366" s="251"/>
      <c r="AH366" s="251"/>
      <c r="AI366" s="250"/>
    </row>
    <row r="367" spans="2:35" x14ac:dyDescent="0.35">
      <c r="B367" s="250"/>
      <c r="C367" s="250"/>
      <c r="D367" s="250"/>
      <c r="E367" s="250"/>
      <c r="F367" s="250"/>
      <c r="G367" s="250"/>
      <c r="H367" s="250"/>
      <c r="I367" s="250"/>
      <c r="J367" s="250"/>
      <c r="K367" s="250"/>
      <c r="L367" s="250"/>
      <c r="M367" s="250"/>
      <c r="N367" s="250"/>
      <c r="O367" s="250"/>
      <c r="P367" s="250"/>
      <c r="Q367" s="250"/>
      <c r="R367" s="250"/>
      <c r="S367" s="250"/>
      <c r="T367" s="250"/>
      <c r="U367" s="250"/>
      <c r="V367" s="250"/>
      <c r="W367" s="250"/>
      <c r="X367" s="250"/>
      <c r="Y367" s="250"/>
      <c r="Z367" s="250"/>
      <c r="AA367" s="250"/>
      <c r="AB367" s="250"/>
      <c r="AC367" s="250"/>
      <c r="AD367" s="250"/>
      <c r="AE367" s="251"/>
      <c r="AF367" s="251"/>
      <c r="AG367" s="251"/>
      <c r="AH367" s="251"/>
      <c r="AI367" s="250"/>
    </row>
    <row r="368" spans="2:35" x14ac:dyDescent="0.35">
      <c r="B368" s="250"/>
      <c r="C368" s="250"/>
      <c r="D368" s="250"/>
      <c r="E368" s="250"/>
      <c r="F368" s="250"/>
      <c r="G368" s="250"/>
      <c r="H368" s="250"/>
      <c r="I368" s="250"/>
      <c r="J368" s="250"/>
      <c r="K368" s="250"/>
      <c r="L368" s="250"/>
      <c r="M368" s="250"/>
      <c r="N368" s="250"/>
      <c r="O368" s="250"/>
      <c r="P368" s="250"/>
      <c r="Q368" s="250"/>
      <c r="R368" s="250"/>
      <c r="S368" s="250"/>
      <c r="T368" s="250"/>
      <c r="U368" s="250"/>
      <c r="V368" s="250"/>
      <c r="W368" s="250"/>
      <c r="X368" s="250"/>
      <c r="Y368" s="250"/>
      <c r="Z368" s="250"/>
      <c r="AA368" s="250"/>
      <c r="AB368" s="250"/>
      <c r="AC368" s="250"/>
      <c r="AD368" s="250"/>
      <c r="AE368" s="251"/>
      <c r="AF368" s="251"/>
      <c r="AG368" s="251"/>
      <c r="AH368" s="251"/>
      <c r="AI368" s="250"/>
    </row>
    <row r="369" spans="2:35" x14ac:dyDescent="0.35">
      <c r="B369" s="250"/>
      <c r="C369" s="250"/>
      <c r="D369" s="250"/>
      <c r="E369" s="250"/>
      <c r="F369" s="250"/>
      <c r="G369" s="250"/>
      <c r="H369" s="250"/>
      <c r="I369" s="250"/>
      <c r="J369" s="250"/>
      <c r="K369" s="250"/>
      <c r="L369" s="250"/>
      <c r="M369" s="250"/>
      <c r="N369" s="250"/>
      <c r="O369" s="250"/>
      <c r="P369" s="250"/>
      <c r="Q369" s="250"/>
      <c r="R369" s="250"/>
      <c r="S369" s="250"/>
      <c r="T369" s="250"/>
      <c r="U369" s="250"/>
      <c r="V369" s="250"/>
      <c r="W369" s="250"/>
      <c r="X369" s="250"/>
      <c r="Y369" s="250"/>
      <c r="Z369" s="250"/>
      <c r="AA369" s="250"/>
      <c r="AB369" s="250"/>
      <c r="AC369" s="250"/>
      <c r="AD369" s="250"/>
      <c r="AE369" s="251"/>
      <c r="AF369" s="251"/>
      <c r="AG369" s="251"/>
      <c r="AH369" s="251"/>
      <c r="AI369" s="250"/>
    </row>
    <row r="370" spans="2:35" x14ac:dyDescent="0.35">
      <c r="B370" s="250"/>
      <c r="C370" s="250"/>
      <c r="D370" s="250"/>
      <c r="E370" s="250"/>
      <c r="F370" s="250"/>
      <c r="G370" s="250"/>
      <c r="H370" s="250"/>
      <c r="I370" s="250"/>
      <c r="J370" s="250"/>
      <c r="K370" s="250"/>
      <c r="L370" s="250"/>
      <c r="M370" s="250"/>
      <c r="N370" s="250"/>
      <c r="O370" s="250"/>
      <c r="P370" s="250"/>
      <c r="Q370" s="250"/>
      <c r="R370" s="250"/>
      <c r="S370" s="250"/>
      <c r="T370" s="250"/>
      <c r="U370" s="250"/>
      <c r="V370" s="250"/>
      <c r="W370" s="250"/>
      <c r="X370" s="250"/>
      <c r="Y370" s="250"/>
      <c r="Z370" s="250"/>
      <c r="AA370" s="250"/>
      <c r="AB370" s="250"/>
      <c r="AC370" s="250"/>
      <c r="AD370" s="250"/>
      <c r="AE370" s="251"/>
      <c r="AF370" s="251"/>
      <c r="AG370" s="251"/>
      <c r="AH370" s="251"/>
      <c r="AI370" s="250"/>
    </row>
    <row r="371" spans="2:35" x14ac:dyDescent="0.35">
      <c r="B371" s="250"/>
      <c r="C371" s="250"/>
      <c r="D371" s="250"/>
      <c r="E371" s="250"/>
      <c r="F371" s="250"/>
      <c r="G371" s="250"/>
      <c r="H371" s="250"/>
      <c r="I371" s="250"/>
      <c r="J371" s="250"/>
      <c r="K371" s="250"/>
      <c r="L371" s="250"/>
      <c r="M371" s="250"/>
      <c r="N371" s="250"/>
      <c r="O371" s="250"/>
      <c r="P371" s="250"/>
      <c r="Q371" s="250"/>
      <c r="R371" s="250"/>
      <c r="S371" s="250"/>
      <c r="T371" s="250"/>
      <c r="U371" s="250"/>
      <c r="V371" s="250"/>
      <c r="W371" s="250"/>
      <c r="X371" s="250"/>
      <c r="Y371" s="250"/>
      <c r="Z371" s="250"/>
      <c r="AA371" s="250"/>
      <c r="AB371" s="250"/>
      <c r="AC371" s="250"/>
      <c r="AD371" s="250"/>
      <c r="AE371" s="251"/>
      <c r="AF371" s="251"/>
      <c r="AG371" s="251"/>
      <c r="AH371" s="251"/>
      <c r="AI371" s="250"/>
    </row>
    <row r="372" spans="2:35" x14ac:dyDescent="0.35">
      <c r="B372" s="250"/>
      <c r="C372" s="250"/>
      <c r="D372" s="250"/>
      <c r="E372" s="250"/>
      <c r="F372" s="250"/>
      <c r="G372" s="250"/>
      <c r="H372" s="250"/>
      <c r="I372" s="250"/>
      <c r="J372" s="250"/>
      <c r="K372" s="250"/>
      <c r="L372" s="250"/>
      <c r="M372" s="250"/>
      <c r="N372" s="250"/>
      <c r="O372" s="250"/>
      <c r="P372" s="250"/>
      <c r="Q372" s="250"/>
      <c r="R372" s="250"/>
      <c r="S372" s="250"/>
      <c r="T372" s="250"/>
      <c r="U372" s="250"/>
      <c r="V372" s="250"/>
      <c r="W372" s="250"/>
      <c r="X372" s="250"/>
      <c r="Y372" s="250"/>
      <c r="Z372" s="250"/>
      <c r="AA372" s="250"/>
      <c r="AB372" s="250"/>
      <c r="AC372" s="250"/>
      <c r="AD372" s="250"/>
      <c r="AE372" s="251"/>
      <c r="AF372" s="251"/>
      <c r="AG372" s="251"/>
      <c r="AH372" s="251"/>
      <c r="AI372" s="250"/>
    </row>
    <row r="373" spans="2:35" x14ac:dyDescent="0.35">
      <c r="B373" s="250"/>
      <c r="C373" s="250"/>
      <c r="D373" s="250"/>
      <c r="E373" s="250"/>
      <c r="F373" s="250"/>
      <c r="G373" s="250"/>
      <c r="H373" s="250"/>
      <c r="I373" s="250"/>
      <c r="J373" s="250"/>
      <c r="K373" s="250"/>
      <c r="L373" s="250"/>
      <c r="M373" s="250"/>
      <c r="N373" s="250"/>
      <c r="O373" s="250"/>
      <c r="P373" s="250"/>
      <c r="Q373" s="250"/>
      <c r="R373" s="250"/>
      <c r="S373" s="250"/>
      <c r="T373" s="250"/>
      <c r="U373" s="250"/>
      <c r="V373" s="250"/>
      <c r="W373" s="250"/>
      <c r="X373" s="250"/>
      <c r="Y373" s="250"/>
      <c r="Z373" s="250"/>
      <c r="AA373" s="250"/>
      <c r="AB373" s="250"/>
      <c r="AC373" s="250"/>
      <c r="AD373" s="250"/>
      <c r="AE373" s="251"/>
      <c r="AF373" s="251"/>
      <c r="AG373" s="251"/>
      <c r="AH373" s="251"/>
      <c r="AI373" s="250"/>
    </row>
    <row r="374" spans="2:35" x14ac:dyDescent="0.35">
      <c r="B374" s="250"/>
      <c r="C374" s="250"/>
      <c r="D374" s="250"/>
      <c r="E374" s="250"/>
      <c r="F374" s="250"/>
      <c r="G374" s="250"/>
      <c r="H374" s="250"/>
      <c r="I374" s="250"/>
      <c r="J374" s="250"/>
      <c r="K374" s="250"/>
      <c r="L374" s="250"/>
      <c r="M374" s="250"/>
      <c r="N374" s="250"/>
      <c r="O374" s="250"/>
      <c r="P374" s="250"/>
      <c r="Q374" s="250"/>
      <c r="R374" s="250"/>
      <c r="S374" s="250"/>
      <c r="T374" s="250"/>
      <c r="U374" s="250"/>
      <c r="V374" s="250"/>
      <c r="W374" s="250"/>
      <c r="X374" s="250"/>
      <c r="Y374" s="250"/>
      <c r="Z374" s="250"/>
      <c r="AA374" s="250"/>
      <c r="AB374" s="250"/>
      <c r="AC374" s="250"/>
      <c r="AD374" s="250"/>
      <c r="AE374" s="251"/>
      <c r="AF374" s="251"/>
      <c r="AG374" s="251"/>
      <c r="AH374" s="251"/>
      <c r="AI374" s="250"/>
    </row>
    <row r="375" spans="2:35" x14ac:dyDescent="0.35">
      <c r="B375" s="250"/>
      <c r="C375" s="250"/>
      <c r="D375" s="250"/>
      <c r="E375" s="250"/>
      <c r="F375" s="250"/>
      <c r="G375" s="250"/>
      <c r="H375" s="250"/>
      <c r="I375" s="250"/>
      <c r="J375" s="250"/>
      <c r="K375" s="250"/>
      <c r="L375" s="250"/>
      <c r="M375" s="250"/>
      <c r="N375" s="250"/>
      <c r="O375" s="250"/>
      <c r="P375" s="250"/>
      <c r="Q375" s="250"/>
      <c r="R375" s="250"/>
      <c r="S375" s="250"/>
      <c r="T375" s="250"/>
      <c r="U375" s="250"/>
      <c r="V375" s="250"/>
      <c r="W375" s="250"/>
      <c r="X375" s="250"/>
      <c r="Y375" s="250"/>
      <c r="Z375" s="250"/>
      <c r="AA375" s="250"/>
      <c r="AB375" s="250"/>
      <c r="AC375" s="250"/>
      <c r="AD375" s="250"/>
      <c r="AE375" s="251"/>
      <c r="AF375" s="251"/>
      <c r="AG375" s="251"/>
      <c r="AH375" s="251"/>
      <c r="AI375" s="250"/>
    </row>
    <row r="376" spans="2:35" x14ac:dyDescent="0.35">
      <c r="B376" s="250"/>
      <c r="C376" s="250"/>
      <c r="D376" s="250"/>
      <c r="E376" s="250"/>
      <c r="F376" s="250"/>
      <c r="G376" s="250"/>
      <c r="H376" s="250"/>
      <c r="I376" s="250"/>
      <c r="J376" s="250"/>
      <c r="K376" s="250"/>
      <c r="L376" s="250"/>
      <c r="M376" s="250"/>
      <c r="N376" s="250"/>
      <c r="O376" s="250"/>
      <c r="P376" s="250"/>
      <c r="Q376" s="250"/>
      <c r="R376" s="250"/>
      <c r="S376" s="250"/>
      <c r="T376" s="250"/>
      <c r="U376" s="250"/>
      <c r="V376" s="250"/>
      <c r="W376" s="250"/>
      <c r="X376" s="250"/>
      <c r="Y376" s="250"/>
      <c r="Z376" s="250"/>
      <c r="AA376" s="250"/>
      <c r="AB376" s="250"/>
      <c r="AC376" s="250"/>
      <c r="AD376" s="250"/>
      <c r="AE376" s="251"/>
      <c r="AF376" s="251"/>
      <c r="AG376" s="251"/>
      <c r="AH376" s="251"/>
      <c r="AI376" s="250"/>
    </row>
    <row r="377" spans="2:35" x14ac:dyDescent="0.35">
      <c r="B377" s="250"/>
      <c r="C377" s="250"/>
      <c r="D377" s="250"/>
      <c r="E377" s="250"/>
      <c r="F377" s="250"/>
      <c r="G377" s="250"/>
      <c r="H377" s="250"/>
      <c r="I377" s="250"/>
      <c r="J377" s="250"/>
      <c r="K377" s="250"/>
      <c r="L377" s="250"/>
      <c r="M377" s="250"/>
      <c r="N377" s="250"/>
      <c r="O377" s="250"/>
      <c r="P377" s="250"/>
      <c r="Q377" s="250"/>
      <c r="R377" s="250"/>
      <c r="S377" s="250"/>
      <c r="T377" s="250"/>
      <c r="U377" s="250"/>
      <c r="V377" s="250"/>
      <c r="W377" s="250"/>
      <c r="X377" s="250"/>
      <c r="Y377" s="250"/>
      <c r="Z377" s="250"/>
      <c r="AA377" s="250"/>
      <c r="AB377" s="250"/>
      <c r="AC377" s="250"/>
      <c r="AD377" s="250"/>
      <c r="AE377" s="251"/>
      <c r="AF377" s="251"/>
      <c r="AG377" s="251"/>
      <c r="AH377" s="251"/>
      <c r="AI377" s="250"/>
    </row>
    <row r="378" spans="2:35" x14ac:dyDescent="0.35">
      <c r="B378" s="250"/>
      <c r="C378" s="250"/>
      <c r="D378" s="250"/>
      <c r="E378" s="250"/>
      <c r="F378" s="250"/>
      <c r="G378" s="250"/>
      <c r="H378" s="250"/>
      <c r="I378" s="250"/>
      <c r="J378" s="250"/>
      <c r="K378" s="250"/>
      <c r="L378" s="250"/>
      <c r="M378" s="250"/>
      <c r="N378" s="250"/>
      <c r="O378" s="250"/>
      <c r="P378" s="250"/>
      <c r="Q378" s="250"/>
      <c r="R378" s="250"/>
      <c r="S378" s="250"/>
      <c r="T378" s="250"/>
      <c r="U378" s="250"/>
      <c r="V378" s="250"/>
      <c r="W378" s="250"/>
      <c r="X378" s="250"/>
      <c r="Y378" s="250"/>
      <c r="Z378" s="250"/>
      <c r="AA378" s="250"/>
      <c r="AB378" s="250"/>
      <c r="AC378" s="250"/>
      <c r="AD378" s="250"/>
      <c r="AE378" s="251"/>
      <c r="AF378" s="251"/>
      <c r="AG378" s="251"/>
      <c r="AH378" s="251"/>
      <c r="AI378" s="250"/>
    </row>
    <row r="379" spans="2:35" x14ac:dyDescent="0.35">
      <c r="B379" s="250"/>
      <c r="C379" s="250"/>
      <c r="D379" s="250"/>
      <c r="E379" s="250"/>
      <c r="F379" s="250"/>
      <c r="G379" s="250"/>
      <c r="H379" s="250"/>
      <c r="I379" s="250"/>
      <c r="J379" s="250"/>
      <c r="K379" s="250"/>
      <c r="L379" s="250"/>
      <c r="M379" s="250"/>
      <c r="N379" s="250"/>
      <c r="O379" s="250"/>
      <c r="P379" s="250"/>
      <c r="Q379" s="250"/>
      <c r="R379" s="250"/>
      <c r="S379" s="250"/>
      <c r="T379" s="250"/>
      <c r="U379" s="250"/>
      <c r="V379" s="250"/>
      <c r="W379" s="250"/>
      <c r="X379" s="250"/>
      <c r="Y379" s="250"/>
      <c r="Z379" s="250"/>
      <c r="AA379" s="250"/>
      <c r="AB379" s="250"/>
      <c r="AC379" s="250"/>
      <c r="AD379" s="250"/>
      <c r="AE379" s="251"/>
      <c r="AF379" s="251"/>
      <c r="AG379" s="251"/>
      <c r="AH379" s="251"/>
      <c r="AI379" s="250"/>
    </row>
    <row r="380" spans="2:35" x14ac:dyDescent="0.35">
      <c r="B380" s="250"/>
      <c r="C380" s="250"/>
      <c r="D380" s="250"/>
      <c r="E380" s="250"/>
      <c r="F380" s="250"/>
      <c r="G380" s="250"/>
      <c r="H380" s="250"/>
      <c r="I380" s="250"/>
      <c r="J380" s="250"/>
      <c r="K380" s="250"/>
      <c r="L380" s="250"/>
      <c r="M380" s="250"/>
      <c r="N380" s="250"/>
      <c r="O380" s="250"/>
      <c r="P380" s="250"/>
      <c r="Q380" s="250"/>
      <c r="R380" s="250"/>
      <c r="S380" s="250"/>
      <c r="T380" s="250"/>
      <c r="U380" s="250"/>
      <c r="V380" s="250"/>
      <c r="W380" s="250"/>
      <c r="X380" s="250"/>
      <c r="Y380" s="250"/>
      <c r="Z380" s="250"/>
      <c r="AA380" s="250"/>
      <c r="AB380" s="250"/>
      <c r="AC380" s="250"/>
      <c r="AD380" s="250"/>
      <c r="AE380" s="251"/>
      <c r="AF380" s="251"/>
      <c r="AG380" s="251"/>
      <c r="AH380" s="251"/>
      <c r="AI380" s="250"/>
    </row>
    <row r="381" spans="2:35" x14ac:dyDescent="0.35">
      <c r="B381" s="250"/>
      <c r="C381" s="250"/>
      <c r="D381" s="250"/>
      <c r="E381" s="250"/>
      <c r="F381" s="250"/>
      <c r="G381" s="250"/>
      <c r="H381" s="250"/>
      <c r="I381" s="250"/>
      <c r="J381" s="250"/>
      <c r="K381" s="250"/>
      <c r="L381" s="250"/>
      <c r="M381" s="250"/>
      <c r="N381" s="250"/>
      <c r="O381" s="250"/>
      <c r="P381" s="250"/>
      <c r="Q381" s="250"/>
      <c r="R381" s="250"/>
      <c r="S381" s="250"/>
      <c r="T381" s="250"/>
      <c r="U381" s="250"/>
      <c r="V381" s="250"/>
      <c r="W381" s="250"/>
      <c r="X381" s="250"/>
      <c r="Y381" s="250"/>
      <c r="Z381" s="250"/>
      <c r="AA381" s="250"/>
      <c r="AB381" s="250"/>
      <c r="AC381" s="250"/>
      <c r="AD381" s="250"/>
      <c r="AE381" s="251"/>
      <c r="AF381" s="251"/>
      <c r="AG381" s="251"/>
      <c r="AH381" s="251"/>
      <c r="AI381" s="250"/>
    </row>
    <row r="382" spans="2:35" x14ac:dyDescent="0.35">
      <c r="B382" s="250"/>
      <c r="C382" s="250"/>
      <c r="D382" s="250"/>
      <c r="E382" s="250"/>
      <c r="F382" s="250"/>
      <c r="G382" s="250"/>
      <c r="H382" s="250"/>
      <c r="I382" s="250"/>
      <c r="J382" s="250"/>
      <c r="K382" s="250"/>
      <c r="L382" s="250"/>
      <c r="M382" s="250"/>
      <c r="N382" s="250"/>
      <c r="O382" s="250"/>
      <c r="P382" s="250"/>
      <c r="Q382" s="250"/>
      <c r="R382" s="250"/>
      <c r="S382" s="250"/>
      <c r="T382" s="250"/>
      <c r="U382" s="250"/>
      <c r="V382" s="250"/>
      <c r="W382" s="250"/>
      <c r="X382" s="250"/>
      <c r="Y382" s="250"/>
      <c r="Z382" s="250"/>
      <c r="AA382" s="250"/>
      <c r="AB382" s="250"/>
      <c r="AC382" s="250"/>
      <c r="AD382" s="250"/>
      <c r="AE382" s="251"/>
      <c r="AF382" s="251"/>
      <c r="AG382" s="251"/>
      <c r="AH382" s="251"/>
      <c r="AI382" s="250"/>
    </row>
    <row r="383" spans="2:35" x14ac:dyDescent="0.35">
      <c r="B383" s="250"/>
      <c r="C383" s="250"/>
      <c r="D383" s="250"/>
      <c r="E383" s="250"/>
      <c r="F383" s="250"/>
      <c r="G383" s="250"/>
      <c r="H383" s="250"/>
      <c r="I383" s="250"/>
      <c r="J383" s="250"/>
      <c r="K383" s="250"/>
      <c r="L383" s="250"/>
      <c r="M383" s="250"/>
      <c r="N383" s="250"/>
      <c r="O383" s="250"/>
      <c r="P383" s="250"/>
      <c r="Q383" s="250"/>
      <c r="R383" s="250"/>
      <c r="S383" s="250"/>
      <c r="T383" s="250"/>
      <c r="U383" s="250"/>
      <c r="V383" s="250"/>
      <c r="W383" s="250"/>
      <c r="X383" s="250"/>
      <c r="Y383" s="250"/>
      <c r="Z383" s="250"/>
      <c r="AA383" s="250"/>
      <c r="AB383" s="250"/>
      <c r="AC383" s="250"/>
      <c r="AD383" s="250"/>
      <c r="AE383" s="251"/>
      <c r="AF383" s="251"/>
      <c r="AG383" s="251"/>
      <c r="AH383" s="251"/>
      <c r="AI383" s="250"/>
    </row>
    <row r="384" spans="2:35" x14ac:dyDescent="0.35">
      <c r="AH384" s="252"/>
    </row>
    <row r="385" spans="34:34" x14ac:dyDescent="0.35">
      <c r="AH385" s="252"/>
    </row>
    <row r="386" spans="34:34" x14ac:dyDescent="0.35">
      <c r="AH386" s="252"/>
    </row>
    <row r="387" spans="34:34" x14ac:dyDescent="0.35">
      <c r="AH387" s="252"/>
    </row>
    <row r="388" spans="34:34" x14ac:dyDescent="0.35">
      <c r="AH388" s="252"/>
    </row>
    <row r="389" spans="34:34" x14ac:dyDescent="0.35">
      <c r="AH389" s="252"/>
    </row>
    <row r="390" spans="34:34" x14ac:dyDescent="0.35">
      <c r="AH390" s="252"/>
    </row>
    <row r="391" spans="34:34" x14ac:dyDescent="0.35">
      <c r="AH391" s="252"/>
    </row>
    <row r="392" spans="34:34" x14ac:dyDescent="0.35">
      <c r="AH392" s="252"/>
    </row>
    <row r="393" spans="34:34" x14ac:dyDescent="0.35">
      <c r="AH393" s="252"/>
    </row>
    <row r="394" spans="34:34" x14ac:dyDescent="0.35">
      <c r="AH394" s="252"/>
    </row>
    <row r="395" spans="34:34" x14ac:dyDescent="0.35">
      <c r="AH395" s="252"/>
    </row>
    <row r="396" spans="34:34" x14ac:dyDescent="0.35">
      <c r="AH396" s="252"/>
    </row>
    <row r="397" spans="34:34" x14ac:dyDescent="0.35">
      <c r="AH397" s="252"/>
    </row>
    <row r="398" spans="34:34" x14ac:dyDescent="0.35">
      <c r="AH398" s="252"/>
    </row>
    <row r="399" spans="34:34" x14ac:dyDescent="0.35">
      <c r="AH399" s="252"/>
    </row>
    <row r="400" spans="34:34" x14ac:dyDescent="0.35">
      <c r="AH400" s="252"/>
    </row>
    <row r="401" spans="34:34" x14ac:dyDescent="0.35">
      <c r="AH401" s="252"/>
    </row>
    <row r="402" spans="34:34" x14ac:dyDescent="0.35">
      <c r="AH402" s="252"/>
    </row>
    <row r="403" spans="34:34" x14ac:dyDescent="0.35">
      <c r="AH403" s="252"/>
    </row>
    <row r="404" spans="34:34" x14ac:dyDescent="0.35">
      <c r="AH404" s="252"/>
    </row>
    <row r="405" spans="34:34" x14ac:dyDescent="0.35">
      <c r="AH405" s="252"/>
    </row>
    <row r="406" spans="34:34" x14ac:dyDescent="0.35">
      <c r="AH406" s="252"/>
    </row>
    <row r="407" spans="34:34" x14ac:dyDescent="0.35">
      <c r="AH407" s="252"/>
    </row>
    <row r="408" spans="34:34" x14ac:dyDescent="0.35">
      <c r="AH408" s="252"/>
    </row>
    <row r="409" spans="34:34" x14ac:dyDescent="0.35">
      <c r="AH409" s="252"/>
    </row>
    <row r="410" spans="34:34" x14ac:dyDescent="0.35">
      <c r="AH410" s="252"/>
    </row>
    <row r="411" spans="34:34" x14ac:dyDescent="0.35">
      <c r="AH411" s="252"/>
    </row>
    <row r="412" spans="34:34" x14ac:dyDescent="0.35">
      <c r="AH412" s="252"/>
    </row>
    <row r="413" spans="34:34" x14ac:dyDescent="0.35">
      <c r="AH413" s="252"/>
    </row>
    <row r="414" spans="34:34" x14ac:dyDescent="0.35">
      <c r="AH414" s="252"/>
    </row>
    <row r="415" spans="34:34" x14ac:dyDescent="0.35">
      <c r="AH415" s="252"/>
    </row>
    <row r="416" spans="34:34" x14ac:dyDescent="0.35">
      <c r="AH416" s="252"/>
    </row>
    <row r="417" spans="34:34" x14ac:dyDescent="0.35">
      <c r="AH417" s="252"/>
    </row>
    <row r="418" spans="34:34" x14ac:dyDescent="0.35">
      <c r="AH418" s="252"/>
    </row>
    <row r="419" spans="34:34" x14ac:dyDescent="0.35">
      <c r="AH419" s="252"/>
    </row>
    <row r="420" spans="34:34" x14ac:dyDescent="0.35">
      <c r="AH420" s="252"/>
    </row>
    <row r="421" spans="34:34" x14ac:dyDescent="0.35">
      <c r="AH421" s="252"/>
    </row>
    <row r="422" spans="34:34" x14ac:dyDescent="0.35">
      <c r="AH422" s="252"/>
    </row>
    <row r="423" spans="34:34" x14ac:dyDescent="0.35">
      <c r="AH423" s="252"/>
    </row>
    <row r="424" spans="34:34" x14ac:dyDescent="0.35">
      <c r="AH424" s="252"/>
    </row>
    <row r="425" spans="34:34" x14ac:dyDescent="0.35">
      <c r="AH425" s="252"/>
    </row>
    <row r="426" spans="34:34" x14ac:dyDescent="0.35">
      <c r="AH426" s="252"/>
    </row>
    <row r="427" spans="34:34" x14ac:dyDescent="0.35">
      <c r="AH427" s="252"/>
    </row>
    <row r="428" spans="34:34" x14ac:dyDescent="0.35">
      <c r="AH428" s="252"/>
    </row>
    <row r="429" spans="34:34" x14ac:dyDescent="0.35">
      <c r="AH429" s="252"/>
    </row>
    <row r="430" spans="34:34" x14ac:dyDescent="0.35">
      <c r="AH430" s="252"/>
    </row>
  </sheetData>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2A4F-4A51-4540-8DD5-951EBA0E5457}">
  <dimension ref="A1:B14"/>
  <sheetViews>
    <sheetView workbookViewId="0">
      <selection activeCell="B15" sqref="B15"/>
    </sheetView>
  </sheetViews>
  <sheetFormatPr defaultRowHeight="14.5" x14ac:dyDescent="0.35"/>
  <cols>
    <col min="1" max="1" width="7.1796875" bestFit="1" customWidth="1"/>
    <col min="2" max="2" width="10.54296875" bestFit="1" customWidth="1"/>
  </cols>
  <sheetData>
    <row r="1" spans="1:2" x14ac:dyDescent="0.35">
      <c r="A1" s="2" t="s">
        <v>2624</v>
      </c>
      <c r="B1" s="2" t="s">
        <v>2625</v>
      </c>
    </row>
    <row r="2" spans="1:2" x14ac:dyDescent="0.35">
      <c r="A2" s="161">
        <v>45709</v>
      </c>
      <c r="B2" s="162">
        <v>0.64</v>
      </c>
    </row>
    <row r="3" spans="1:2" x14ac:dyDescent="0.35">
      <c r="A3" s="161">
        <v>45716</v>
      </c>
      <c r="B3" s="162">
        <v>0.7</v>
      </c>
    </row>
    <row r="4" spans="1:2" x14ac:dyDescent="0.35">
      <c r="A4" s="161">
        <v>45726</v>
      </c>
      <c r="B4" s="162">
        <v>0.75</v>
      </c>
    </row>
    <row r="5" spans="1:2" x14ac:dyDescent="0.35">
      <c r="A5" s="161">
        <v>45734</v>
      </c>
      <c r="B5" s="162">
        <v>0.79</v>
      </c>
    </row>
    <row r="6" spans="1:2" x14ac:dyDescent="0.35">
      <c r="A6" s="161">
        <v>45750</v>
      </c>
      <c r="B6" s="162">
        <v>0.85</v>
      </c>
    </row>
    <row r="7" spans="1:2" x14ac:dyDescent="0.35">
      <c r="A7" s="161">
        <v>45755</v>
      </c>
      <c r="B7" s="162">
        <v>0.87</v>
      </c>
    </row>
    <row r="8" spans="1:2" x14ac:dyDescent="0.35">
      <c r="A8" s="161">
        <v>45764</v>
      </c>
      <c r="B8" s="162">
        <v>0.89</v>
      </c>
    </row>
    <row r="9" spans="1:2" x14ac:dyDescent="0.35">
      <c r="A9" s="161">
        <v>45777</v>
      </c>
      <c r="B9" s="162">
        <v>0.91</v>
      </c>
    </row>
    <row r="10" spans="1:2" x14ac:dyDescent="0.35">
      <c r="A10" s="161">
        <v>45797</v>
      </c>
      <c r="B10" s="162">
        <v>0.93</v>
      </c>
    </row>
    <row r="11" spans="1:2" x14ac:dyDescent="0.35">
      <c r="A11" s="161">
        <v>45839</v>
      </c>
      <c r="B11" s="162">
        <v>0.95</v>
      </c>
    </row>
    <row r="12" spans="1:2" x14ac:dyDescent="0.35">
      <c r="A12" s="161">
        <v>45860</v>
      </c>
      <c r="B12" s="162">
        <v>0.97</v>
      </c>
    </row>
    <row r="13" spans="1:2" x14ac:dyDescent="0.35">
      <c r="A13" s="161">
        <v>45874</v>
      </c>
      <c r="B13" s="162">
        <v>0.97</v>
      </c>
    </row>
    <row r="14" spans="1:2" x14ac:dyDescent="0.35">
      <c r="A14" s="161">
        <v>45889</v>
      </c>
      <c r="B14" s="162">
        <v>0.98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20220-8EC9-41EB-9D60-FB0E97063BF6}">
  <dimension ref="A1:B37"/>
  <sheetViews>
    <sheetView workbookViewId="0">
      <pane xSplit="10" ySplit="19" topLeftCell="K20" activePane="bottomRight" state="frozen"/>
      <selection pane="topRight" activeCell="K1" sqref="K1"/>
      <selection pane="bottomLeft" activeCell="A19" sqref="A19"/>
      <selection pane="bottomRight" activeCell="D13" sqref="D13"/>
    </sheetView>
  </sheetViews>
  <sheetFormatPr defaultRowHeight="14.5" x14ac:dyDescent="0.35"/>
  <cols>
    <col min="1" max="1" width="34.1796875" bestFit="1" customWidth="1"/>
    <col min="2" max="2" width="27" bestFit="1" customWidth="1"/>
  </cols>
  <sheetData>
    <row r="1" spans="1:2" x14ac:dyDescent="0.35">
      <c r="A1" s="57" t="s">
        <v>2626</v>
      </c>
      <c r="B1" s="57" t="s">
        <v>2627</v>
      </c>
    </row>
    <row r="2" spans="1:2" x14ac:dyDescent="0.35">
      <c r="A2" s="34" t="s">
        <v>2628</v>
      </c>
      <c r="B2" s="70">
        <f>'Academic Signing Day'!K4</f>
        <v>0.94285714285714284</v>
      </c>
    </row>
    <row r="3" spans="1:2" x14ac:dyDescent="0.35">
      <c r="A3" s="34" t="s">
        <v>2629</v>
      </c>
      <c r="B3" s="70">
        <f>'Annual Meeting'!K4</f>
        <v>0.9246945392491468</v>
      </c>
    </row>
    <row r="4" spans="1:2" x14ac:dyDescent="0.35">
      <c r="A4" s="34" t="s">
        <v>2630</v>
      </c>
      <c r="B4" s="70">
        <f>'Baggo for Business'!K4</f>
        <v>0.93288590604026844</v>
      </c>
    </row>
    <row r="5" spans="1:2" x14ac:dyDescent="0.35">
      <c r="A5" s="34" t="s">
        <v>2631</v>
      </c>
      <c r="B5" s="70">
        <f>Biketoberfest!K4</f>
        <v>0.89583333333333337</v>
      </c>
    </row>
    <row r="6" spans="1:2" x14ac:dyDescent="0.35">
      <c r="A6" s="34" t="s">
        <v>2632</v>
      </c>
      <c r="B6" s="70">
        <f>'Bowling for Business'!K4</f>
        <v>1</v>
      </c>
    </row>
    <row r="7" spans="1:2" x14ac:dyDescent="0.35">
      <c r="A7" s="34" t="s">
        <v>2633</v>
      </c>
      <c r="B7" s="70">
        <f>'Business Expo &amp; Taste of Conway'!K4</f>
        <v>0.9357738274580697</v>
      </c>
    </row>
    <row r="8" spans="1:2" x14ac:dyDescent="0.35">
      <c r="A8" s="34" t="s">
        <v>2634</v>
      </c>
      <c r="B8" s="70">
        <f>'Catfish &amp; Cold Ones'!K4</f>
        <v>0.98235628912919748</v>
      </c>
    </row>
    <row r="9" spans="1:2" x14ac:dyDescent="0.35">
      <c r="A9" s="34" t="s">
        <v>2635</v>
      </c>
      <c r="B9" s="70">
        <f>'CEO Luncheons'!K4</f>
        <v>0.89471476510067116</v>
      </c>
    </row>
    <row r="10" spans="1:2" x14ac:dyDescent="0.35">
      <c r="A10" s="34" t="s">
        <v>2636</v>
      </c>
      <c r="B10" s="70">
        <f>'Conway Area Healthcare Awards'!K4</f>
        <v>1</v>
      </c>
    </row>
    <row r="11" spans="1:2" x14ac:dyDescent="0.35">
      <c r="A11" s="34" t="s">
        <v>2637</v>
      </c>
      <c r="B11" s="70">
        <f>'Diversity in Business'!K4</f>
        <v>0.85422740524781338</v>
      </c>
    </row>
    <row r="12" spans="1:2" x14ac:dyDescent="0.35">
      <c r="A12" s="34" t="s">
        <v>2638</v>
      </c>
      <c r="B12" s="70">
        <f>'Happy Birthday Conway'!K4</f>
        <v>0.88045977011494247</v>
      </c>
    </row>
    <row r="13" spans="1:2" x14ac:dyDescent="0.35">
      <c r="A13" s="34" t="s">
        <v>2639</v>
      </c>
      <c r="B13" s="70">
        <f>'Launch Conway'!K4</f>
        <v>0.92775665399239549</v>
      </c>
    </row>
    <row r="14" spans="1:2" x14ac:dyDescent="0.35">
      <c r="A14" s="34" t="s">
        <v>2640</v>
      </c>
      <c r="B14" s="70">
        <f>'Off the Clocks'!K4</f>
        <v>0.74574675324675321</v>
      </c>
    </row>
    <row r="15" spans="1:2" x14ac:dyDescent="0.35">
      <c r="A15" s="34" t="s">
        <v>2641</v>
      </c>
      <c r="B15" s="70">
        <f>'Outlook Conway'!K4</f>
        <v>0.82716257668711657</v>
      </c>
    </row>
    <row r="16" spans="1:2" x14ac:dyDescent="0.35">
      <c r="A16" s="34" t="s">
        <v>2143</v>
      </c>
      <c r="B16" s="70">
        <f>'SPARK!'!K4</f>
        <v>0.85748091537132987</v>
      </c>
    </row>
    <row r="17" spans="1:2" x14ac:dyDescent="0.35">
      <c r="A17" s="34" t="s">
        <v>2642</v>
      </c>
      <c r="B17" s="70">
        <f>'Teacher BKF &amp; Education Fair'!K4</f>
        <v>0.87595617118048374</v>
      </c>
    </row>
    <row r="18" spans="1:2" x14ac:dyDescent="0.35">
      <c r="A18" s="34" t="s">
        <v>2643</v>
      </c>
      <c r="B18" s="70">
        <f>'Purple Passion'!K4</f>
        <v>0.8970588235294118</v>
      </c>
    </row>
    <row r="19" spans="1:2" x14ac:dyDescent="0.35">
      <c r="A19" s="34" t="s">
        <v>2644</v>
      </c>
      <c r="B19" s="70">
        <f>'Women in Business'!K4</f>
        <v>0.74462189163567416</v>
      </c>
    </row>
    <row r="20" spans="1:2" x14ac:dyDescent="0.35">
      <c r="A20" s="60"/>
      <c r="B20" s="60"/>
    </row>
    <row r="21" spans="1:2" x14ac:dyDescent="0.35">
      <c r="A21" s="64"/>
      <c r="B21" s="69"/>
    </row>
    <row r="25" spans="1:2" x14ac:dyDescent="0.35">
      <c r="A25" s="57" t="s">
        <v>2626</v>
      </c>
      <c r="B25" s="57" t="s">
        <v>2627</v>
      </c>
    </row>
    <row r="26" spans="1:2" x14ac:dyDescent="0.35">
      <c r="A26" s="34" t="s">
        <v>2645</v>
      </c>
      <c r="B26" s="70">
        <f>'Toad Suck Daze'!K4</f>
        <v>0.9362162162162162</v>
      </c>
    </row>
    <row r="27" spans="1:2" x14ac:dyDescent="0.35">
      <c r="A27" s="34" t="s">
        <v>2646</v>
      </c>
      <c r="B27" s="70">
        <f>Illuminate!K4</f>
        <v>0.78710081402629928</v>
      </c>
    </row>
    <row r="28" spans="1:2" x14ac:dyDescent="0.35">
      <c r="A28" s="64"/>
      <c r="B28" s="69"/>
    </row>
    <row r="32" spans="1:2" x14ac:dyDescent="0.35">
      <c r="A32" s="57" t="s">
        <v>2647</v>
      </c>
      <c r="B32" s="57" t="s">
        <v>2627</v>
      </c>
    </row>
    <row r="33" spans="1:2" x14ac:dyDescent="0.35">
      <c r="A33" s="34" t="s">
        <v>2648</v>
      </c>
      <c r="B33" s="70" t="e">
        <f>Online!L4</f>
        <v>#DIV/0!</v>
      </c>
    </row>
    <row r="34" spans="1:2" x14ac:dyDescent="0.35">
      <c r="A34" s="34" t="s">
        <v>2649</v>
      </c>
      <c r="B34" s="70">
        <f>'Pulse of Conway'!L4</f>
        <v>0.92471367432035467</v>
      </c>
    </row>
    <row r="35" spans="1:2" x14ac:dyDescent="0.35">
      <c r="A35" s="34" t="s">
        <v>2650</v>
      </c>
      <c r="B35" s="70">
        <f>'Conway+'!K4</f>
        <v>0.83037611822270552</v>
      </c>
    </row>
    <row r="36" spans="1:2" x14ac:dyDescent="0.35">
      <c r="A36" s="34" t="s">
        <v>2651</v>
      </c>
      <c r="B36" s="70">
        <f>'Welcome to Conway Box'!K4</f>
        <v>0.84302325581395354</v>
      </c>
    </row>
    <row r="37" spans="1:2" x14ac:dyDescent="0.35">
      <c r="A37" s="64"/>
      <c r="B37" s="69"/>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8312E-4A1F-47D7-9D79-7CF0802C1001}">
  <dimension ref="B1:I49"/>
  <sheetViews>
    <sheetView workbookViewId="0">
      <pane xSplit="7" ySplit="18" topLeftCell="H25" activePane="bottomRight" state="frozen"/>
      <selection pane="topRight" activeCell="G1" sqref="G1"/>
      <selection pane="bottomLeft" activeCell="A19" sqref="A19"/>
      <selection pane="bottomRight" activeCell="F33" sqref="F33"/>
    </sheetView>
  </sheetViews>
  <sheetFormatPr defaultColWidth="9.1796875" defaultRowHeight="14.5" x14ac:dyDescent="0.35"/>
  <cols>
    <col min="1" max="1" width="9.1796875" style="5"/>
    <col min="2" max="2" width="37.1796875" style="5" bestFit="1" customWidth="1"/>
    <col min="3" max="3" width="12.81640625" style="5" bestFit="1" customWidth="1"/>
    <col min="4" max="4" width="30.1796875" style="5" customWidth="1"/>
    <col min="5" max="5" width="5.1796875" style="5" customWidth="1"/>
    <col min="6" max="6" width="38.7265625" style="5" bestFit="1" customWidth="1"/>
    <col min="7" max="16384" width="9.1796875" style="5"/>
  </cols>
  <sheetData>
    <row r="1" spans="2:2" x14ac:dyDescent="0.35">
      <c r="B1" s="6" t="s">
        <v>2652</v>
      </c>
    </row>
    <row r="2" spans="2:2" x14ac:dyDescent="0.35">
      <c r="B2" s="6" t="s">
        <v>2653</v>
      </c>
    </row>
    <row r="19" spans="2:9" x14ac:dyDescent="0.35">
      <c r="B19" s="12"/>
      <c r="C19" s="12" t="s">
        <v>2654</v>
      </c>
      <c r="D19" s="12" t="s">
        <v>2655</v>
      </c>
    </row>
    <row r="20" spans="2:9" x14ac:dyDescent="0.35">
      <c r="B20" s="9" t="s">
        <v>2656</v>
      </c>
      <c r="C20" s="10">
        <v>921500</v>
      </c>
      <c r="D20" s="10">
        <f>'Overall Sales Report'!O23</f>
        <v>1244255</v>
      </c>
    </row>
    <row r="21" spans="2:9" x14ac:dyDescent="0.35">
      <c r="B21" s="9" t="s">
        <v>2657</v>
      </c>
      <c r="C21" s="10">
        <v>460000</v>
      </c>
      <c r="D21" s="10">
        <f>'Overall Sales Report'!O30</f>
        <v>542350</v>
      </c>
    </row>
    <row r="22" spans="2:9" x14ac:dyDescent="0.35">
      <c r="B22" s="9" t="s">
        <v>2647</v>
      </c>
      <c r="C22" s="10">
        <v>360000</v>
      </c>
      <c r="D22" s="10">
        <f>'Overall Sales Report'!O40</f>
        <v>308751</v>
      </c>
    </row>
    <row r="23" spans="2:9" x14ac:dyDescent="0.35">
      <c r="B23" s="9" t="s">
        <v>1524</v>
      </c>
      <c r="C23" s="10">
        <v>46000</v>
      </c>
      <c r="D23" s="10">
        <f>CALI!B2</f>
        <v>50895</v>
      </c>
    </row>
    <row r="24" spans="2:9" x14ac:dyDescent="0.35">
      <c r="B24" s="9" t="s">
        <v>1564</v>
      </c>
      <c r="C24" s="10">
        <v>81000</v>
      </c>
      <c r="D24" s="10">
        <f>'Government Affairs'!B2</f>
        <v>90000</v>
      </c>
    </row>
    <row r="25" spans="2:9" x14ac:dyDescent="0.35">
      <c r="B25" s="185" t="s">
        <v>99</v>
      </c>
      <c r="C25" s="186">
        <f>SUM(C20:C24)</f>
        <v>1868500</v>
      </c>
      <c r="D25" s="186">
        <f>SUM(D20:D23)</f>
        <v>2146251</v>
      </c>
    </row>
    <row r="27" spans="2:9" x14ac:dyDescent="0.35">
      <c r="B27" s="12" t="s">
        <v>2656</v>
      </c>
      <c r="C27" s="12" t="s">
        <v>2658</v>
      </c>
      <c r="F27" s="6" t="s">
        <v>2659</v>
      </c>
      <c r="G27" s="6">
        <v>18</v>
      </c>
      <c r="H27" s="6"/>
      <c r="I27" s="6"/>
    </row>
    <row r="28" spans="2:9" x14ac:dyDescent="0.35">
      <c r="B28" s="5" t="s">
        <v>2628</v>
      </c>
      <c r="C28" s="21">
        <f>'Academic Signing Day'!B2</f>
        <v>17500</v>
      </c>
      <c r="F28" s="6"/>
      <c r="G28" s="6"/>
      <c r="H28" s="6"/>
      <c r="I28" s="6"/>
    </row>
    <row r="29" spans="2:9" x14ac:dyDescent="0.35">
      <c r="B29" s="5" t="s">
        <v>2629</v>
      </c>
      <c r="C29" s="21">
        <f>'Annual Meeting'!B2</f>
        <v>293000</v>
      </c>
      <c r="F29" s="6" t="s">
        <v>2660</v>
      </c>
      <c r="G29" s="6">
        <v>328</v>
      </c>
      <c r="H29" s="6"/>
      <c r="I29" s="6"/>
    </row>
    <row r="30" spans="2:9" x14ac:dyDescent="0.35">
      <c r="B30" s="5" t="s">
        <v>2630</v>
      </c>
      <c r="C30" s="21">
        <f>'Baggo for Business'!B2</f>
        <v>29800</v>
      </c>
      <c r="F30" s="6"/>
      <c r="G30" s="6"/>
      <c r="H30" s="6"/>
      <c r="I30" s="6"/>
    </row>
    <row r="31" spans="2:9" ht="29" x14ac:dyDescent="0.35">
      <c r="B31" s="5" t="s">
        <v>2661</v>
      </c>
      <c r="C31" s="21">
        <f>Biketoberfest!B2</f>
        <v>24000</v>
      </c>
      <c r="F31" s="6" t="s">
        <v>2662</v>
      </c>
      <c r="G31" s="6"/>
      <c r="H31" s="6"/>
      <c r="I31" s="6"/>
    </row>
    <row r="32" spans="2:9" x14ac:dyDescent="0.35">
      <c r="B32" s="5" t="s">
        <v>2632</v>
      </c>
      <c r="C32" s="21">
        <f>'Bowling for Business'!B2</f>
        <v>27650</v>
      </c>
      <c r="H32" s="6"/>
      <c r="I32" s="6"/>
    </row>
    <row r="33" spans="2:7" x14ac:dyDescent="0.35">
      <c r="B33" s="5" t="s">
        <v>2633</v>
      </c>
      <c r="C33" s="21">
        <f>'Business Expo &amp; Taste of Conway'!B2</f>
        <v>99570</v>
      </c>
      <c r="F33" s="6"/>
      <c r="G33" s="6"/>
    </row>
    <row r="34" spans="2:7" x14ac:dyDescent="0.35">
      <c r="B34" s="5" t="s">
        <v>2634</v>
      </c>
      <c r="C34" s="21">
        <f>'Catfish &amp; Cold Ones'!B2</f>
        <v>43925</v>
      </c>
    </row>
    <row r="35" spans="2:7" x14ac:dyDescent="0.35">
      <c r="B35" s="5" t="s">
        <v>2635</v>
      </c>
      <c r="C35" s="21">
        <f>'CEO Luncheons'!B2</f>
        <v>23840</v>
      </c>
    </row>
    <row r="36" spans="2:7" x14ac:dyDescent="0.35">
      <c r="B36" s="5" t="s">
        <v>2663</v>
      </c>
      <c r="C36" s="21">
        <f>'Conway Area Healthcare Awards'!B2</f>
        <v>43900</v>
      </c>
    </row>
    <row r="37" spans="2:7" x14ac:dyDescent="0.35">
      <c r="B37" s="5" t="s">
        <v>2637</v>
      </c>
      <c r="C37" s="21">
        <f>'Diversity in Business'!B2</f>
        <v>17150</v>
      </c>
    </row>
    <row r="38" spans="2:7" x14ac:dyDescent="0.35">
      <c r="B38" s="5" t="s">
        <v>2638</v>
      </c>
      <c r="C38" s="21">
        <f>'Happy Birthday Conway'!B2</f>
        <v>108750</v>
      </c>
    </row>
    <row r="39" spans="2:7" x14ac:dyDescent="0.35">
      <c r="B39" s="5" t="s">
        <v>2639</v>
      </c>
      <c r="C39" s="21">
        <f>'Launch Conway'!B2</f>
        <v>65750</v>
      </c>
    </row>
    <row r="40" spans="2:7" x14ac:dyDescent="0.35">
      <c r="B40" s="5" t="s">
        <v>2664</v>
      </c>
      <c r="C40" s="21">
        <f>'Off the Clocks'!H2</f>
        <v>14750</v>
      </c>
    </row>
    <row r="41" spans="2:7" x14ac:dyDescent="0.35">
      <c r="B41" s="5" t="s">
        <v>1734</v>
      </c>
      <c r="C41" s="21">
        <f>'Off the Clocks'!H3</f>
        <v>27750</v>
      </c>
    </row>
    <row r="42" spans="2:7" x14ac:dyDescent="0.35">
      <c r="B42" s="5" t="s">
        <v>2665</v>
      </c>
      <c r="C42" s="21">
        <f>'Off the Clocks'!H4</f>
        <v>18750</v>
      </c>
    </row>
    <row r="43" spans="2:7" x14ac:dyDescent="0.35">
      <c r="B43" s="5" t="s">
        <v>2666</v>
      </c>
      <c r="C43" s="21">
        <f>'Off the Clocks'!H5</f>
        <v>15750</v>
      </c>
    </row>
    <row r="44" spans="2:7" x14ac:dyDescent="0.35">
      <c r="B44" s="5" t="s">
        <v>2641</v>
      </c>
      <c r="C44" s="21">
        <f>'Outlook Conway'!B2</f>
        <v>81500</v>
      </c>
    </row>
    <row r="45" spans="2:7" x14ac:dyDescent="0.35">
      <c r="B45" s="5" t="s">
        <v>2643</v>
      </c>
      <c r="C45" s="21">
        <f>'Purple Passion'!B2</f>
        <v>34000</v>
      </c>
    </row>
    <row r="46" spans="2:7" x14ac:dyDescent="0.35">
      <c r="B46" s="5" t="s">
        <v>2143</v>
      </c>
      <c r="C46" s="21">
        <f>'SPARK!'!B2</f>
        <v>115800</v>
      </c>
    </row>
    <row r="47" spans="2:7" x14ac:dyDescent="0.35">
      <c r="B47" s="5" t="s">
        <v>2642</v>
      </c>
      <c r="C47" s="21">
        <f>'Teacher BKF &amp; Education Fair'!B2</f>
        <v>72555</v>
      </c>
    </row>
    <row r="48" spans="2:7" x14ac:dyDescent="0.35">
      <c r="B48" s="5" t="s">
        <v>2644</v>
      </c>
      <c r="C48" s="21">
        <f>'Women in Business'!B2</f>
        <v>68565</v>
      </c>
    </row>
    <row r="49" spans="2:3" x14ac:dyDescent="0.35">
      <c r="B49" s="12" t="s">
        <v>99</v>
      </c>
      <c r="C49" s="132">
        <f>SUM(C28:C48)</f>
        <v>1244255</v>
      </c>
    </row>
  </sheetData>
  <pageMargins left="0.45" right="0.45" top="0.5" bottom="0" header="0.3" footer="0.3"/>
  <pageSetup scale="70" orientation="landscape" r:id="rId1"/>
  <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BE2A-605E-416B-9E44-13F269498EB6}">
  <dimension ref="A1:O45"/>
  <sheetViews>
    <sheetView workbookViewId="0">
      <pane ySplit="3" topLeftCell="A19" activePane="bottomLeft" state="frozen"/>
      <selection pane="bottomLeft" activeCell="R33" sqref="R33"/>
    </sheetView>
  </sheetViews>
  <sheetFormatPr defaultRowHeight="14.5" x14ac:dyDescent="0.35"/>
  <cols>
    <col min="1" max="1" width="35.81640625" bestFit="1" customWidth="1"/>
    <col min="2" max="13" width="13.81640625" bestFit="1" customWidth="1"/>
    <col min="14" max="14" width="12.81640625" bestFit="1" customWidth="1"/>
    <col min="15" max="15" width="14.453125" bestFit="1" customWidth="1"/>
  </cols>
  <sheetData>
    <row r="1" spans="1:15" x14ac:dyDescent="0.35">
      <c r="A1" s="281" t="s">
        <v>2667</v>
      </c>
      <c r="B1" s="281"/>
      <c r="C1" s="281"/>
      <c r="D1" s="281"/>
      <c r="E1" s="281"/>
      <c r="F1" s="281"/>
      <c r="G1" s="281"/>
      <c r="H1" s="282"/>
      <c r="I1" s="282"/>
      <c r="J1" s="282"/>
      <c r="K1" s="282"/>
      <c r="L1" s="282"/>
      <c r="M1" s="282"/>
      <c r="N1" s="282"/>
      <c r="O1" s="282"/>
    </row>
    <row r="2" spans="1:15" x14ac:dyDescent="0.35">
      <c r="A2" s="283"/>
      <c r="B2" s="283"/>
      <c r="C2" s="283"/>
      <c r="D2" s="283"/>
      <c r="E2" s="283"/>
      <c r="F2" s="283"/>
      <c r="G2" s="283"/>
      <c r="H2" s="282"/>
      <c r="I2" s="282"/>
      <c r="J2" s="282"/>
      <c r="K2" s="282"/>
      <c r="L2" s="282"/>
      <c r="M2" s="282"/>
      <c r="N2" s="282"/>
      <c r="O2" s="282"/>
    </row>
    <row r="3" spans="1:15" x14ac:dyDescent="0.35">
      <c r="A3" s="57" t="s">
        <v>2626</v>
      </c>
      <c r="B3" s="57" t="s">
        <v>2668</v>
      </c>
      <c r="C3" s="57" t="s">
        <v>2669</v>
      </c>
      <c r="D3" s="57" t="s">
        <v>2670</v>
      </c>
      <c r="E3" s="57" t="s">
        <v>2671</v>
      </c>
      <c r="F3" s="57" t="s">
        <v>2672</v>
      </c>
      <c r="G3" s="57" t="s">
        <v>2673</v>
      </c>
      <c r="H3" s="57" t="s">
        <v>2674</v>
      </c>
      <c r="I3" s="57" t="s">
        <v>2675</v>
      </c>
      <c r="J3" s="57" t="s">
        <v>2676</v>
      </c>
      <c r="K3" s="57" t="s">
        <v>2677</v>
      </c>
      <c r="L3" s="57" t="s">
        <v>2678</v>
      </c>
      <c r="M3" s="57" t="s">
        <v>2679</v>
      </c>
      <c r="N3" s="57" t="s">
        <v>2654</v>
      </c>
      <c r="O3" s="57" t="s">
        <v>2680</v>
      </c>
    </row>
    <row r="4" spans="1:15" x14ac:dyDescent="0.35">
      <c r="A4" s="34" t="s">
        <v>2628</v>
      </c>
      <c r="B4" s="35">
        <v>9000</v>
      </c>
      <c r="C4" s="35">
        <v>8500</v>
      </c>
      <c r="D4" s="35">
        <v>11000</v>
      </c>
      <c r="E4" s="35">
        <v>13000</v>
      </c>
      <c r="F4" s="35">
        <v>12000</v>
      </c>
      <c r="G4" s="35">
        <v>8500</v>
      </c>
      <c r="H4" s="58">
        <v>10000</v>
      </c>
      <c r="I4" s="35">
        <v>16000</v>
      </c>
      <c r="J4" s="35">
        <v>12000</v>
      </c>
      <c r="K4" s="35">
        <v>11500</v>
      </c>
      <c r="L4" s="35">
        <v>10500</v>
      </c>
      <c r="M4" s="35">
        <f>'[1]Chamber Board Report'!B32</f>
        <v>15000</v>
      </c>
      <c r="N4" s="35">
        <v>10000</v>
      </c>
      <c r="O4" s="35">
        <f>'Academic Signing Day'!B2</f>
        <v>17500</v>
      </c>
    </row>
    <row r="5" spans="1:15" x14ac:dyDescent="0.35">
      <c r="A5" s="34" t="s">
        <v>2629</v>
      </c>
      <c r="B5" s="35">
        <v>131500</v>
      </c>
      <c r="C5" s="35">
        <v>147575</v>
      </c>
      <c r="D5" s="35">
        <v>148975</v>
      </c>
      <c r="E5" s="35">
        <v>158925</v>
      </c>
      <c r="F5" s="35">
        <v>169450</v>
      </c>
      <c r="G5" s="35">
        <v>192775</v>
      </c>
      <c r="H5" s="58">
        <v>208450</v>
      </c>
      <c r="I5" s="35">
        <v>178250</v>
      </c>
      <c r="J5" s="35">
        <v>210425</v>
      </c>
      <c r="K5" s="35">
        <v>260050</v>
      </c>
      <c r="L5" s="35">
        <v>267300</v>
      </c>
      <c r="M5" s="35">
        <f>'[1]Chamber Board Report'!B33</f>
        <v>305120</v>
      </c>
      <c r="N5" s="35">
        <v>255000</v>
      </c>
      <c r="O5" s="35">
        <f>'Annual Meeting'!B2</f>
        <v>293000</v>
      </c>
    </row>
    <row r="6" spans="1:15" x14ac:dyDescent="0.35">
      <c r="A6" s="34" t="s">
        <v>2630</v>
      </c>
      <c r="B6" s="60"/>
      <c r="C6" s="60"/>
      <c r="D6" s="60"/>
      <c r="E6" s="60"/>
      <c r="F6" s="60"/>
      <c r="G6" s="60"/>
      <c r="H6" s="61"/>
      <c r="I6" s="35">
        <v>16400</v>
      </c>
      <c r="J6" s="35">
        <v>19800</v>
      </c>
      <c r="K6" s="35">
        <v>25550</v>
      </c>
      <c r="L6" s="35">
        <v>26800</v>
      </c>
      <c r="M6" s="35">
        <f>'[1]Chamber Board Report'!B34</f>
        <v>29300</v>
      </c>
      <c r="N6" s="35">
        <v>20000</v>
      </c>
      <c r="O6" s="35">
        <f>'Baggo for Business'!B2</f>
        <v>29800</v>
      </c>
    </row>
    <row r="7" spans="1:15" x14ac:dyDescent="0.35">
      <c r="A7" s="34" t="s">
        <v>2631</v>
      </c>
      <c r="B7" s="60"/>
      <c r="C7" s="60"/>
      <c r="D7" s="60"/>
      <c r="E7" s="60"/>
      <c r="F7" s="60"/>
      <c r="G7" s="60"/>
      <c r="H7" s="61"/>
      <c r="I7" s="59">
        <v>0</v>
      </c>
      <c r="J7" s="59"/>
      <c r="K7" s="35">
        <v>36500</v>
      </c>
      <c r="L7" s="35">
        <v>37750</v>
      </c>
      <c r="M7" s="35">
        <f>'[1]Chamber Board Report'!B35</f>
        <v>32250</v>
      </c>
      <c r="N7" s="35">
        <v>30000</v>
      </c>
      <c r="O7" s="35">
        <f>Biketoberfest!B2</f>
        <v>24000</v>
      </c>
    </row>
    <row r="8" spans="1:15" x14ac:dyDescent="0.35">
      <c r="A8" s="34" t="s">
        <v>2632</v>
      </c>
      <c r="B8" s="35">
        <v>12815</v>
      </c>
      <c r="C8" s="35">
        <v>14050</v>
      </c>
      <c r="D8" s="35">
        <v>16700</v>
      </c>
      <c r="E8" s="35">
        <v>17500</v>
      </c>
      <c r="F8" s="35">
        <v>18400</v>
      </c>
      <c r="G8" s="35">
        <v>19400</v>
      </c>
      <c r="H8" s="58">
        <v>19400</v>
      </c>
      <c r="I8" s="59">
        <v>0</v>
      </c>
      <c r="J8" s="35">
        <v>16300</v>
      </c>
      <c r="K8" s="35">
        <v>18850</v>
      </c>
      <c r="L8" s="35">
        <v>21700</v>
      </c>
      <c r="M8" s="35">
        <f>'[1]Chamber Board Report'!B36</f>
        <v>30250</v>
      </c>
      <c r="N8" s="35">
        <v>20000</v>
      </c>
      <c r="O8" s="35">
        <f>'Bowling for Business'!B2</f>
        <v>27650</v>
      </c>
    </row>
    <row r="9" spans="1:15" x14ac:dyDescent="0.35">
      <c r="A9" s="34" t="s">
        <v>2633</v>
      </c>
      <c r="B9" s="35">
        <v>62014</v>
      </c>
      <c r="C9" s="35">
        <v>53660</v>
      </c>
      <c r="D9" s="35">
        <v>65715</v>
      </c>
      <c r="E9" s="35">
        <v>75820</v>
      </c>
      <c r="F9" s="35">
        <v>66525</v>
      </c>
      <c r="G9" s="35">
        <v>86502</v>
      </c>
      <c r="H9" s="58">
        <v>88740</v>
      </c>
      <c r="I9" s="59"/>
      <c r="J9" s="35">
        <v>76990</v>
      </c>
      <c r="K9" s="35">
        <v>94250</v>
      </c>
      <c r="L9" s="35">
        <v>103630</v>
      </c>
      <c r="M9" s="35">
        <f>'[1]Chamber Board Report'!B37</f>
        <v>117965</v>
      </c>
      <c r="N9" s="35">
        <v>85000</v>
      </c>
      <c r="O9" s="35">
        <f>'Business Expo &amp; Taste of Conway'!B2</f>
        <v>99570</v>
      </c>
    </row>
    <row r="10" spans="1:15" x14ac:dyDescent="0.35">
      <c r="A10" s="34" t="s">
        <v>2634</v>
      </c>
      <c r="B10" s="59"/>
      <c r="C10" s="59"/>
      <c r="D10" s="59"/>
      <c r="E10" s="59"/>
      <c r="F10" s="59"/>
      <c r="G10" s="59"/>
      <c r="H10" s="62"/>
      <c r="I10" s="59"/>
      <c r="J10" s="59"/>
      <c r="K10" s="59"/>
      <c r="L10" s="35">
        <v>39760</v>
      </c>
      <c r="M10" s="35">
        <f>'[1]Chamber Board Report'!B38</f>
        <v>39573</v>
      </c>
      <c r="N10" s="35">
        <v>25000</v>
      </c>
      <c r="O10" s="35">
        <f>'Catfish &amp; Cold Ones'!B2</f>
        <v>43925</v>
      </c>
    </row>
    <row r="11" spans="1:15" x14ac:dyDescent="0.35">
      <c r="A11" s="34" t="s">
        <v>2635</v>
      </c>
      <c r="B11" s="35">
        <v>925</v>
      </c>
      <c r="C11" s="35">
        <v>9500</v>
      </c>
      <c r="D11" s="35">
        <v>14550</v>
      </c>
      <c r="E11" s="35">
        <v>22616</v>
      </c>
      <c r="F11" s="35">
        <v>15866</v>
      </c>
      <c r="G11" s="35">
        <v>17825</v>
      </c>
      <c r="H11" s="58">
        <v>16075</v>
      </c>
      <c r="I11" s="35">
        <v>12825</v>
      </c>
      <c r="J11" s="35">
        <v>12500</v>
      </c>
      <c r="K11" s="35">
        <v>17950</v>
      </c>
      <c r="L11" s="35">
        <v>17075</v>
      </c>
      <c r="M11" s="35">
        <f>'[1]Chamber Board Report'!B39</f>
        <v>20550</v>
      </c>
      <c r="N11" s="35">
        <v>18000</v>
      </c>
      <c r="O11" s="35">
        <f>'CEO Luncheons'!B2</f>
        <v>23840</v>
      </c>
    </row>
    <row r="12" spans="1:15" x14ac:dyDescent="0.35">
      <c r="A12" s="34" t="s">
        <v>2636</v>
      </c>
      <c r="B12" s="59"/>
      <c r="C12" s="59"/>
      <c r="D12" s="59"/>
      <c r="E12" s="59"/>
      <c r="F12" s="35">
        <v>25700</v>
      </c>
      <c r="G12" s="35">
        <v>35010</v>
      </c>
      <c r="H12" s="58">
        <v>35025</v>
      </c>
      <c r="I12" s="35">
        <v>22750</v>
      </c>
      <c r="J12" s="35">
        <v>34000</v>
      </c>
      <c r="K12" s="35">
        <v>24825</v>
      </c>
      <c r="L12" s="35">
        <v>36700</v>
      </c>
      <c r="M12" s="35">
        <f>'[1]Chamber Board Report'!B40</f>
        <v>29850</v>
      </c>
      <c r="N12" s="35">
        <v>27500</v>
      </c>
      <c r="O12" s="35">
        <f>'Conway Area Healthcare Awards'!B2</f>
        <v>43900</v>
      </c>
    </row>
    <row r="13" spans="1:15" x14ac:dyDescent="0.35">
      <c r="A13" s="34" t="s">
        <v>2637</v>
      </c>
      <c r="B13" s="35">
        <v>16644</v>
      </c>
      <c r="C13" s="35">
        <v>13809</v>
      </c>
      <c r="D13" s="35">
        <v>11835</v>
      </c>
      <c r="E13" s="59"/>
      <c r="F13" s="35">
        <v>6750</v>
      </c>
      <c r="G13" s="35">
        <v>9850</v>
      </c>
      <c r="H13" s="58">
        <v>10100</v>
      </c>
      <c r="I13" s="35">
        <v>19500</v>
      </c>
      <c r="J13" s="35">
        <v>21350</v>
      </c>
      <c r="K13" s="35">
        <v>25050</v>
      </c>
      <c r="L13" s="35">
        <v>22100</v>
      </c>
      <c r="M13" s="35">
        <f>'[1]Chamber Board Report'!B41</f>
        <v>28375</v>
      </c>
      <c r="N13" s="35">
        <v>18000</v>
      </c>
      <c r="O13" s="35">
        <f>'Diversity in Business'!B2</f>
        <v>17150</v>
      </c>
    </row>
    <row r="14" spans="1:15" x14ac:dyDescent="0.35">
      <c r="A14" s="34" t="s">
        <v>2638</v>
      </c>
      <c r="B14" s="59"/>
      <c r="C14" s="59"/>
      <c r="D14" s="59"/>
      <c r="E14" s="59"/>
      <c r="F14" s="59"/>
      <c r="G14" s="59"/>
      <c r="H14" s="62"/>
      <c r="I14" s="59"/>
      <c r="J14" s="59"/>
      <c r="K14" s="59"/>
      <c r="L14" s="59"/>
      <c r="M14" s="59"/>
      <c r="N14" s="35">
        <v>0</v>
      </c>
      <c r="O14" s="35">
        <f>'Happy Birthday Conway'!B2</f>
        <v>108750</v>
      </c>
    </row>
    <row r="15" spans="1:15" x14ac:dyDescent="0.35">
      <c r="A15" s="34" t="s">
        <v>2639</v>
      </c>
      <c r="B15" s="59"/>
      <c r="C15" s="59"/>
      <c r="D15" s="59"/>
      <c r="E15" s="59"/>
      <c r="F15" s="59"/>
      <c r="G15" s="59"/>
      <c r="H15" s="62"/>
      <c r="I15" s="59"/>
      <c r="J15" s="59"/>
      <c r="K15" s="59"/>
      <c r="L15" s="59"/>
      <c r="M15" s="35">
        <f>'[1]Chamber Board Report'!B42</f>
        <v>66500</v>
      </c>
      <c r="N15" s="35">
        <v>75000</v>
      </c>
      <c r="O15" s="35">
        <f>'Launch Conway'!B2</f>
        <v>65750</v>
      </c>
    </row>
    <row r="16" spans="1:15" x14ac:dyDescent="0.35">
      <c r="A16" s="34" t="s">
        <v>2640</v>
      </c>
      <c r="B16" s="59"/>
      <c r="C16" s="59"/>
      <c r="D16" s="59"/>
      <c r="E16" s="35">
        <v>58205</v>
      </c>
      <c r="F16" s="35">
        <v>76700</v>
      </c>
      <c r="G16" s="35">
        <v>54050</v>
      </c>
      <c r="H16" s="58">
        <v>58050</v>
      </c>
      <c r="I16" s="35">
        <v>96375</v>
      </c>
      <c r="J16" s="35">
        <v>116300</v>
      </c>
      <c r="K16" s="35">
        <v>82805</v>
      </c>
      <c r="L16" s="35">
        <v>53125</v>
      </c>
      <c r="M16" s="35">
        <f>'[1]Off the Clock'!B2</f>
        <v>69500</v>
      </c>
      <c r="N16" s="35">
        <v>60000</v>
      </c>
      <c r="O16" s="35">
        <f>'Off the Clocks'!B2</f>
        <v>77000</v>
      </c>
    </row>
    <row r="17" spans="1:15" x14ac:dyDescent="0.35">
      <c r="A17" s="34" t="s">
        <v>2641</v>
      </c>
      <c r="B17" s="59"/>
      <c r="C17" s="59"/>
      <c r="D17" s="59"/>
      <c r="E17" s="35">
        <v>58750</v>
      </c>
      <c r="F17" s="35">
        <v>60875</v>
      </c>
      <c r="G17" s="35">
        <v>62250</v>
      </c>
      <c r="H17" s="58">
        <v>58125</v>
      </c>
      <c r="I17" s="35">
        <v>56375</v>
      </c>
      <c r="J17" s="35">
        <v>62500</v>
      </c>
      <c r="K17" s="35">
        <v>65875</v>
      </c>
      <c r="L17" s="35">
        <v>68400</v>
      </c>
      <c r="M17" s="35">
        <f>'[1]Chamber Board Report'!B47</f>
        <v>62925</v>
      </c>
      <c r="N17" s="35">
        <v>57000</v>
      </c>
      <c r="O17" s="35">
        <f>'Outlook Conway'!B2</f>
        <v>81500</v>
      </c>
    </row>
    <row r="18" spans="1:15" x14ac:dyDescent="0.35">
      <c r="A18" s="34" t="s">
        <v>2143</v>
      </c>
      <c r="B18" s="35">
        <v>16670</v>
      </c>
      <c r="C18" s="35">
        <v>16285</v>
      </c>
      <c r="D18" s="35">
        <v>13780</v>
      </c>
      <c r="E18" s="35">
        <v>17184</v>
      </c>
      <c r="F18" s="35">
        <v>12320</v>
      </c>
      <c r="G18" s="35">
        <v>15540</v>
      </c>
      <c r="H18" s="58">
        <v>18370</v>
      </c>
      <c r="I18" s="59"/>
      <c r="J18" s="35">
        <v>4975</v>
      </c>
      <c r="K18" s="35">
        <v>5375</v>
      </c>
      <c r="L18" s="35">
        <v>109000</v>
      </c>
      <c r="M18" s="35">
        <f>'[1]Chamber Board Report'!B48</f>
        <v>125500</v>
      </c>
      <c r="N18" s="35">
        <v>105000</v>
      </c>
      <c r="O18" s="35">
        <f>'SPARK!'!B2</f>
        <v>115800</v>
      </c>
    </row>
    <row r="19" spans="1:15" x14ac:dyDescent="0.35">
      <c r="A19" s="34" t="s">
        <v>2642</v>
      </c>
      <c r="B19" s="35">
        <v>34245</v>
      </c>
      <c r="C19" s="35">
        <v>34500</v>
      </c>
      <c r="D19" s="35">
        <v>34700</v>
      </c>
      <c r="E19" s="35">
        <v>39650</v>
      </c>
      <c r="F19" s="35">
        <v>40450</v>
      </c>
      <c r="G19" s="35">
        <v>40813</v>
      </c>
      <c r="H19" s="58">
        <v>40200</v>
      </c>
      <c r="I19" s="35">
        <v>25360</v>
      </c>
      <c r="J19" s="35">
        <v>33400</v>
      </c>
      <c r="K19" s="35">
        <v>46900</v>
      </c>
      <c r="L19" s="35">
        <v>51500</v>
      </c>
      <c r="M19" s="35">
        <f>'[1]Chamber Board Report'!B49</f>
        <v>56100</v>
      </c>
      <c r="N19" s="35">
        <v>40000</v>
      </c>
      <c r="O19" s="35">
        <f>'Teacher BKF &amp; Education Fair'!B2</f>
        <v>72555</v>
      </c>
    </row>
    <row r="20" spans="1:15" x14ac:dyDescent="0.35">
      <c r="A20" s="34" t="s">
        <v>2643</v>
      </c>
      <c r="B20" s="63"/>
      <c r="C20" s="63"/>
      <c r="D20" s="63"/>
      <c r="E20" s="63"/>
      <c r="F20" s="63"/>
      <c r="G20" s="63"/>
      <c r="H20" s="63"/>
      <c r="I20" s="59"/>
      <c r="J20" s="59"/>
      <c r="K20" s="35">
        <v>25750</v>
      </c>
      <c r="L20" s="35">
        <v>33750</v>
      </c>
      <c r="M20" s="35">
        <f>'[1]Chamber Board Report'!B50</f>
        <v>26750</v>
      </c>
      <c r="N20" s="35">
        <v>26000</v>
      </c>
      <c r="O20" s="35">
        <f>'Purple Passion'!B2</f>
        <v>34000</v>
      </c>
    </row>
    <row r="21" spans="1:15" x14ac:dyDescent="0.35">
      <c r="A21" s="34" t="s">
        <v>2644</v>
      </c>
      <c r="B21" s="36">
        <v>26620</v>
      </c>
      <c r="C21" s="36">
        <v>37950</v>
      </c>
      <c r="D21" s="36">
        <v>41700</v>
      </c>
      <c r="E21" s="36">
        <v>44405</v>
      </c>
      <c r="F21" s="36">
        <v>50100</v>
      </c>
      <c r="G21" s="36">
        <v>48928</v>
      </c>
      <c r="H21" s="36">
        <v>58575</v>
      </c>
      <c r="I21" s="35">
        <v>35100</v>
      </c>
      <c r="J21" s="35">
        <v>63325</v>
      </c>
      <c r="K21" s="35">
        <v>62600</v>
      </c>
      <c r="L21" s="35">
        <v>57380</v>
      </c>
      <c r="M21" s="35">
        <f>'[1]Chamber Board Report'!B51</f>
        <v>68835</v>
      </c>
      <c r="N21" s="35">
        <v>50000</v>
      </c>
      <c r="O21" s="35">
        <f>'Women in Business'!B2</f>
        <v>68565</v>
      </c>
    </row>
    <row r="22" spans="1:15" x14ac:dyDescent="0.35">
      <c r="A22" s="60"/>
      <c r="B22" s="60"/>
      <c r="C22" s="60"/>
      <c r="D22" s="60"/>
      <c r="E22" s="60"/>
      <c r="F22" s="60"/>
      <c r="G22" s="60"/>
      <c r="H22" s="61"/>
      <c r="I22" s="59"/>
      <c r="J22" s="59"/>
      <c r="K22" s="59"/>
      <c r="L22" s="59"/>
      <c r="M22" s="59"/>
      <c r="N22" s="75"/>
      <c r="O22" s="63"/>
    </row>
    <row r="23" spans="1:15" x14ac:dyDescent="0.35">
      <c r="A23" s="64" t="s">
        <v>99</v>
      </c>
      <c r="B23" s="65">
        <f t="shared" ref="B23:M23" si="0">SUM(B4:B21)</f>
        <v>310433</v>
      </c>
      <c r="C23" s="65">
        <f t="shared" si="0"/>
        <v>335829</v>
      </c>
      <c r="D23" s="65">
        <f t="shared" si="0"/>
        <v>358955</v>
      </c>
      <c r="E23" s="65">
        <f t="shared" si="0"/>
        <v>506055</v>
      </c>
      <c r="F23" s="65">
        <f t="shared" si="0"/>
        <v>555136</v>
      </c>
      <c r="G23" s="65">
        <f t="shared" si="0"/>
        <v>591443</v>
      </c>
      <c r="H23" s="66">
        <f t="shared" si="0"/>
        <v>621110</v>
      </c>
      <c r="I23" s="65">
        <f t="shared" si="0"/>
        <v>478935</v>
      </c>
      <c r="J23" s="65">
        <f t="shared" si="0"/>
        <v>683865</v>
      </c>
      <c r="K23" s="65">
        <f t="shared" si="0"/>
        <v>803830</v>
      </c>
      <c r="L23" s="65">
        <f t="shared" si="0"/>
        <v>956470</v>
      </c>
      <c r="M23" s="66">
        <f t="shared" si="0"/>
        <v>1124343</v>
      </c>
      <c r="N23" s="67">
        <f>SUM(N4:N21)</f>
        <v>921500</v>
      </c>
      <c r="O23" s="67">
        <f>SUM(O4:O22)</f>
        <v>1244255</v>
      </c>
    </row>
    <row r="27" spans="1:15" x14ac:dyDescent="0.35">
      <c r="A27" s="57" t="s">
        <v>2626</v>
      </c>
      <c r="B27" s="57" t="s">
        <v>2668</v>
      </c>
      <c r="C27" s="57" t="s">
        <v>2669</v>
      </c>
      <c r="D27" s="57" t="s">
        <v>2670</v>
      </c>
      <c r="E27" s="57" t="s">
        <v>2671</v>
      </c>
      <c r="F27" s="57" t="s">
        <v>2672</v>
      </c>
      <c r="G27" s="57" t="s">
        <v>2673</v>
      </c>
      <c r="H27" s="57" t="s">
        <v>2674</v>
      </c>
      <c r="I27" s="57" t="s">
        <v>2675</v>
      </c>
      <c r="J27" s="57" t="s">
        <v>2676</v>
      </c>
      <c r="K27" s="57" t="s">
        <v>2681</v>
      </c>
      <c r="L27" s="57" t="s">
        <v>2678</v>
      </c>
      <c r="M27" s="57" t="s">
        <v>2682</v>
      </c>
      <c r="N27" s="57" t="s">
        <v>2654</v>
      </c>
      <c r="O27" s="71" t="s">
        <v>2680</v>
      </c>
    </row>
    <row r="28" spans="1:15" x14ac:dyDescent="0.35">
      <c r="A28" s="34" t="s">
        <v>2645</v>
      </c>
      <c r="B28" s="35">
        <v>122576</v>
      </c>
      <c r="C28" s="35">
        <v>164200</v>
      </c>
      <c r="D28" s="35">
        <v>174500</v>
      </c>
      <c r="E28" s="35">
        <v>211900</v>
      </c>
      <c r="F28" s="35">
        <v>308500</v>
      </c>
      <c r="G28" s="35">
        <v>342700</v>
      </c>
      <c r="H28" s="35">
        <v>360500</v>
      </c>
      <c r="I28" s="35">
        <v>150500</v>
      </c>
      <c r="J28" s="35">
        <v>228499</v>
      </c>
      <c r="K28" s="35">
        <v>363100</v>
      </c>
      <c r="L28" s="35">
        <v>442400</v>
      </c>
      <c r="M28" s="35">
        <f>'[1]Toad Suck Daze'!B2</f>
        <v>429250</v>
      </c>
      <c r="N28" s="58">
        <v>405000</v>
      </c>
      <c r="O28" s="35">
        <f>'Toad Suck Daze'!B2</f>
        <v>462500</v>
      </c>
    </row>
    <row r="29" spans="1:15" x14ac:dyDescent="0.35">
      <c r="A29" s="34" t="s">
        <v>2646</v>
      </c>
      <c r="B29" s="59"/>
      <c r="C29" s="59"/>
      <c r="D29" s="59"/>
      <c r="E29" s="59"/>
      <c r="F29" s="35"/>
      <c r="G29" s="35">
        <v>33000</v>
      </c>
      <c r="H29" s="35">
        <v>57150</v>
      </c>
      <c r="I29" s="35">
        <v>56150</v>
      </c>
      <c r="J29" s="35">
        <v>53900</v>
      </c>
      <c r="K29" s="35">
        <v>65400</v>
      </c>
      <c r="L29" s="35">
        <v>68810</v>
      </c>
      <c r="M29" s="35">
        <f>[1]Illuminate!B2</f>
        <v>58225</v>
      </c>
      <c r="N29" s="58">
        <v>55000</v>
      </c>
      <c r="O29" s="35">
        <f>Illuminate!B2</f>
        <v>79850</v>
      </c>
    </row>
    <row r="30" spans="1:15" x14ac:dyDescent="0.35">
      <c r="A30" s="64" t="s">
        <v>99</v>
      </c>
      <c r="B30" s="65">
        <f t="shared" ref="B30:I30" si="1">SUM(B28:B29)</f>
        <v>122576</v>
      </c>
      <c r="C30" s="65">
        <f t="shared" si="1"/>
        <v>164200</v>
      </c>
      <c r="D30" s="65">
        <f t="shared" si="1"/>
        <v>174500</v>
      </c>
      <c r="E30" s="65">
        <f t="shared" si="1"/>
        <v>211900</v>
      </c>
      <c r="F30" s="65">
        <f t="shared" si="1"/>
        <v>308500</v>
      </c>
      <c r="G30" s="65">
        <f t="shared" si="1"/>
        <v>375700</v>
      </c>
      <c r="H30" s="65">
        <f t="shared" si="1"/>
        <v>417650</v>
      </c>
      <c r="I30" s="65">
        <f t="shared" si="1"/>
        <v>206650</v>
      </c>
      <c r="J30" s="65">
        <f t="shared" ref="J30:O30" si="2">SUM(J28:J29)</f>
        <v>282399</v>
      </c>
      <c r="K30" s="65">
        <f t="shared" si="2"/>
        <v>428500</v>
      </c>
      <c r="L30" s="65">
        <f t="shared" si="2"/>
        <v>511210</v>
      </c>
      <c r="M30" s="65">
        <f t="shared" si="2"/>
        <v>487475</v>
      </c>
      <c r="N30" s="131">
        <f t="shared" si="2"/>
        <v>460000</v>
      </c>
      <c r="O30" s="67">
        <f t="shared" si="2"/>
        <v>542350</v>
      </c>
    </row>
    <row r="31" spans="1:15" x14ac:dyDescent="0.35">
      <c r="A31" s="1"/>
      <c r="B31" s="36"/>
      <c r="C31" s="36"/>
      <c r="D31" s="36"/>
      <c r="E31" s="36"/>
      <c r="F31" s="36"/>
      <c r="G31" s="36"/>
      <c r="H31" s="36"/>
      <c r="I31" s="36"/>
      <c r="J31" s="36"/>
      <c r="K31" s="36"/>
      <c r="L31" s="36"/>
      <c r="M31" s="36"/>
      <c r="N31" s="1"/>
      <c r="O31" s="3"/>
    </row>
    <row r="33" spans="1:15" x14ac:dyDescent="0.35">
      <c r="A33" s="281" t="s">
        <v>2683</v>
      </c>
      <c r="B33" s="281"/>
      <c r="C33" s="281"/>
      <c r="D33" s="281"/>
      <c r="E33" s="281"/>
      <c r="F33" s="281"/>
      <c r="G33" s="281"/>
      <c r="H33" s="283"/>
      <c r="I33" s="283"/>
      <c r="J33" s="283"/>
      <c r="K33" s="283"/>
      <c r="L33" s="283"/>
      <c r="M33" s="283"/>
      <c r="N33" s="283"/>
      <c r="O33" s="283"/>
    </row>
    <row r="34" spans="1:15" x14ac:dyDescent="0.35">
      <c r="A34" s="283"/>
      <c r="B34" s="283"/>
      <c r="C34" s="283"/>
      <c r="D34" s="283"/>
      <c r="E34" s="283"/>
      <c r="F34" s="283"/>
      <c r="G34" s="283"/>
      <c r="H34" s="283"/>
      <c r="I34" s="283"/>
      <c r="J34" s="283"/>
      <c r="K34" s="283"/>
      <c r="L34" s="283"/>
      <c r="M34" s="283"/>
      <c r="N34" s="283"/>
      <c r="O34" s="283"/>
    </row>
    <row r="35" spans="1:15" x14ac:dyDescent="0.35">
      <c r="A35" s="57" t="s">
        <v>2647</v>
      </c>
      <c r="B35" s="57" t="s">
        <v>2668</v>
      </c>
      <c r="C35" s="57" t="s">
        <v>2669</v>
      </c>
      <c r="D35" s="57" t="s">
        <v>2670</v>
      </c>
      <c r="E35" s="57" t="s">
        <v>2671</v>
      </c>
      <c r="F35" s="57" t="s">
        <v>2672</v>
      </c>
      <c r="G35" s="57" t="s">
        <v>2673</v>
      </c>
      <c r="H35" s="57" t="s">
        <v>2674</v>
      </c>
      <c r="I35" s="57" t="s">
        <v>2675</v>
      </c>
      <c r="J35" s="57" t="s">
        <v>2676</v>
      </c>
      <c r="K35" s="57" t="s">
        <v>2681</v>
      </c>
      <c r="L35" s="57" t="s">
        <v>2678</v>
      </c>
      <c r="M35" s="57" t="s">
        <v>2682</v>
      </c>
      <c r="N35" s="68" t="s">
        <v>2654</v>
      </c>
      <c r="O35" s="71" t="s">
        <v>2680</v>
      </c>
    </row>
    <row r="36" spans="1:15" x14ac:dyDescent="0.35">
      <c r="A36" s="34" t="s">
        <v>2648</v>
      </c>
      <c r="B36" s="35">
        <v>18150</v>
      </c>
      <c r="C36" s="35">
        <v>12304</v>
      </c>
      <c r="D36" s="35">
        <v>19000</v>
      </c>
      <c r="E36" s="35">
        <v>2600</v>
      </c>
      <c r="F36" s="35">
        <v>8600</v>
      </c>
      <c r="G36" s="35">
        <v>2000</v>
      </c>
      <c r="H36" s="35">
        <v>10000</v>
      </c>
      <c r="I36" s="35">
        <v>4905</v>
      </c>
      <c r="J36" s="35">
        <v>4000</v>
      </c>
      <c r="K36" s="59"/>
      <c r="L36" s="59"/>
      <c r="M36" s="62"/>
      <c r="N36" s="35">
        <v>0</v>
      </c>
      <c r="O36" s="35">
        <f>Online!B2</f>
        <v>0</v>
      </c>
    </row>
    <row r="37" spans="1:15" x14ac:dyDescent="0.35">
      <c r="A37" s="34" t="s">
        <v>2649</v>
      </c>
      <c r="B37" s="59"/>
      <c r="C37" s="59"/>
      <c r="D37" s="59"/>
      <c r="E37" s="59">
        <v>0</v>
      </c>
      <c r="F37" s="59"/>
      <c r="G37" s="35">
        <v>3600</v>
      </c>
      <c r="H37" s="35">
        <v>7200</v>
      </c>
      <c r="I37" s="35">
        <v>7200</v>
      </c>
      <c r="J37" s="59"/>
      <c r="K37" s="35">
        <v>177205</v>
      </c>
      <c r="L37" s="35">
        <v>167325</v>
      </c>
      <c r="M37" s="58">
        <f>'[1]Pulse of Conway'!B2</f>
        <v>207200</v>
      </c>
      <c r="N37" s="35">
        <v>205000</v>
      </c>
      <c r="O37" s="35">
        <f>'Pulse of Conway'!B2</f>
        <v>181786</v>
      </c>
    </row>
    <row r="38" spans="1:15" x14ac:dyDescent="0.35">
      <c r="A38" s="34" t="s">
        <v>2650</v>
      </c>
      <c r="B38" s="35">
        <v>65860</v>
      </c>
      <c r="C38" s="35">
        <v>92421</v>
      </c>
      <c r="D38" s="35">
        <v>96227</v>
      </c>
      <c r="E38" s="35">
        <v>103052.5</v>
      </c>
      <c r="F38" s="35">
        <v>110637.5</v>
      </c>
      <c r="G38" s="35">
        <v>127868</v>
      </c>
      <c r="H38" s="35">
        <v>129715</v>
      </c>
      <c r="I38" s="35">
        <v>83795.5</v>
      </c>
      <c r="J38" s="35"/>
      <c r="K38" s="35">
        <v>107365</v>
      </c>
      <c r="L38" s="35">
        <v>162300</v>
      </c>
      <c r="M38" s="58">
        <f>'[1]Conway+'!B2</f>
        <v>111425</v>
      </c>
      <c r="N38" s="35">
        <v>130000</v>
      </c>
      <c r="O38" s="35">
        <f>'Conway+'!B2</f>
        <v>101165</v>
      </c>
    </row>
    <row r="39" spans="1:15" x14ac:dyDescent="0.35">
      <c r="A39" s="34" t="s">
        <v>2651</v>
      </c>
      <c r="B39" s="59"/>
      <c r="C39" s="59"/>
      <c r="D39" s="59"/>
      <c r="E39" s="59"/>
      <c r="F39" s="59"/>
      <c r="G39" s="59"/>
      <c r="H39" s="59"/>
      <c r="I39" s="35">
        <v>28500</v>
      </c>
      <c r="J39" s="35">
        <v>16500</v>
      </c>
      <c r="K39" s="35">
        <v>8400</v>
      </c>
      <c r="L39" s="35">
        <v>12000</v>
      </c>
      <c r="M39" s="58">
        <f>'[1]Welcome to Conway Box'!B2</f>
        <v>13250</v>
      </c>
      <c r="N39" s="35">
        <v>25000</v>
      </c>
      <c r="O39" s="35">
        <f>'Welcome to Conway Box'!B2</f>
        <v>25800</v>
      </c>
    </row>
    <row r="40" spans="1:15" x14ac:dyDescent="0.35">
      <c r="A40" s="64" t="s">
        <v>99</v>
      </c>
      <c r="B40" s="65">
        <f t="shared" ref="B40:H40" si="3">SUM(B36:B38)</f>
        <v>84010</v>
      </c>
      <c r="C40" s="65">
        <f t="shared" si="3"/>
        <v>104725</v>
      </c>
      <c r="D40" s="65">
        <f t="shared" si="3"/>
        <v>115227</v>
      </c>
      <c r="E40" s="65">
        <f t="shared" si="3"/>
        <v>105652.5</v>
      </c>
      <c r="F40" s="65">
        <f t="shared" si="3"/>
        <v>119237.5</v>
      </c>
      <c r="G40" s="65">
        <f t="shared" si="3"/>
        <v>133468</v>
      </c>
      <c r="H40" s="65">
        <f t="shared" si="3"/>
        <v>146915</v>
      </c>
      <c r="I40" s="65">
        <f t="shared" ref="I40:O40" si="4">SUM(I36:I39)</f>
        <v>124400.5</v>
      </c>
      <c r="J40" s="65">
        <f t="shared" si="4"/>
        <v>20500</v>
      </c>
      <c r="K40" s="65">
        <f t="shared" si="4"/>
        <v>292970</v>
      </c>
      <c r="L40" s="65">
        <f t="shared" si="4"/>
        <v>341625</v>
      </c>
      <c r="M40" s="66">
        <f t="shared" si="4"/>
        <v>331875</v>
      </c>
      <c r="N40" s="67">
        <f t="shared" si="4"/>
        <v>360000</v>
      </c>
      <c r="O40" s="67">
        <f t="shared" si="4"/>
        <v>308751</v>
      </c>
    </row>
    <row r="44" spans="1:15" x14ac:dyDescent="0.35">
      <c r="A44" s="57" t="s">
        <v>2684</v>
      </c>
      <c r="B44" s="57" t="s">
        <v>2668</v>
      </c>
      <c r="C44" s="57" t="s">
        <v>2669</v>
      </c>
      <c r="D44" s="57" t="s">
        <v>2670</v>
      </c>
      <c r="E44" s="57" t="s">
        <v>2671</v>
      </c>
      <c r="F44" s="57" t="s">
        <v>2672</v>
      </c>
      <c r="G44" s="57" t="s">
        <v>2673</v>
      </c>
      <c r="H44" s="57" t="s">
        <v>2674</v>
      </c>
      <c r="I44" s="57" t="s">
        <v>2675</v>
      </c>
      <c r="J44" s="57" t="s">
        <v>2685</v>
      </c>
      <c r="K44" s="57" t="s">
        <v>2677</v>
      </c>
      <c r="L44" s="57" t="s">
        <v>2678</v>
      </c>
      <c r="M44" s="57" t="s">
        <v>2679</v>
      </c>
      <c r="N44" s="57" t="s">
        <v>2654</v>
      </c>
      <c r="O44" s="57" t="s">
        <v>2680</v>
      </c>
    </row>
    <row r="45" spans="1:15" x14ac:dyDescent="0.35">
      <c r="A45" s="34" t="s">
        <v>2686</v>
      </c>
      <c r="B45" s="76"/>
      <c r="C45" s="76"/>
      <c r="D45" s="76"/>
      <c r="E45" s="76"/>
      <c r="F45" s="35">
        <v>34300</v>
      </c>
      <c r="G45" s="35">
        <v>38250</v>
      </c>
      <c r="H45" s="35">
        <v>38505</v>
      </c>
      <c r="I45" s="35">
        <v>25300</v>
      </c>
      <c r="J45" s="35">
        <v>21100</v>
      </c>
      <c r="K45" s="35">
        <v>26200</v>
      </c>
      <c r="L45" s="35">
        <v>36050</v>
      </c>
      <c r="M45" s="35">
        <v>40400</v>
      </c>
      <c r="N45" s="77">
        <v>46000</v>
      </c>
      <c r="O45" s="77">
        <f>CALI!B2</f>
        <v>50895</v>
      </c>
    </row>
  </sheetData>
  <mergeCells count="2">
    <mergeCell ref="A1:O2"/>
    <mergeCell ref="A33:O34"/>
  </mergeCells>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E69C-C6E8-4673-B49F-A5C36A5694B6}">
  <dimension ref="A1:D26"/>
  <sheetViews>
    <sheetView workbookViewId="0">
      <pane xSplit="4" ySplit="18" topLeftCell="E19" activePane="bottomRight" state="frozen"/>
      <selection pane="topRight" activeCell="F1" sqref="F1"/>
      <selection pane="bottomLeft" activeCell="A19" sqref="A19"/>
      <selection pane="bottomRight" activeCell="E26" sqref="E26"/>
    </sheetView>
  </sheetViews>
  <sheetFormatPr defaultRowHeight="14.5" x14ac:dyDescent="0.35"/>
  <cols>
    <col min="1" max="1" width="15" customWidth="1"/>
    <col min="2" max="2" width="42.453125" bestFit="1" customWidth="1"/>
    <col min="3" max="3" width="12.81640625" bestFit="1" customWidth="1"/>
    <col min="4" max="4" width="30.1796875" bestFit="1" customWidth="1"/>
  </cols>
  <sheetData>
    <row r="1" spans="1:1" x14ac:dyDescent="0.35">
      <c r="A1" s="1" t="s">
        <v>2687</v>
      </c>
    </row>
    <row r="2" spans="1:1" x14ac:dyDescent="0.35">
      <c r="A2" s="1" t="s">
        <v>2688</v>
      </c>
    </row>
    <row r="21" spans="2:4" x14ac:dyDescent="0.35">
      <c r="B21" s="2" t="s">
        <v>2647</v>
      </c>
      <c r="C21" s="2" t="s">
        <v>2654</v>
      </c>
      <c r="D21" s="2" t="s">
        <v>2655</v>
      </c>
    </row>
    <row r="22" spans="2:4" x14ac:dyDescent="0.35">
      <c r="B22" s="34" t="s">
        <v>2689</v>
      </c>
      <c r="C22" s="35">
        <v>130000</v>
      </c>
      <c r="D22" s="35">
        <f>'Conway+'!B2</f>
        <v>101165</v>
      </c>
    </row>
    <row r="23" spans="2:4" x14ac:dyDescent="0.35">
      <c r="B23" s="34" t="s">
        <v>987</v>
      </c>
      <c r="C23" s="35"/>
      <c r="D23" s="35">
        <f>Online!B2</f>
        <v>0</v>
      </c>
    </row>
    <row r="24" spans="2:4" x14ac:dyDescent="0.35">
      <c r="B24" s="34" t="s">
        <v>2649</v>
      </c>
      <c r="C24" s="35"/>
      <c r="D24" s="35">
        <f>'Pulse of Conway'!B2</f>
        <v>181786</v>
      </c>
    </row>
    <row r="25" spans="2:4" x14ac:dyDescent="0.35">
      <c r="B25" s="34" t="s">
        <v>2651</v>
      </c>
      <c r="C25" s="35"/>
      <c r="D25" s="35">
        <f>'Welcome to Conway Box'!B2</f>
        <v>25800</v>
      </c>
    </row>
    <row r="26" spans="2:4" x14ac:dyDescent="0.35">
      <c r="B26" s="78" t="s">
        <v>99</v>
      </c>
      <c r="C26" s="79"/>
      <c r="D26" s="79">
        <f>SUM(D22:D25)</f>
        <v>308751</v>
      </c>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890F9-E3D1-44B4-8170-1D203AC6D3E9}">
  <dimension ref="D3:G11"/>
  <sheetViews>
    <sheetView workbookViewId="0">
      <selection activeCell="D3" sqref="D3:G11"/>
    </sheetView>
  </sheetViews>
  <sheetFormatPr defaultRowHeight="14.5" x14ac:dyDescent="0.35"/>
  <cols>
    <col min="5" max="6" width="13.81640625" bestFit="1" customWidth="1"/>
    <col min="7" max="7" width="13.453125" bestFit="1" customWidth="1"/>
  </cols>
  <sheetData>
    <row r="3" spans="4:7" x14ac:dyDescent="0.35">
      <c r="D3" s="284" t="s">
        <v>2690</v>
      </c>
      <c r="E3" s="284"/>
      <c r="F3" s="2" t="s">
        <v>2691</v>
      </c>
      <c r="G3" s="2" t="s">
        <v>2692</v>
      </c>
    </row>
    <row r="4" spans="4:7" x14ac:dyDescent="0.35">
      <c r="D4" s="34" t="s">
        <v>2693</v>
      </c>
      <c r="E4" s="35">
        <f>SUM(GETPIVOTDATA("PRICE PLEDGED",'Academic Signing Day'!$P$8,"SOLD BY","BL"),GETPIVOTDATA("PRICE PLEDGED",'Academic Signing Day'!$P$8,"SOLD BY","BL-N"),GETPIVOTDATA("PRICE PLEDGED",'Academic Signing Day'!$P$8,"SOLD BY","BL-O"),GETPIVOTDATA("PRICE PLEDGED",'Annual Meeting'!$P$8,"SOLD BY","BL"),GETPIVOTDATA("PRICE PLEDGED",'Annual Meeting'!$P$8,"SOLD BY","BL-N"),GETPIVOTDATA("PRICE PLEDGED",'Annual Meeting'!$P$8,"SOLD BY","BL-O"),GETPIVOTDATA("PRICE PLEDGED",'Baggo for Business'!$P$8,"SOLD BY","BL"),GETPIVOTDATA("PRICE PLEDGED",'Baggo for Business'!$P$8,"SOLD BY","BL-N"),GETPIVOTDATA("PRICE PLEDGED",'Baggo for Business'!$P$8,"SOLD BY","BL-O"),GETPIVOTDATA("PRICE PLEDGED",Biketoberfest!$P$8,"SOLD BY","BL"),GETPIVOTDATA("PRICE PLEDGED",Biketoberfest!$P$8,"SOLD BY","BL-N"),GETPIVOTDATA("PRICE PLEDGED",Biketoberfest!$P$8,"SOLD BY","BL-O"),GETPIVOTDATA("PRICE PLEDGED",'Bowling for Business'!$P$8,"SOLD BY","BL"),GETPIVOTDATA("PRICE PLEDGED",'Bowling for Business'!$P$8,"SOLD BY","BL-N"),GETPIVOTDATA("PRICE PLEDGED",'Bowling for Business'!$P$8,"SOLD BY","BL-O"),GETPIVOTDATA("PRICE PLEDGED",'Business Expo &amp; Taste of Conway'!$P$8,"SOLD BY","BL"),GETPIVOTDATA("PRICE PLEDGED",'Business Expo &amp; Taste of Conway'!$P$8,"SOLD BY","BL-N"),GETPIVOTDATA("PRICE PLEDGED",'Business Expo &amp; Taste of Conway'!$P$8,"SOLD BY","BL-O"),GETPIVOTDATA("PRICE PLEDGED",'Catfish &amp; Cold Ones'!$P$8,"SOLD BY","BL"),GETPIVOTDATA("PRICE PLEDGED",'Catfish &amp; Cold Ones'!$P$8,"SOLD BY","BL-N"),GETPIVOTDATA("PRICE PLEDGED",'Catfish &amp; Cold Ones'!$P$8,"SOLD BY","BL-O"),GETPIVOTDATA("PRICE PLEDGED",'CDC Membership'!$P$8,"SOLD BY","BL"),GETPIVOTDATA("PRICE PLEDGED",'CDC Membership'!$P$8,"SOLD BY","BL-N"),GETPIVOTDATA("PRICE PLEDGED",'CDC Membership'!$P$8,"SOLD BY","BL-O"),GETPIVOTDATA("PRICE PLEDGED",'CDP Annual Meeting'!$P$8,"SOLD BY","BL"),GETPIVOTDATA("PRICE PLEDGED",'CDP Annual Meeting'!$P$8,"SOLD BY","BL-N"),GETPIVOTDATA("PRICE PLEDGED",'CDP Annual Meeting'!$P$8,"SOLD BY","BL-O"),GETPIVOTDATA("PRICE PLEDGED",'CEO Luncheons'!$P$8,"SOLD BY","BL"),GETPIVOTDATA("PRICE PLEDGED",'CEO Luncheons'!$P$8,"SOLD BY","BL-N"),GETPIVOTDATA("PRICE PLEDGED",'CEO Luncheons'!$P$8,"SOLD BY","BL-O"),GETPIVOTDATA("PRICE PLEDGED",'Conway+'!$P$8,"SOLD BY","BL"),GETPIVOTDATA("PRICE PLEDGED",'Conway+'!$P$8,"SOLD BY","BL-N"),GETPIVOTDATA("PRICE PLEDGED",'Conway+'!$P$8,"SOLD BY","BL-O"),GETPIVOTDATA("PRICE PLEDGED",'Conway Area Healthcare Awards'!$P$8,"SOLD BY","BL"),GETPIVOTDATA("PRICE PLEDGED",'Conway Area Healthcare Awards'!$P$8,"SOLD BY","BL-N"),GETPIVOTDATA("PRICE PLEDGED",'Conway Area Healthcare Awards'!$P$8,"SOLD BY","BL-O"),GETPIVOTDATA("PRICE PLEDGED",'CALI Tuition'!$Q$8,"SOLD BY","BL"),GETPIVOTDATA("PRICE PLEDGED",'CALI Tuition'!$Q$8,"SOLD BY","BL-N"),GETPIVOTDATA("PRICE PLEDGED",'CALI Tuition'!$Q$8,"SOLD BY","BL-O"),GETPIVOTDATA("PRICE PLEDGED",CALI!$P$8,"SOLD BY","BL"),GETPIVOTDATA("PRICE PLEDGED",CALI!$P$8,"SOLD BY","BL-N"),GETPIVOTDATA("PRICE PLEDGED",CALI!$P$8,"SOLD BY","BL-O"),GETPIVOTDATA("PRICE PLEDGED",'Diversity in Business'!$P$8,"SOLD BY","BL"),GETPIVOTDATA("PRICE PLEDGED",'Diversity in Business'!$P$8,"SOLD BY","BL-N"),GETPIVOTDATA("PRICE PLEDGED",'Diversity in Business'!$P$8,"SOLD BY","BL-O"),GETPIVOTDATA("PRICE PLEDGED",'Government Affairs'!$P$8,"SOLD BY","BL"),GETPIVOTDATA("PRICE PLEDGED",'Government Affairs'!$P$8,"SOLD BY","BL-N"),GETPIVOTDATA("PRICE PLEDGED",'Government Affairs'!$P$8,"SOLD BY","BL-O"),GETPIVOTDATA("PRICE PLEDGED",'Happy Birthday Conway'!$P$8,"SOLD BY","BL"),GETPIVOTDATA("PRICE PLEDGED",'Happy Birthday Conway'!$P$8,"SOLD BY","BL-N"),GETPIVOTDATA("PRICE PLEDGED",'Happy Birthday Conway'!$P$8,"SOLD BY","BL-O"),GETPIVOTDATA("PRICE PLEDGED",Illuminate!$P$8,"SOLD BY","BL"),GETPIVOTDATA("PRICE PLEDGED",Illuminate!$P$8,"SOLD BY","BL-N"),GETPIVOTDATA("PRICE PLEDGED",Illuminate!$P$8,"SOLD BY","BL-O"),GETPIVOTDATA("PRICE PLEDGED",'Launch Conway'!$P$8,"SOLD BY","BL"),GETPIVOTDATA("PRICE PLEDGED",'Launch Conway'!$P$8,"SOLD BY","BL-N"),GETPIVOTDATA("PRICE PLEDGED",'Launch Conway'!$P$8,"SOLD BY","BL-O"),GETPIVOTDATA("PRICE PLEDGED",'Off the Clocks'!$P$8,"SOLD BY","BL"),GETPIVOTDATA("PRICE PLEDGED",'Off the Clocks'!$P$8,"SOLD BY","BL-N"),GETPIVOTDATA("PRICE PLEDGED",'Off the Clocks'!$P$8,"SOLD BY","BL-O"),GETPIVOTDATA("PRICE PLEDGED",'Outlook Conway'!$P$8,"SOLD BY","BL"),GETPIVOTDATA("PRICE PLEDGED",'Outlook Conway'!$P$8,"SOLD BY","BL-N"),GETPIVOTDATA("PRICE PLEDGED",'Outlook Conway'!$P$8,"SOLD BY","BL-O"),GETPIVOTDATA("PRICE PLEDGED",Online!$Q$8,"SOLD BY","BL"),GETPIVOTDATA("PRICE PLEDGED",Online!$Q$8,"SOLD BY","BL-N"),GETPIVOTDATA("PRICE PLEDGED",Online!$Q$8,"SOLD BY","BL-O"),GETPIVOTDATA("PRICE PLEDGED",'Pulse of Conway'!$Q$8,"SOLD BY","BL"),GETPIVOTDATA("PRICE PLEDGED",'Pulse of Conway'!$Q$8,"SOLD BY","BL-N"),GETPIVOTDATA("PRICE PLEDGED",'Pulse of Conway'!$Q$8,"SOLD BY","BL-O"),GETPIVOTDATA("PRICE PLEDGED",'Purple Passion'!$P$8,"SOLD BY","BL"),GETPIVOTDATA("PRICE PLEDGED",'Purple Passion'!$P$8,"SOLD BY","BL-N"),GETPIVOTDATA("PRICE PLEDGED",'Purple Passion'!$P$8,"SOLD BY","BL-O"),GETPIVOTDATA("PRICE PLEDGED",'SPARK!'!$P$8,"SOLD BY","BL"),GETPIVOTDATA("PRICE PLEDGED",'SPARK!'!$P$8,"SOLD BY","BL-N"),GETPIVOTDATA("PRICE PLEDGED",'SPARK!'!$P$8,"SOLD BY","BL-O"),GETPIVOTDATA("PRICE PLEDGED",'Teacher BKF &amp; Education Fair'!$P$8,"SOLD BY","BL"),GETPIVOTDATA("PRICE PLEDGED",'Teacher BKF &amp; Education Fair'!$P$8,"SOLD BY","BL-N"),GETPIVOTDATA("PRICE PLEDGED",'Teacher BKF &amp; Education Fair'!$P$8,"SOLD BY","BL-O"),GETPIVOTDATA("PRICE PLEDGED",'Toad Suck Daze'!$P$8,"SOLD BY","BL"),GETPIVOTDATA("PRICE PLEDGED",'Toad Suck Daze'!$P$8,"SOLD BY","BL-N"),GETPIVOTDATA("PRICE PLEDGED",'Toad Suck Daze'!$P$8,"SOLD BY","BL-O"),GETPIVOTDATA("PRICE PLEDGED",'Welcome to Conway Box'!$P$8,"SOLD BY","BL"),GETPIVOTDATA("PRICE PLEDGED",'Welcome to Conway Box'!$P$8,"SOLD BY","BL-N"),GETPIVOTDATA("PRICE PLEDGED",'Welcome to Conway Box'!$P$8,"SOLD BY","BL-O"),GETPIVOTDATA("PRICE PLEDGED",'Women in Business'!$P$8,"SOLD BY","BL"),GETPIVOTDATA("PRICE PLEDGED",'Women in Business'!$P$8,"SOLD BY","BL-N"),GETPIVOTDATA("PRICE PLEDGED",'Women in Business'!$P$8,"SOLD BY","BL-O"))</f>
        <v>1237896</v>
      </c>
      <c r="F4" s="35">
        <v>950000</v>
      </c>
      <c r="G4" s="136">
        <f>E4/F4</f>
        <v>1.3030484210526316</v>
      </c>
    </row>
    <row r="5" spans="4:7" x14ac:dyDescent="0.35">
      <c r="D5" s="34" t="s">
        <v>2694</v>
      </c>
      <c r="E5" s="35">
        <f>SUM(GETPIVOTDATA("PRICE PLEDGED",'Academic Signing Day'!$P$8,"SOLD BY","CP"),GETPIVOTDATA("PRICE PLEDGED",'Academic Signing Day'!$P$8,"SOLD BY","CP-N"),GETPIVOTDATA("PRICE PLEDGED",'Academic Signing Day'!$P$8,"SOLD BY","CP-O"),GETPIVOTDATA("PRICE PLEDGED",'Annual Meeting'!$P$8,"SOLD BY","CP"),GETPIVOTDATA("PRICE PLEDGED",'Annual Meeting'!$P$8,"SOLD BY","CP-N"),GETPIVOTDATA("PRICE PLEDGED",'Annual Meeting'!$P$8,"SOLD BY","CP-O"),GETPIVOTDATA("PRICE PLEDGED",'Baggo for Business'!$P$8,"SOLD BY","CP"),GETPIVOTDATA("PRICE PLEDGED",'Baggo for Business'!$P$8,"SOLD BY","CP-N"),GETPIVOTDATA("PRICE PLEDGED",'Baggo for Business'!$P$8,"SOLD BY","CP-O"),GETPIVOTDATA("PRICE PLEDGED",Biketoberfest!$P$8,"SOLD BY","CP"),GETPIVOTDATA("PRICE PLEDGED",Biketoberfest!$P$8,"SOLD BY","CP-N"),GETPIVOTDATA("PRICE PLEDGED",Biketoberfest!$P$8,"SOLD BY","CP-O"),GETPIVOTDATA("PRICE PLEDGED",'Bowling for Business'!$P$8,"SOLD BY","CP"),GETPIVOTDATA("PRICE PLEDGED",'Bowling for Business'!$P$8,"SOLD BY","CP-N"),GETPIVOTDATA("PRICE PLEDGED",'Bowling for Business'!$P$8,"SOLD BY","CP-O"),GETPIVOTDATA("PRICE PLEDGED",'Business Expo &amp; Taste of Conway'!$P$8,"SOLD BY","CP"),GETPIVOTDATA("PRICE PLEDGED",'Business Expo &amp; Taste of Conway'!$P$8,"SOLD BY","CP-N"),GETPIVOTDATA("PRICE PLEDGED",'Business Expo &amp; Taste of Conway'!$P$8,"SOLD BY","CP-O"),GETPIVOTDATA("PRICE PLEDGED",'Catfish &amp; Cold Ones'!$P$8,"SOLD BY","CP"),GETPIVOTDATA("PRICE PLEDGED",'Catfish &amp; Cold Ones'!$P$8,"SOLD BY","CP-N"),GETPIVOTDATA("PRICE PLEDGED",'Catfish &amp; Cold Ones'!$P$8,"SOLD BY","CP-O"),GETPIVOTDATA("PRICE PLEDGED",'CDC Membership'!$P$8,"SOLD BY","CP"),GETPIVOTDATA("PRICE PLEDGED",'CDC Membership'!$P$8,"SOLD BY","CP-N"),GETPIVOTDATA("PRICE PLEDGED",'CDC Membership'!$P$8,"SOLD BY","CP-O"),GETPIVOTDATA("PRICE PLEDGED",'CDP Annual Meeting'!$P$8,"SOLD BY","CP"),GETPIVOTDATA("PRICE PLEDGED",'CDP Annual Meeting'!$P$8,"SOLD BY","CP-N"),GETPIVOTDATA("PRICE PLEDGED",'CDP Annual Meeting'!$P$8,"SOLD BY","CP-O"),GETPIVOTDATA("PRICE PLEDGED",'CEO Luncheons'!$P$8,"SOLD BY","CP"),GETPIVOTDATA("PRICE PLEDGED",'CEO Luncheons'!$P$8,"SOLD BY","CP-N"),GETPIVOTDATA("PRICE PLEDGED",'CEO Luncheons'!$P$8,"SOLD BY","CP-O"),GETPIVOTDATA("PRICE PLEDGED",'Conway+'!$P$8,"SOLD BY","CP"),GETPIVOTDATA("PRICE PLEDGED",'Conway+'!$P$8,"SOLD BY","CP-N"),GETPIVOTDATA("PRICE PLEDGED",'Conway+'!$P$8,"SOLD BY","CP-O"),GETPIVOTDATA("PRICE PLEDGED",'Conway Area Healthcare Awards'!$P$8,"SOLD BY","CP"),GETPIVOTDATA("PRICE PLEDGED",'Conway Area Healthcare Awards'!$P$8,"SOLD BY","CP-N"),GETPIVOTDATA("PRICE PLEDGED",'Conway Area Healthcare Awards'!$P$8,"SOLD BY","CP-O"),GETPIVOTDATA("PRICE PLEDGED",'CALI Tuition'!$Q$8,"SOLD BY","CP"),GETPIVOTDATA("PRICE PLEDGED",'CALI Tuition'!$Q$8,"SOLD BY","CP-N"),GETPIVOTDATA("PRICE PLEDGED",'CALI Tuition'!$Q$8,"SOLD BY","CP-O"),GETPIVOTDATA("PRICE PLEDGED",CALI!$P$8,"SOLD BY","CP"),GETPIVOTDATA("PRICE PLEDGED",CALI!$P$8,"SOLD BY","CP-N"),GETPIVOTDATA("PRICE PLEDGED",CALI!$P$8,"SOLD BY","CP-O"),GETPIVOTDATA("PRICE PLEDGED",'Diversity in Business'!$P$8,"SOLD BY","CP"),GETPIVOTDATA("PRICE PLEDGED",'Diversity in Business'!$P$8,"SOLD BY","CP-N"),GETPIVOTDATA("PRICE PLEDGED",'Diversity in Business'!$P$8,"SOLD BY","CP-O"),GETPIVOTDATA("PRICE PLEDGED",'Government Affairs'!$P$8,"SOLD BY","CP"),GETPIVOTDATA("PRICE PLEDGED",'Government Affairs'!$P$8,"SOLD BY","CP-N"),GETPIVOTDATA("PRICE PLEDGED",'Government Affairs'!$P$8,"SOLD BY","CP-O"),GETPIVOTDATA("PRICE PLEDGED",'Happy Birthday Conway'!$P$8,"SOLD BY","CP"),GETPIVOTDATA("PRICE PLEDGED",'Happy Birthday Conway'!$P$8,"SOLD BY","CP-N"),GETPIVOTDATA("PRICE PLEDGED",'Happy Birthday Conway'!$P$8,"SOLD BY","CP-O"),GETPIVOTDATA("PRICE PLEDGED",Illuminate!$P$8,"SOLD BY","CP"),GETPIVOTDATA("PRICE PLEDGED",Illuminate!$P$8,"SOLD BY","CP-N"),GETPIVOTDATA("PRICE PLEDGED",Illuminate!$P$8,"SOLD BY","CP-O"),GETPIVOTDATA("PRICE PLEDGED",'Launch Conway'!$P$8,"SOLD BY","CP"),GETPIVOTDATA("PRICE PLEDGED",'Launch Conway'!$P$8,"SOLD BY","CP-N"),GETPIVOTDATA("PRICE PLEDGED",'Launch Conway'!$P$8,"SOLD BY","CP-O"),GETPIVOTDATA("PRICE PLEDGED",'Off the Clocks'!$P$8,"SOLD BY","CP"),GETPIVOTDATA("PRICE PLEDGED",'Off the Clocks'!$P$8,"SOLD BY","CP-N"),GETPIVOTDATA("PRICE PLEDGED",'Off the Clocks'!$P$8,"SOLD BY","CP-O"),GETPIVOTDATA("PRICE PLEDGED",'Outlook Conway'!$P$8,"SOLD BY","CP"),GETPIVOTDATA("PRICE PLEDGED",'Outlook Conway'!$P$8,"SOLD BY","CP-N"),GETPIVOTDATA("PRICE PLEDGED",'Outlook Conway'!$P$8,"SOLD BY","CP-O"),GETPIVOTDATA("PRICE PLEDGED",Online!$Q$8,"SOLD BY","CP"),GETPIVOTDATA("PRICE PLEDGED",Online!$Q$8,"SOLD BY","CP-N"),GETPIVOTDATA("PRICE PLEDGED",Online!$Q$8,"SOLD BY","CP-O"),GETPIVOTDATA("PRICE PLEDGED",'Pulse of Conway'!$Q$8,"SOLD BY","CP"),GETPIVOTDATA("PRICE PLEDGED",'Pulse of Conway'!$Q$8,"SOLD BY","CP-N"),GETPIVOTDATA("PRICE PLEDGED",'Pulse of Conway'!$Q$8,"SOLD BY","CP-O"),GETPIVOTDATA("PRICE PLEDGED",'Purple Passion'!$P$8,"SOLD BY","CP"),GETPIVOTDATA("PRICE PLEDGED",'Purple Passion'!$P$8,"SOLD BY","CP-N"),GETPIVOTDATA("PRICE PLEDGED",'Purple Passion'!$P$8,"SOLD BY","CP-O"),GETPIVOTDATA("PRICE PLEDGED",'SPARK!'!$P$8,"SOLD BY","CP"),GETPIVOTDATA("PRICE PLEDGED",'SPARK!'!$P$8,"SOLD BY","CP-N"),GETPIVOTDATA("PRICE PLEDGED",'SPARK!'!$P$8,"SOLD BY","CP-O"),GETPIVOTDATA("PRICE PLEDGED",'Teacher BKF &amp; Education Fair'!$P$8,"SOLD BY","CP"),GETPIVOTDATA("PRICE PLEDGED",'Teacher BKF &amp; Education Fair'!$P$8,"SOLD BY","CP-N"),GETPIVOTDATA("PRICE PLEDGED",'Teacher BKF &amp; Education Fair'!$P$8,"SOLD BY","CP-O"),GETPIVOTDATA("PRICE PLEDGED",'Toad Suck Daze'!$P$8,"SOLD BY","CP"),GETPIVOTDATA("PRICE PLEDGED",'Toad Suck Daze'!$P$8,"SOLD BY","CP-N"),GETPIVOTDATA("PRICE PLEDGED",'Toad Suck Daze'!$P$8,"SOLD BY","CP-O"),GETPIVOTDATA("PRICE PLEDGED",'Welcome to Conway Box'!$P$8,"SOLD BY","CP"),GETPIVOTDATA("PRICE PLEDGED",'Welcome to Conway Box'!$P$8,"SOLD BY","CP-N"),GETPIVOTDATA("PRICE PLEDGED",'Welcome to Conway Box'!$P$8,"SOLD BY","CP-O"),GETPIVOTDATA("PRICE PLEDGED",'Women in Business'!$P$8,"SOLD BY","CP"),GETPIVOTDATA("PRICE PLEDGED",'Women in Business'!$P$8,"SOLD BY","CP-N"),GETPIVOTDATA("PRICE PLEDGED",'Women in Business'!$P$8,"SOLD BY","CP-O"))</f>
        <v>115885</v>
      </c>
      <c r="F5" s="35">
        <v>100000</v>
      </c>
      <c r="G5" s="136">
        <f t="shared" ref="G5:G11" si="0">E5/F5</f>
        <v>1.1588499999999999</v>
      </c>
    </row>
    <row r="6" spans="4:7" x14ac:dyDescent="0.35">
      <c r="D6" s="34" t="s">
        <v>2695</v>
      </c>
      <c r="E6" s="35">
        <f>SUM(GETPIVOTDATA("PRICE PLEDGED",'Academic Signing Day'!$P$8,"SOLD BY","JG"),GETPIVOTDATA("PRICE PLEDGED",'Academic Signing Day'!$P$8,"SOLD BY","JG-N"),GETPIVOTDATA("PRICE PLEDGED",'Academic Signing Day'!$P$8,"SOLD BY","JG-O"),GETPIVOTDATA("PRICE PLEDGED",'Annual Meeting'!$P$8,"SOLD BY","JG"),GETPIVOTDATA("PRICE PLEDGED",'Annual Meeting'!$P$8,"SOLD BY","JG-N"),GETPIVOTDATA("PRICE PLEDGED",'Annual Meeting'!$P$8,"SOLD BY","JG-O"),GETPIVOTDATA("PRICE PLEDGED",'Baggo for Business'!$P$8,"SOLD BY","JG"),GETPIVOTDATA("PRICE PLEDGED",'Baggo for Business'!$P$8,"SOLD BY","JG-N"),GETPIVOTDATA("PRICE PLEDGED",'Baggo for Business'!$P$8,"SOLD BY","JG-O"),GETPIVOTDATA("PRICE PLEDGED",Biketoberfest!$P$8,"SOLD BY","JG"),GETPIVOTDATA("PRICE PLEDGED",Biketoberfest!$P$8,"SOLD BY","JG-N"),GETPIVOTDATA("PRICE PLEDGED",Biketoberfest!$P$8,"SOLD BY","JG-O"),GETPIVOTDATA("PRICE PLEDGED",'Bowling for Business'!$P$8,"SOLD BY","JG"),GETPIVOTDATA("PRICE PLEDGED",'Bowling for Business'!$P$8,"SOLD BY","JG-N"),GETPIVOTDATA("PRICE PLEDGED",'Bowling for Business'!$P$8,"SOLD BY","JG-O"),GETPIVOTDATA("PRICE PLEDGED",'Business Expo &amp; Taste of Conway'!$P$8,"SOLD BY","JG"),GETPIVOTDATA("PRICE PLEDGED",'Business Expo &amp; Taste of Conway'!$P$8,"SOLD BY","JG-N"),GETPIVOTDATA("PRICE PLEDGED",'Business Expo &amp; Taste of Conway'!$P$8,"SOLD BY","JG-O"),GETPIVOTDATA("PRICE PLEDGED",'Catfish &amp; Cold Ones'!$P$8,"SOLD BY","JG"),GETPIVOTDATA("PRICE PLEDGED",'Catfish &amp; Cold Ones'!$P$8,"SOLD BY","JG-N"),GETPIVOTDATA("PRICE PLEDGED",'Catfish &amp; Cold Ones'!$P$8,"SOLD BY","JG-O"),GETPIVOTDATA("PRICE PLEDGED",'CDC Membership'!$P$8,"SOLD BY","JG"),GETPIVOTDATA("PRICE PLEDGED",'CDC Membership'!$P$8,"SOLD BY","JG-N"),GETPIVOTDATA("PRICE PLEDGED",'CDC Membership'!$P$8,"SOLD BY","JG-O"),GETPIVOTDATA("PRICE PLEDGED",'CDP Annual Meeting'!$P$8,"SOLD BY","JG"),GETPIVOTDATA("PRICE PLEDGED",'CDP Annual Meeting'!$P$8,"SOLD BY","JG-N"),GETPIVOTDATA("PRICE PLEDGED",'CDP Annual Meeting'!$P$8,"SOLD BY","JG-O"),GETPIVOTDATA("PRICE PLEDGED",'CEO Luncheons'!$P$8,"SOLD BY","JG"),GETPIVOTDATA("PRICE PLEDGED",'CEO Luncheons'!$P$8,"SOLD BY","JG-N"),GETPIVOTDATA("PRICE PLEDGED",'CEO Luncheons'!$P$8,"SOLD BY","JG-O"),GETPIVOTDATA("PRICE PLEDGED",'Conway+'!$P$8,"SOLD BY","JG"),GETPIVOTDATA("PRICE PLEDGED",'Conway+'!$P$8,"SOLD BY","JG-N"),GETPIVOTDATA("PRICE PLEDGED",'Conway+'!$P$8,"SOLD BY","JG-O"),GETPIVOTDATA("PRICE PLEDGED",'Conway Area Healthcare Awards'!$P$8,"SOLD BY","JG"),GETPIVOTDATA("PRICE PLEDGED",'Conway Area Healthcare Awards'!$P$8,"SOLD BY","JG-N"),GETPIVOTDATA("PRICE PLEDGED",'Conway Area Healthcare Awards'!$P$8,"SOLD BY","JG-O"),GETPIVOTDATA("PRICE PLEDGED",'CALI Tuition'!$Q$8,"SOLD BY","JG"),GETPIVOTDATA("PRICE PLEDGED",'CALI Tuition'!$Q$8,"SOLD BY","JG-N"),GETPIVOTDATA("PRICE PLEDGED",'CALI Tuition'!$Q$8,"SOLD BY","JG-O"),GETPIVOTDATA("PRICE PLEDGED",CALI!$P$8,"SOLD BY","JG"),GETPIVOTDATA("PRICE PLEDGED",CALI!$P$8,"SOLD BY","JG-N"),GETPIVOTDATA("PRICE PLEDGED",CALI!$P$8,"SOLD BY","JG-O"),GETPIVOTDATA("PRICE PLEDGED",'Diversity in Business'!$P$8,"SOLD BY","JG"),GETPIVOTDATA("PRICE PLEDGED",'Diversity in Business'!$P$8,"SOLD BY","JG-N"),GETPIVOTDATA("PRICE PLEDGED",'Diversity in Business'!$P$8,"SOLD BY","JG-O"),GETPIVOTDATA("PRICE PLEDGED",'Government Affairs'!$P$8,"SOLD BY","JG"),GETPIVOTDATA("PRICE PLEDGED",'Government Affairs'!$P$8,"SOLD BY","JG-N"),GETPIVOTDATA("PRICE PLEDGED",'Government Affairs'!$P$8,"SOLD BY","JG-O"),GETPIVOTDATA("PRICE PLEDGED",'Happy Birthday Conway'!$P$8,"SOLD BY","JG"),GETPIVOTDATA("PRICE PLEDGED",'Happy Birthday Conway'!$P$8,"SOLD BY","JG-N"),GETPIVOTDATA("PRICE PLEDGED",'Happy Birthday Conway'!$P$8,"SOLD BY","JG-O"),GETPIVOTDATA("PRICE PLEDGED",Illuminate!$P$8,"SOLD BY","JG"),GETPIVOTDATA("PRICE PLEDGED",Illuminate!$P$8,"SOLD BY","JG-N"),GETPIVOTDATA("PRICE PLEDGED",Illuminate!$P$8,"SOLD BY","JG-O"),GETPIVOTDATA("PRICE PLEDGED",'Launch Conway'!$P$8,"SOLD BY","JG"),GETPIVOTDATA("PRICE PLEDGED",'Launch Conway'!$P$8,"SOLD BY","JG-N"),GETPIVOTDATA("PRICE PLEDGED",'Launch Conway'!$P$8,"SOLD BY","JG-O"),GETPIVOTDATA("PRICE PLEDGED",'Off the Clocks'!$P$8,"SOLD BY","JG"),GETPIVOTDATA("PRICE PLEDGED",'Off the Clocks'!$P$8,"SOLD BY","JG-N"),GETPIVOTDATA("PRICE PLEDGED",'Off the Clocks'!$P$8,"SOLD BY","JG-O"),GETPIVOTDATA("PRICE PLEDGED",'Outlook Conway'!$P$8,"SOLD BY","JG"),GETPIVOTDATA("PRICE PLEDGED",'Outlook Conway'!$P$8,"SOLD BY","JG-N"),GETPIVOTDATA("PRICE PLEDGED",'Outlook Conway'!$P$8,"SOLD BY","JG-O"),GETPIVOTDATA("PRICE PLEDGED",Online!$Q$8,"SOLD BY","JG"),GETPIVOTDATA("PRICE PLEDGED",Online!$Q$8,"SOLD BY","JG-N"),GETPIVOTDATA("PRICE PLEDGED",Online!$Q$8,"SOLD BY","JG-O"),GETPIVOTDATA("PRICE PLEDGED",'Pulse of Conway'!$Q$8,"SOLD BY","JG"),GETPIVOTDATA("PRICE PLEDGED",'Pulse of Conway'!$Q$8,"SOLD BY","JG-N"),GETPIVOTDATA("PRICE PLEDGED",'Pulse of Conway'!$Q$8,"SOLD BY","JG-O"),GETPIVOTDATA("PRICE PLEDGED",'Purple Passion'!$P$8,"SOLD BY","JG"),GETPIVOTDATA("PRICE PLEDGED",'Purple Passion'!$P$8,"SOLD BY","JG-N"),GETPIVOTDATA("PRICE PLEDGED",'Purple Passion'!$P$8,"SOLD BY","JG-O"),GETPIVOTDATA("PRICE PLEDGED",'SPARK!'!$P$8,"SOLD BY","JG"),GETPIVOTDATA("PRICE PLEDGED",'SPARK!'!$P$8,"SOLD BY","JG-N"),GETPIVOTDATA("PRICE PLEDGED",'SPARK!'!$P$8,"SOLD BY","JG-O"),GETPIVOTDATA("PRICE PLEDGED",'Teacher BKF &amp; Education Fair'!$P$8,"SOLD BY","JG"),GETPIVOTDATA("PRICE PLEDGED",'Teacher BKF &amp; Education Fair'!$P$8,"SOLD BY","JG-N"),GETPIVOTDATA("PRICE PLEDGED",'Teacher BKF &amp; Education Fair'!$P$8,"SOLD BY","JG-O"),GETPIVOTDATA("PRICE PLEDGED",'Toad Suck Daze'!$P$8,"SOLD BY","JG"),GETPIVOTDATA("PRICE PLEDGED",'Toad Suck Daze'!$P$8,"SOLD BY","JG-N"),GETPIVOTDATA("PRICE PLEDGED",'Toad Suck Daze'!$P$8,"SOLD BY","JG-O"),GETPIVOTDATA("PRICE PLEDGED",'Welcome to Conway Box'!$P$8,"SOLD BY","JG"),GETPIVOTDATA("PRICE PLEDGED",'Welcome to Conway Box'!$P$8,"SOLD BY","JG-N"),GETPIVOTDATA("PRICE PLEDGED",'Welcome to Conway Box'!$P$8,"SOLD BY","JG-O"),GETPIVOTDATA("PRICE PLEDGED",'Women in Business'!$P$8,"SOLD BY","JG"),GETPIVOTDATA("PRICE PLEDGED",'Women in Business'!$P$8,"SOLD BY","JG-N"),GETPIVOTDATA("PRICE PLEDGED",'Women in Business'!$P$8,"SOLD BY","JG-O"))</f>
        <v>249654</v>
      </c>
      <c r="F6" s="35">
        <v>250000</v>
      </c>
      <c r="G6" s="136">
        <f t="shared" si="0"/>
        <v>0.99861599999999995</v>
      </c>
    </row>
    <row r="7" spans="4:7" x14ac:dyDescent="0.35">
      <c r="D7" s="34" t="s">
        <v>2696</v>
      </c>
      <c r="E7" s="35">
        <f>SUM(GETPIVOTDATA("PRICE PLEDGED",'Academic Signing Day'!$P$8,"SOLD BY","JE"),GETPIVOTDATA("PRICE PLEDGED",'Academic Signing Day'!$P$8,"SOLD BY","JE-N"),GETPIVOTDATA("PRICE PLEDGED",'Academic Signing Day'!$P$8,"SOLD BY","JE-O"),GETPIVOTDATA("PRICE PLEDGED",'Annual Meeting'!$P$8,"SOLD BY","JE"),GETPIVOTDATA("PRICE PLEDGED",'Annual Meeting'!$P$8,"SOLD BY","JE-N"),GETPIVOTDATA("PRICE PLEDGED",'Annual Meeting'!$P$8,"SOLD BY","JE-O"),GETPIVOTDATA("PRICE PLEDGED",'Baggo for Business'!$P$8,"SOLD BY","JE"),GETPIVOTDATA("PRICE PLEDGED",'Baggo for Business'!$P$8,"SOLD BY","JE-N"),GETPIVOTDATA("PRICE PLEDGED",'Baggo for Business'!$P$8,"SOLD BY","JE-O"),GETPIVOTDATA("PRICE PLEDGED",Biketoberfest!$P$8,"SOLD BY","JE"),GETPIVOTDATA("PRICE PLEDGED",Biketoberfest!$P$8,"SOLD BY","JE-N"),GETPIVOTDATA("PRICE PLEDGED",Biketoberfest!$P$8,"SOLD BY","JE-O"),GETPIVOTDATA("PRICE PLEDGED",'Bowling for Business'!$P$8,"SOLD BY","JE"),GETPIVOTDATA("PRICE PLEDGED",'Bowling for Business'!$P$8,"SOLD BY","JE-N"),GETPIVOTDATA("PRICE PLEDGED",'Bowling for Business'!$P$8,"SOLD BY","JE-O"),GETPIVOTDATA("PRICE PLEDGED",'Business Expo &amp; Taste of Conway'!$P$8,"SOLD BY","JE"),GETPIVOTDATA("PRICE PLEDGED",'Business Expo &amp; Taste of Conway'!$P$8,"SOLD BY","JE-N"),GETPIVOTDATA("PRICE PLEDGED",'Business Expo &amp; Taste of Conway'!$P$8,"SOLD BY","JE-O"),GETPIVOTDATA("PRICE PLEDGED",'Catfish &amp; Cold Ones'!$P$8,"SOLD BY","JE"),GETPIVOTDATA("PRICE PLEDGED",'Catfish &amp; Cold Ones'!$P$8,"SOLD BY","JE-N"),GETPIVOTDATA("PRICE PLEDGED",'Catfish &amp; Cold Ones'!$P$8,"SOLD BY","JE-O"),GETPIVOTDATA("PRICE PLEDGED",'CDC Membership'!$P$8,"SOLD BY","JE"),GETPIVOTDATA("PRICE PLEDGED",'CDC Membership'!$P$8,"SOLD BY","JE-N"),GETPIVOTDATA("PRICE PLEDGED",'CDC Membership'!$P$8,"SOLD BY","JE-O"),GETPIVOTDATA("PRICE PLEDGED",'CDP Annual Meeting'!$P$8,"SOLD BY","JE-N"),GETPIVOTDATA("PRICE PLEDGED",'CDP Annual Meeting'!$P$8,"SOLD BY","JE-O"),GETPIVOTDATA("PRICE PLEDGED",'CDP Annual Meeting'!$P$8,"SOLD BY","JG"),GETPIVOTDATA("PRICE PLEDGED",'CEO Luncheons'!$P$8,"SOLD BY","JE"),GETPIVOTDATA("PRICE PLEDGED",'CEO Luncheons'!$P$8,"SOLD BY","JE-N"),GETPIVOTDATA("PRICE PLEDGED",'CEO Luncheons'!$P$8,"SOLD BY","JE-O"),GETPIVOTDATA("PRICE PLEDGED",'Conway+'!$P$8,"SOLD BY","JE"),GETPIVOTDATA("PRICE PLEDGED",'Conway+'!$P$8,"SOLD BY","JE-N"),GETPIVOTDATA("PRICE PLEDGED",'Conway+'!$P$8,"SOLD BY","JE-O"),GETPIVOTDATA("PRICE PLEDGED",'Conway Area Healthcare Awards'!$P$8,"SOLD BY","JE"),GETPIVOTDATA("PRICE PLEDGED",'Conway Area Healthcare Awards'!$P$8,"SOLD BY","JE-N"),GETPIVOTDATA("PRICE PLEDGED",'Conway Area Healthcare Awards'!$P$8,"SOLD BY","JE-O"),GETPIVOTDATA("PRICE PLEDGED",'CALI Tuition'!$Q$8,"SOLD BY","JE"),GETPIVOTDATA("PRICE PLEDGED",'CALI Tuition'!$Q$8,"SOLD BY","JE-N"),GETPIVOTDATA("PRICE PLEDGED",'CALI Tuition'!$Q$8,"SOLD BY","JE-O"),GETPIVOTDATA("PRICE PLEDGED",CALI!$P$8,"SOLD BY","JE"),GETPIVOTDATA("PRICE PLEDGED",CALI!$P$8,"SOLD BY","JE-N"),GETPIVOTDATA("PRICE PLEDGED",CALI!$P$8,"SOLD BY","JE-O"),GETPIVOTDATA("PRICE PLEDGED",'Diversity in Business'!$P$8,"SOLD BY","JE"),GETPIVOTDATA("PRICE PLEDGED",'Diversity in Business'!$P$8,"SOLD BY","JE-N"),GETPIVOTDATA("PRICE PLEDGED",'Diversity in Business'!$P$8,"SOLD BY","JE-O"),GETPIVOTDATA("PRICE PLEDGED",'Government Affairs'!$P$8,"SOLD BY","JE"),GETPIVOTDATA("PRICE PLEDGED",'Government Affairs'!$P$8,"SOLD BY","JE-N"),GETPIVOTDATA("PRICE PLEDGED",'Government Affairs'!$P$8,"SOLD BY","JE-O"),GETPIVOTDATA("PRICE PLEDGED",'Happy Birthday Conway'!$P$8,"SOLD BY","JE"),GETPIVOTDATA("PRICE PLEDGED",'Happy Birthday Conway'!$P$8,"SOLD BY","JE-N"),GETPIVOTDATA("PRICE PLEDGED",'Happy Birthday Conway'!$P$8,"SOLD BY","JE-O"),GETPIVOTDATA("PRICE PLEDGED",Illuminate!$P$8,"SOLD BY","JE"),GETPIVOTDATA("PRICE PLEDGED",Illuminate!$P$8,"SOLD BY","JE-N"),GETPIVOTDATA("PRICE PLEDGED",Illuminate!$P$8,"SOLD BY","JE-O"),GETPIVOTDATA("PRICE PLEDGED",'Launch Conway'!$P$8,"SOLD BY","JE"),GETPIVOTDATA("PRICE PLEDGED",'Launch Conway'!$P$8,"SOLD BY","JE-N"),GETPIVOTDATA("PRICE PLEDGED",'Launch Conway'!$P$8,"SOLD BY","JE-O"),GETPIVOTDATA("PRICE PLEDGED",'Off the Clocks'!$P$8,"SOLD BY","JE"),GETPIVOTDATA("PRICE PLEDGED",'Off the Clocks'!$P$8,"SOLD BY","JE-N"),GETPIVOTDATA("PRICE PLEDGED",'Off the Clocks'!$P$8,"SOLD BY","JE-O"),GETPIVOTDATA("PRICE PLEDGED",'Outlook Conway'!$P$8,"SOLD BY","JE"),GETPIVOTDATA("PRICE PLEDGED",'Outlook Conway'!$P$8,"SOLD BY","JE-N"),GETPIVOTDATA("PRICE PLEDGED",'Outlook Conway'!$P$8,"SOLD BY","JE-O"),GETPIVOTDATA("PRICE PLEDGED",Online!$Q$8,"SOLD BY","JE"),GETPIVOTDATA("PRICE PLEDGED",Online!$Q$8,"SOLD BY","JE-N"),GETPIVOTDATA("PRICE PLEDGED",Online!$Q$8,"SOLD BY","JE-O"),GETPIVOTDATA("PRICE PLEDGED",'Pulse of Conway'!$Q$8,"SOLD BY","JE"),GETPIVOTDATA("PRICE PLEDGED",'Pulse of Conway'!$Q$8,"SOLD BY","JE-N"),GETPIVOTDATA("PRICE PLEDGED",'Pulse of Conway'!$Q$8,"SOLD BY","JE-O"),GETPIVOTDATA("PRICE PLEDGED",'Purple Passion'!$P$8,"SOLD BY","JE"),GETPIVOTDATA("PRICE PLEDGED",'Purple Passion'!$P$8,"SOLD BY","JE-N"),GETPIVOTDATA("PRICE PLEDGED",'Purple Passion'!$P$8,"SOLD BY","JE-O"),GETPIVOTDATA("PRICE PLEDGED",'SPARK!'!$P$8,"SOLD BY","JE"),GETPIVOTDATA("PRICE PLEDGED",'SPARK!'!$P$8,"SOLD BY","JE-N"),GETPIVOTDATA("PRICE PLEDGED",'SPARK!'!$P$8,"SOLD BY","JE-O"),GETPIVOTDATA("PRICE PLEDGED",'Teacher BKF &amp; Education Fair'!$P$8,"SOLD BY","JE"),GETPIVOTDATA("PRICE PLEDGED",'Teacher BKF &amp; Education Fair'!$P$8,"SOLD BY","JE-N"),GETPIVOTDATA("PRICE PLEDGED",'Teacher BKF &amp; Education Fair'!$P$8,"SOLD BY","JE-O"),GETPIVOTDATA("PRICE PLEDGED",'Toad Suck Daze'!$P$8,"SOLD BY","JE"),GETPIVOTDATA("PRICE PLEDGED",'Toad Suck Daze'!$P$8,"SOLD BY","JE-N"),GETPIVOTDATA("PRICE PLEDGED",'Toad Suck Daze'!$P$8,"SOLD BY","JE-O"),GETPIVOTDATA("PRICE PLEDGED",'Welcome to Conway Box'!$P$8,"SOLD BY","JE"),GETPIVOTDATA("PRICE PLEDGED",'Welcome to Conway Box'!$P$8,"SOLD BY","JE-N"),GETPIVOTDATA("PRICE PLEDGED",'Welcome to Conway Box'!$P$8,"SOLD BY","JE-O"),GETPIVOTDATA("PRICE PLEDGED",'Women in Business'!$P$8,"SOLD BY","JE"),GETPIVOTDATA("PRICE PLEDGED",'Women in Business'!$P$8,"SOLD BY","JE-N"),GETPIVOTDATA("PRICE PLEDGED",'Women in Business'!$P$8,"SOLD BY","JE-O"))</f>
        <v>113690</v>
      </c>
      <c r="F7" s="35">
        <v>125000</v>
      </c>
      <c r="G7" s="136">
        <f t="shared" si="0"/>
        <v>0.90952</v>
      </c>
    </row>
    <row r="8" spans="4:7" x14ac:dyDescent="0.35">
      <c r="D8" s="34" t="s">
        <v>2697</v>
      </c>
      <c r="E8" s="35">
        <f>SUM(GETPIVOTDATA("PRICE PLEDGED",'Academic Signing Day'!$P$8,"SOLD BY","LC"),GETPIVOTDATA("PRICE PLEDGED",'Academic Signing Day'!$P$8,"SOLD BY","LC-N"),GETPIVOTDATA("PRICE PLEDGED",'Academic Signing Day'!$P$8,"SOLD BY","LC-O"),GETPIVOTDATA("PRICE PLEDGED",'Annual Meeting'!$P$8,"SOLD BY","LC"),GETPIVOTDATA("PRICE PLEDGED",'Annual Meeting'!$P$8,"SOLD BY","LC-N"),GETPIVOTDATA("PRICE PLEDGED",'Annual Meeting'!$P$8,"SOLD BY","LC-O"),GETPIVOTDATA("PRICE PLEDGED",'Baggo for Business'!$P$8,"SOLD BY","LC"),GETPIVOTDATA("PRICE PLEDGED",'Baggo for Business'!$P$8,"SOLD BY","LC-N"),GETPIVOTDATA("PRICE PLEDGED",'Baggo for Business'!$P$8,"SOLD BY","LC-O"),GETPIVOTDATA("PRICE PLEDGED",Biketoberfest!$P$8,"SOLD BY","LC"),GETPIVOTDATA("PRICE PLEDGED",Biketoberfest!$P$8,"SOLD BY","LC-N"),GETPIVOTDATA("PRICE PLEDGED",Biketoberfest!$P$8,"SOLD BY","LC-O"),GETPIVOTDATA("PRICE PLEDGED",'Bowling for Business'!$P$8,"SOLD BY","LC"),GETPIVOTDATA("PRICE PLEDGED",'Bowling for Business'!$P$8,"SOLD BY","LC-N"),GETPIVOTDATA("PRICE PLEDGED",'Bowling for Business'!$P$8,"SOLD BY","LC-O"),GETPIVOTDATA("PRICE PLEDGED",'Business Expo &amp; Taste of Conway'!$P$8,"SOLD BY","LC"),GETPIVOTDATA("PRICE PLEDGED",'Business Expo &amp; Taste of Conway'!$P$8,"SOLD BY","LC-N"),GETPIVOTDATA("PRICE PLEDGED",'Business Expo &amp; Taste of Conway'!$P$8,"SOLD BY","LC-O"),GETPIVOTDATA("PRICE PLEDGED",'Catfish &amp; Cold Ones'!$P$8,"SOLD BY","LC"),GETPIVOTDATA("PRICE PLEDGED",'Catfish &amp; Cold Ones'!$P$8,"SOLD BY","LC-N"),GETPIVOTDATA("PRICE PLEDGED",'Catfish &amp; Cold Ones'!$P$8,"SOLD BY","LC-O"),GETPIVOTDATA("PRICE PLEDGED",'CDC Membership'!$P$8,"SOLD BY","LC"),GETPIVOTDATA("PRICE PLEDGED",'CDC Membership'!$P$8,"SOLD BY","LC-N"),GETPIVOTDATA("PRICE PLEDGED",'CDC Membership'!$P$8,"SOLD BY","LC-O"),GETPIVOTDATA("PRICE PLEDGED",'CDP Annual Meeting'!$P$8,"SOLD BY","LC"),GETPIVOTDATA("PRICE PLEDGED",'CDP Annual Meeting'!$P$8,"SOLD BY","LC-N"),GETPIVOTDATA("PRICE PLEDGED",'CDP Annual Meeting'!$P$8,"SOLD BY","LC-O"),GETPIVOTDATA("PRICE PLEDGED",'CEO Luncheons'!$P$8,"SOLD BY","LC"),GETPIVOTDATA("PRICE PLEDGED",'CEO Luncheons'!$P$8,"SOLD BY","LC-N"),GETPIVOTDATA("PRICE PLEDGED",'CEO Luncheons'!$P$8,"SOLD BY","LC-O"),GETPIVOTDATA("PRICE PLEDGED",'Conway+'!$P$8,"SOLD BY","LC"),GETPIVOTDATA("PRICE PLEDGED",'Conway+'!$P$8,"SOLD BY","LC-N"),GETPIVOTDATA("PRICE PLEDGED",'Conway+'!$P$8,"SOLD BY","LC-O"),GETPIVOTDATA("PRICE PLEDGED",'Conway Area Healthcare Awards'!$P$8,"SOLD BY","LC"),GETPIVOTDATA("PRICE PLEDGED",'Conway Area Healthcare Awards'!$P$8,"SOLD BY","LC-N"),GETPIVOTDATA("PRICE PLEDGED",'Conway Area Healthcare Awards'!$P$8,"SOLD BY","LC-O"),GETPIVOTDATA("PRICE PLEDGED",'CALI Tuition'!$Q$8,"SOLD BY","LC"),GETPIVOTDATA("PRICE PLEDGED",'CALI Tuition'!$Q$8,"SOLD BY","LC-N"),GETPIVOTDATA("PRICE PLEDGED",'CALI Tuition'!$Q$8,"SOLD BY","LC-O"),GETPIVOTDATA("PRICE PLEDGED",CALI!$P$8,"SOLD BY","LC"),GETPIVOTDATA("PRICE PLEDGED",CALI!$P$8,"SOLD BY","LC-N"),GETPIVOTDATA("PRICE PLEDGED",CALI!$P$8,"SOLD BY","LC-O"),GETPIVOTDATA("PRICE PLEDGED",'Diversity in Business'!$P$8,"SOLD BY","LC"),GETPIVOTDATA("PRICE PLEDGED",'Diversity in Business'!$P$8,"SOLD BY","LC-N"),GETPIVOTDATA("PRICE PLEDGED",'Diversity in Business'!$P$8,"SOLD BY","LC-O"),GETPIVOTDATA("PRICE PLEDGED",'Government Affairs'!$P$8,"SOLD BY","LC"),GETPIVOTDATA("PRICE PLEDGED",'Government Affairs'!$P$8,"SOLD BY","LC-N"),GETPIVOTDATA("PRICE PLEDGED",'Government Affairs'!$P$8,"SOLD BY","LC-O"),GETPIVOTDATA("PRICE PLEDGED",'Happy Birthday Conway'!$P$8,"SOLD BY","LC"),GETPIVOTDATA("PRICE PLEDGED",'Happy Birthday Conway'!$P$8,"SOLD BY","LC-N"),GETPIVOTDATA("PRICE PLEDGED",'Happy Birthday Conway'!$P$8,"SOLD BY","LC-O"),GETPIVOTDATA("PRICE PLEDGED",Illuminate!$P$8,"SOLD BY","LC"),GETPIVOTDATA("PRICE PLEDGED",Illuminate!$P$8,"SOLD BY","LC-N"),GETPIVOTDATA("PRICE PLEDGED",Illuminate!$P$8,"SOLD BY","LC-O"),GETPIVOTDATA("PRICE PLEDGED",'Launch Conway'!$P$8,"SOLD BY","LC"),GETPIVOTDATA("PRICE PLEDGED",'Launch Conway'!$P$8,"SOLD BY","LC-N"),GETPIVOTDATA("PRICE PLEDGED",'Launch Conway'!$P$8,"SOLD BY","LC-O"),GETPIVOTDATA("PRICE PLEDGED",'Off the Clocks'!$P$8,"SOLD BY","LC"),GETPIVOTDATA("PRICE PLEDGED",'Off the Clocks'!$P$8,"SOLD BY","LC-N"),GETPIVOTDATA("PRICE PLEDGED",'Off the Clocks'!$P$8,"SOLD BY","LC-O"),GETPIVOTDATA("PRICE PLEDGED",'Outlook Conway'!$P$8,"SOLD BY","LC"),GETPIVOTDATA("PRICE PLEDGED",'Outlook Conway'!$P$8,"SOLD BY","LC-N"),GETPIVOTDATA("PRICE PLEDGED",'Outlook Conway'!$P$8,"SOLD BY","LC-O"),GETPIVOTDATA("PRICE PLEDGED",Online!$Q$8,"SOLD BY","LC"),GETPIVOTDATA("PRICE PLEDGED",Online!$Q$8,"SOLD BY","LC-N"),GETPIVOTDATA("PRICE PLEDGED",Online!$Q$8,"SOLD BY","LC-O"),GETPIVOTDATA("PRICE PLEDGED",'Pulse of Conway'!$Q$8,"SOLD BY","LC"),GETPIVOTDATA("PRICE PLEDGED",'Pulse of Conway'!$Q$8,"SOLD BY","LC-N"),GETPIVOTDATA("PRICE PLEDGED",'Pulse of Conway'!$Q$8,"SOLD BY","LC-O"),GETPIVOTDATA("PRICE PLEDGED",'Purple Passion'!$P$8,"SOLD BY","LC"),GETPIVOTDATA("PRICE PLEDGED",'Purple Passion'!$P$8,"SOLD BY","LC-N"),GETPIVOTDATA("PRICE PLEDGED",'Purple Passion'!$P$8,"SOLD BY","LC-O"),GETPIVOTDATA("PRICE PLEDGED",'SPARK!'!$P$8,"SOLD BY","LC"),GETPIVOTDATA("PRICE PLEDGED",'SPARK!'!$P$8,"SOLD BY","LC-N"),GETPIVOTDATA("PRICE PLEDGED",'SPARK!'!$P$8,"SOLD BY","LC-O"),GETPIVOTDATA("PRICE PLEDGED",'Teacher BKF &amp; Education Fair'!$P$8,"SOLD BY","LC"),GETPIVOTDATA("PRICE PLEDGED",'Teacher BKF &amp; Education Fair'!$P$8,"SOLD BY","LC-N"),GETPIVOTDATA("PRICE PLEDGED",'Teacher BKF &amp; Education Fair'!$P$8,"SOLD BY","LC-O"),GETPIVOTDATA("PRICE PLEDGED",'Toad Suck Daze'!$P$8,"SOLD BY","LC"),GETPIVOTDATA("PRICE PLEDGED",'Toad Suck Daze'!$P$8,"SOLD BY","LC-N"),GETPIVOTDATA("PRICE PLEDGED",'Toad Suck Daze'!$P$8,"SOLD BY","LC-O"),GETPIVOTDATA("PRICE PLEDGED",'Welcome to Conway Box'!$P$8,"SOLD BY","LC"),GETPIVOTDATA("PRICE PLEDGED",'Welcome to Conway Box'!$P$8,"SOLD BY","LC-N"),GETPIVOTDATA("PRICE PLEDGED",'Welcome to Conway Box'!$P$8,"SOLD BY","LC-O"),GETPIVOTDATA("PRICE PLEDGED",'Women in Business'!$P$8,"SOLD BY","LC"),GETPIVOTDATA("PRICE PLEDGED",'Women in Business'!$P$8,"SOLD BY","LC-N"),GETPIVOTDATA("PRICE PLEDGED",'Women in Business'!$P$8,"SOLD BY","LC-O"))</f>
        <v>184365</v>
      </c>
      <c r="F8" s="35">
        <v>275000</v>
      </c>
      <c r="G8" s="136">
        <f t="shared" si="0"/>
        <v>0.6704181818181818</v>
      </c>
    </row>
    <row r="9" spans="4:7" x14ac:dyDescent="0.35">
      <c r="D9" s="34" t="s">
        <v>2698</v>
      </c>
      <c r="E9" s="35">
        <f>SUM(GETPIVOTDATA("PRICE PLEDGED",'Academic Signing Day'!$P$8,"SOLD BY","LH"),GETPIVOTDATA("PRICE PLEDGED",'Academic Signing Day'!$P$8,"SOLD BY","LH-N"),GETPIVOTDATA("PRICE PLEDGED",'Academic Signing Day'!$P$8,"SOLD BY","LH-O"),GETPIVOTDATA("PRICE PLEDGED",'Annual Meeting'!$P$8,"SOLD BY","LH"),GETPIVOTDATA("PRICE PLEDGED",'Annual Meeting'!$P$8,"SOLD BY","LH-N"),GETPIVOTDATA("PRICE PLEDGED",'Annual Meeting'!$P$8,"SOLD BY","LH-O"),GETPIVOTDATA("PRICE PLEDGED",'Baggo for Business'!$P$8,"SOLD BY","LH"),GETPIVOTDATA("PRICE PLEDGED",'Baggo for Business'!$P$8,"SOLD BY","LH-N"),GETPIVOTDATA("PRICE PLEDGED",'Baggo for Business'!$P$8,"SOLD BY","LH-O"),GETPIVOTDATA("PRICE PLEDGED",Biketoberfest!$P$8,"SOLD BY","LH"),GETPIVOTDATA("PRICE PLEDGED",Biketoberfest!$P$8,"SOLD BY","LH-N"),GETPIVOTDATA("PRICE PLEDGED",Biketoberfest!$P$8,"SOLD BY","LH-O"),GETPIVOTDATA("PRICE PLEDGED",'Bowling for Business'!$P$8,"SOLD BY","LH"),GETPIVOTDATA("PRICE PLEDGED",'Bowling for Business'!$P$8,"SOLD BY","LH-N"),GETPIVOTDATA("PRICE PLEDGED",'Bowling for Business'!$P$8,"SOLD BY","LH-O"),GETPIVOTDATA("PRICE PLEDGED",'Business Expo &amp; Taste of Conway'!$P$8,"SOLD BY","LH"),GETPIVOTDATA("PRICE PLEDGED",'Business Expo &amp; Taste of Conway'!$P$8,"SOLD BY","LH-N"),GETPIVOTDATA("PRICE PLEDGED",'Business Expo &amp; Taste of Conway'!$P$8,"SOLD BY","LH-O"),GETPIVOTDATA("PRICE PLEDGED",'Catfish &amp; Cold Ones'!$P$8,"SOLD BY","LH"),GETPIVOTDATA("PRICE PLEDGED",'Catfish &amp; Cold Ones'!$P$8,"SOLD BY","LH-N"),GETPIVOTDATA("PRICE PLEDGED",'Catfish &amp; Cold Ones'!$P$8,"SOLD BY","LH-O"),GETPIVOTDATA("PRICE PLEDGED",'CDC Membership'!$P$8,"SOLD BY","LH"),GETPIVOTDATA("PRICE PLEDGED",'CDC Membership'!$P$8,"SOLD BY","LH-N"),GETPIVOTDATA("PRICE PLEDGED",'CDC Membership'!$P$8,"SOLD BY","LH-O"),GETPIVOTDATA("PRICE PLEDGED",'CDP Annual Meeting'!$P$8,"SOLD BY","LH"),GETPIVOTDATA("PRICE PLEDGED",'CDP Annual Meeting'!$P$8,"SOLD BY","LH-N"),GETPIVOTDATA("PRICE PLEDGED",'CDP Annual Meeting'!$P$8,"SOLD BY","LH-O"),GETPIVOTDATA("PRICE PLEDGED",'CEO Luncheons'!$P$8,"SOLD BY","LH"),GETPIVOTDATA("PRICE PLEDGED",'CEO Luncheons'!$P$8,"SOLD BY","LH-N"),GETPIVOTDATA("PRICE PLEDGED",'CEO Luncheons'!$P$8,"SOLD BY","LH-O"),GETPIVOTDATA("PRICE PLEDGED",'Conway+'!$P$8,"SOLD BY","LH"),GETPIVOTDATA("PRICE PLEDGED",'Conway+'!$P$8,"SOLD BY","LH-N"),GETPIVOTDATA("PRICE PLEDGED",'Conway+'!$P$8,"SOLD BY","LH-O"),GETPIVOTDATA("PRICE PLEDGED",'Conway Area Healthcare Awards'!$P$8,"SOLD BY","LH"),GETPIVOTDATA("PRICE PLEDGED",'Conway Area Healthcare Awards'!$P$8,"SOLD BY","LH-N"),GETPIVOTDATA("PRICE PLEDGED",'Conway Area Healthcare Awards'!$P$8,"SOLD BY","LH-O"),GETPIVOTDATA("PRICE PLEDGED",'CALI Tuition'!$Q$8,"SOLD BY","LH"),GETPIVOTDATA("PRICE PLEDGED",'CALI Tuition'!$Q$8,"SOLD BY","LH-N"),GETPIVOTDATA("PRICE PLEDGED",'CALI Tuition'!$Q$8,"SOLD BY","LH-O"),GETPIVOTDATA("PRICE PLEDGED",CALI!$P$8,"SOLD BY","LH"),GETPIVOTDATA("PRICE PLEDGED",CALI!$P$8,"SOLD BY","LH-N"),GETPIVOTDATA("PRICE PLEDGED",CALI!$P$8,"SOLD BY","LH-O"),GETPIVOTDATA("PRICE PLEDGED",'Diversity in Business'!$P$8,"SOLD BY","LH"),GETPIVOTDATA("PRICE PLEDGED",'Diversity in Business'!$P$8,"SOLD BY","LH-N"),GETPIVOTDATA("PRICE PLEDGED",'Diversity in Business'!$P$8,"SOLD BY","LH-O"),GETPIVOTDATA("PRICE PLEDGED",'Government Affairs'!$P$8,"SOLD BY","LH"),GETPIVOTDATA("PRICE PLEDGED",'Government Affairs'!$P$8,"SOLD BY","LH-N"),GETPIVOTDATA("PRICE PLEDGED",'Government Affairs'!$P$8,"SOLD BY","LH-O"),GETPIVOTDATA("PRICE PLEDGED",'Happy Birthday Conway'!$P$8,"SOLD BY","LH"),GETPIVOTDATA("PRICE PLEDGED",'Happy Birthday Conway'!$P$8,"SOLD BY","LH-N"),GETPIVOTDATA("PRICE PLEDGED",'Happy Birthday Conway'!$P$8,"SOLD BY","LH-O"),GETPIVOTDATA("PRICE PLEDGED",Illuminate!$P$8,"SOLD BY","LH"),GETPIVOTDATA("PRICE PLEDGED",Illuminate!$P$8,"SOLD BY","LH-N"),GETPIVOTDATA("PRICE PLEDGED",Illuminate!$P$8,"SOLD BY","LH-O"),GETPIVOTDATA("PRICE PLEDGED",'Launch Conway'!$P$8,"SOLD BY","LH"),GETPIVOTDATA("PRICE PLEDGED",'Launch Conway'!$P$8,"SOLD BY","LH-N"),GETPIVOTDATA("PRICE PLEDGED",'Launch Conway'!$P$8,"SOLD BY","LH-O"),GETPIVOTDATA("PRICE PLEDGED",'Off the Clocks'!$P$8,"SOLD BY","LH-N"),GETPIVOTDATA("PRICE PLEDGED",'Off the Clocks'!$P$8,"SOLD BY","LH-O"),GETPIVOTDATA("PRICE PLEDGED",'Off the Clocks'!$P$8,"SOLD BY","LH"),GETPIVOTDATA("PRICE PLEDGED",'Outlook Conway'!$P$8,"SOLD BY","LH"),GETPIVOTDATA("PRICE PLEDGED",'Outlook Conway'!$P$8,"SOLD BY","LH-N"),GETPIVOTDATA("PRICE PLEDGED",'Outlook Conway'!$P$8,"SOLD BY","LH-O"),GETPIVOTDATA("PRICE PLEDGED",Online!$Q$8,"SOLD BY","LH"),GETPIVOTDATA("PRICE PLEDGED",Online!$Q$8,"SOLD BY","LH-N"),GETPIVOTDATA("PRICE PLEDGED",Online!$Q$8,"SOLD BY","LH-O"),GETPIVOTDATA("PRICE PLEDGED",'Pulse of Conway'!$Q$8,"SOLD BY","LH"),GETPIVOTDATA("PRICE PLEDGED",'Pulse of Conway'!$Q$8,"SOLD BY","LH-N"),GETPIVOTDATA("PRICE PLEDGED",'Pulse of Conway'!$Q$8,"SOLD BY","LH-O"),GETPIVOTDATA("PRICE PLEDGED",'Purple Passion'!$P$8,"SOLD BY","LH"),GETPIVOTDATA("PRICE PLEDGED",'Purple Passion'!$P$8,"SOLD BY","LH-N"),GETPIVOTDATA("PRICE PLEDGED",'Purple Passion'!$P$8,"SOLD BY","LH-O"),GETPIVOTDATA("PRICE PLEDGED",'SPARK!'!$P$8,"SOLD BY","LH"),GETPIVOTDATA("PRICE PLEDGED",'SPARK!'!$P$8,"SOLD BY","LH-N"),GETPIVOTDATA("PRICE PLEDGED",'SPARK!'!$P$8,"SOLD BY","LH-O"),GETPIVOTDATA("PRICE PLEDGED",'Teacher BKF &amp; Education Fair'!$P$8,"SOLD BY","LH"),GETPIVOTDATA("PRICE PLEDGED",'Teacher BKF &amp; Education Fair'!$P$8,"SOLD BY","LH-N"),GETPIVOTDATA("PRICE PLEDGED",'Teacher BKF &amp; Education Fair'!$P$8,"SOLD BY","LH-O"),GETPIVOTDATA("PRICE PLEDGED",'Toad Suck Daze'!$P$8,"SOLD BY","LH"),GETPIVOTDATA("PRICE PLEDGED",'Toad Suck Daze'!$P$8,"SOLD BY","LH-N"),GETPIVOTDATA("PRICE PLEDGED",'Toad Suck Daze'!$P$8,"SOLD BY","LH-O"),GETPIVOTDATA("PRICE PLEDGED",'Welcome to Conway Box'!$P$8,"SOLD BY","LH"),GETPIVOTDATA("PRICE PLEDGED",'Welcome to Conway Box'!$P$8,"SOLD BY","LH-N"),GETPIVOTDATA("PRICE PLEDGED",'Welcome to Conway Box'!$P$8,"SOLD BY","LH-O"),GETPIVOTDATA("PRICE PLEDGED",'Women in Business'!$P$8,"SOLD BY","LH"),GETPIVOTDATA("PRICE PLEDGED",'Women in Business'!$P$8,"SOLD BY","LH-N"),GETPIVOTDATA("PRICE PLEDGED",'Women in Business'!$P$8,"SOLD BY","LH-O"))</f>
        <v>535265</v>
      </c>
      <c r="F9" s="35">
        <v>650000</v>
      </c>
      <c r="G9" s="136">
        <f t="shared" si="0"/>
        <v>0.82348461538461537</v>
      </c>
    </row>
    <row r="10" spans="4:7" x14ac:dyDescent="0.35">
      <c r="D10" s="33"/>
      <c r="E10" s="63"/>
      <c r="F10" s="63"/>
      <c r="G10" s="137" t="e">
        <f t="shared" si="0"/>
        <v>#DIV/0!</v>
      </c>
    </row>
    <row r="11" spans="4:7" x14ac:dyDescent="0.35">
      <c r="D11" s="73" t="s">
        <v>99</v>
      </c>
      <c r="E11" s="37">
        <f>SUM(E4:E10)</f>
        <v>2436755</v>
      </c>
      <c r="F11" s="37">
        <f>SUM(F4:F9)</f>
        <v>2350000</v>
      </c>
      <c r="G11" s="138">
        <f t="shared" si="0"/>
        <v>1.0369170212765957</v>
      </c>
    </row>
  </sheetData>
  <mergeCells count="1">
    <mergeCell ref="D3:E3"/>
  </mergeCells>
  <pageMargins left="0.7" right="0.7" top="0.75" bottom="0.75" header="0.3" footer="0.3"/>
  <ignoredErrors>
    <ignoredError sqref="G10" evalError="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D7CC2-F393-4643-8444-EDC56EC9BF70}">
  <dimension ref="A1:F768"/>
  <sheetViews>
    <sheetView workbookViewId="0">
      <pane ySplit="2" topLeftCell="A7" activePane="bottomLeft" state="frozen"/>
      <selection pane="bottomLeft" activeCell="A4" sqref="A4"/>
    </sheetView>
  </sheetViews>
  <sheetFormatPr defaultColWidth="43" defaultRowHeight="14.5" x14ac:dyDescent="0.35"/>
  <cols>
    <col min="1" max="1" width="65" customWidth="1"/>
    <col min="2" max="2" width="14.7265625" bestFit="1" customWidth="1"/>
    <col min="3" max="3" width="19.81640625" bestFit="1" customWidth="1"/>
    <col min="4" max="4" width="15" bestFit="1" customWidth="1"/>
    <col min="5" max="5" width="20.81640625" customWidth="1"/>
    <col min="6" max="6" width="21.81640625" bestFit="1" customWidth="1"/>
  </cols>
  <sheetData>
    <row r="1" spans="1:6" x14ac:dyDescent="0.35">
      <c r="A1" s="143" t="s">
        <v>2699</v>
      </c>
      <c r="B1" s="143" t="s">
        <v>2700</v>
      </c>
      <c r="C1" s="143" t="s">
        <v>2701</v>
      </c>
      <c r="D1" s="143">
        <v>2024</v>
      </c>
      <c r="F1" s="117" t="s">
        <v>2702</v>
      </c>
    </row>
    <row r="2" spans="1:6" x14ac:dyDescent="0.35">
      <c r="A2" s="50" t="s">
        <v>31</v>
      </c>
      <c r="B2" s="50" t="s">
        <v>2693</v>
      </c>
      <c r="C2" s="80" t="s">
        <v>1870</v>
      </c>
      <c r="D2" s="50" t="s">
        <v>1870</v>
      </c>
    </row>
    <row r="3" spans="1:6" x14ac:dyDescent="0.35">
      <c r="A3" s="89" t="s">
        <v>116</v>
      </c>
      <c r="B3" s="50" t="s">
        <v>2693</v>
      </c>
      <c r="C3" s="80" t="s">
        <v>1872</v>
      </c>
      <c r="D3" s="50"/>
    </row>
    <row r="4" spans="1:6" x14ac:dyDescent="0.35">
      <c r="A4" s="50" t="s">
        <v>126</v>
      </c>
      <c r="B4" s="50" t="s">
        <v>2693</v>
      </c>
      <c r="C4" s="80" t="s">
        <v>1870</v>
      </c>
      <c r="D4" s="50" t="s">
        <v>1872</v>
      </c>
    </row>
    <row r="5" spans="1:6" x14ac:dyDescent="0.35">
      <c r="A5" s="89" t="s">
        <v>1348</v>
      </c>
      <c r="B5" s="50" t="s">
        <v>2693</v>
      </c>
      <c r="C5" s="80" t="s">
        <v>1872</v>
      </c>
      <c r="D5" s="50" t="s">
        <v>1143</v>
      </c>
    </row>
    <row r="6" spans="1:6" x14ac:dyDescent="0.35">
      <c r="A6" s="89" t="s">
        <v>1739</v>
      </c>
      <c r="B6" s="50" t="s">
        <v>2693</v>
      </c>
      <c r="C6" s="80" t="s">
        <v>1870</v>
      </c>
      <c r="D6" s="50"/>
    </row>
    <row r="7" spans="1:6" x14ac:dyDescent="0.35">
      <c r="A7" s="50" t="s">
        <v>1064</v>
      </c>
      <c r="B7" s="50" t="s">
        <v>2693</v>
      </c>
      <c r="C7" s="80" t="s">
        <v>1872</v>
      </c>
      <c r="D7" s="50" t="s">
        <v>1143</v>
      </c>
    </row>
    <row r="8" spans="1:6" x14ac:dyDescent="0.35">
      <c r="A8" s="89" t="s">
        <v>1679</v>
      </c>
      <c r="B8" s="50" t="s">
        <v>2693</v>
      </c>
      <c r="C8" s="80" t="s">
        <v>1870</v>
      </c>
      <c r="D8" s="50"/>
    </row>
    <row r="9" spans="1:6" x14ac:dyDescent="0.35">
      <c r="A9" s="50" t="s">
        <v>170</v>
      </c>
      <c r="B9" s="50" t="s">
        <v>2693</v>
      </c>
      <c r="C9" s="80" t="s">
        <v>2721</v>
      </c>
      <c r="D9" s="90" t="s">
        <v>2722</v>
      </c>
    </row>
    <row r="10" spans="1:6" x14ac:dyDescent="0.35">
      <c r="A10" s="50" t="s">
        <v>330</v>
      </c>
      <c r="B10" s="50" t="s">
        <v>2693</v>
      </c>
      <c r="C10" s="80" t="s">
        <v>1870</v>
      </c>
      <c r="D10" s="50"/>
    </row>
    <row r="11" spans="1:6" x14ac:dyDescent="0.35">
      <c r="A11" s="89" t="s">
        <v>193</v>
      </c>
      <c r="B11" s="50" t="s">
        <v>2693</v>
      </c>
      <c r="C11" s="80" t="s">
        <v>1872</v>
      </c>
      <c r="D11" s="50" t="s">
        <v>1872</v>
      </c>
    </row>
    <row r="12" spans="1:6" x14ac:dyDescent="0.35">
      <c r="A12" s="50" t="s">
        <v>187</v>
      </c>
      <c r="B12" s="50" t="s">
        <v>2693</v>
      </c>
      <c r="C12" s="80" t="s">
        <v>2707</v>
      </c>
      <c r="D12" s="50" t="s">
        <v>1872</v>
      </c>
    </row>
    <row r="13" spans="1:6" x14ac:dyDescent="0.35">
      <c r="A13" s="89" t="s">
        <v>2388</v>
      </c>
      <c r="B13" s="50" t="s">
        <v>2693</v>
      </c>
      <c r="C13" s="80" t="s">
        <v>1872</v>
      </c>
      <c r="D13" s="50"/>
    </row>
    <row r="14" spans="1:6" x14ac:dyDescent="0.35">
      <c r="A14" s="50" t="s">
        <v>2724</v>
      </c>
      <c r="B14" s="50" t="s">
        <v>2693</v>
      </c>
      <c r="C14" s="80" t="s">
        <v>2707</v>
      </c>
      <c r="D14" s="50" t="s">
        <v>1870</v>
      </c>
    </row>
    <row r="15" spans="1:6" x14ac:dyDescent="0.35">
      <c r="A15" s="89" t="s">
        <v>218</v>
      </c>
      <c r="B15" s="50" t="s">
        <v>2693</v>
      </c>
      <c r="C15" s="80" t="s">
        <v>1872</v>
      </c>
      <c r="D15" s="50" t="s">
        <v>1873</v>
      </c>
    </row>
    <row r="16" spans="1:6" x14ac:dyDescent="0.35">
      <c r="A16" s="50" t="s">
        <v>1818</v>
      </c>
      <c r="B16" s="50" t="s">
        <v>2693</v>
      </c>
      <c r="C16" s="80" t="s">
        <v>1870</v>
      </c>
      <c r="D16" s="50" t="s">
        <v>1143</v>
      </c>
    </row>
    <row r="17" spans="1:4" x14ac:dyDescent="0.35">
      <c r="A17" s="50" t="s">
        <v>51</v>
      </c>
      <c r="B17" s="50" t="s">
        <v>2693</v>
      </c>
      <c r="C17" s="80" t="s">
        <v>1870</v>
      </c>
      <c r="D17" s="50" t="s">
        <v>1872</v>
      </c>
    </row>
    <row r="18" spans="1:4" x14ac:dyDescent="0.35">
      <c r="A18" s="50" t="s">
        <v>204</v>
      </c>
      <c r="B18" s="50" t="s">
        <v>2693</v>
      </c>
      <c r="C18" s="80" t="s">
        <v>1870</v>
      </c>
      <c r="D18" s="50" t="s">
        <v>1870</v>
      </c>
    </row>
    <row r="19" spans="1:4" x14ac:dyDescent="0.35">
      <c r="A19" s="50" t="s">
        <v>243</v>
      </c>
      <c r="B19" s="50" t="s">
        <v>2693</v>
      </c>
      <c r="C19" s="80" t="s">
        <v>1872</v>
      </c>
      <c r="D19" s="50" t="s">
        <v>1870</v>
      </c>
    </row>
    <row r="20" spans="1:4" x14ac:dyDescent="0.35">
      <c r="A20" s="89" t="s">
        <v>269</v>
      </c>
      <c r="B20" s="50" t="s">
        <v>2693</v>
      </c>
      <c r="C20" s="80" t="s">
        <v>1872</v>
      </c>
      <c r="D20" s="50"/>
    </row>
    <row r="21" spans="1:4" x14ac:dyDescent="0.35">
      <c r="A21" s="50" t="s">
        <v>130</v>
      </c>
      <c r="B21" s="50" t="s">
        <v>2693</v>
      </c>
      <c r="C21" s="80" t="s">
        <v>1872</v>
      </c>
      <c r="D21" s="50" t="s">
        <v>1870</v>
      </c>
    </row>
    <row r="22" spans="1:4" x14ac:dyDescent="0.35">
      <c r="A22" s="89" t="s">
        <v>264</v>
      </c>
      <c r="B22" s="50" t="s">
        <v>2693</v>
      </c>
      <c r="C22" s="80" t="s">
        <v>1872</v>
      </c>
      <c r="D22" s="50"/>
    </row>
    <row r="23" spans="1:4" x14ac:dyDescent="0.35">
      <c r="A23" s="50" t="s">
        <v>288</v>
      </c>
      <c r="B23" s="50" t="s">
        <v>2693</v>
      </c>
      <c r="C23" s="80" t="s">
        <v>1872</v>
      </c>
      <c r="D23" s="50" t="s">
        <v>1870</v>
      </c>
    </row>
    <row r="24" spans="1:4" x14ac:dyDescent="0.35">
      <c r="A24" s="50" t="s">
        <v>515</v>
      </c>
      <c r="B24" s="50" t="s">
        <v>2693</v>
      </c>
      <c r="C24" s="80" t="s">
        <v>1870</v>
      </c>
      <c r="D24" s="50" t="s">
        <v>1870</v>
      </c>
    </row>
    <row r="25" spans="1:4" x14ac:dyDescent="0.35">
      <c r="A25" s="89" t="s">
        <v>248</v>
      </c>
      <c r="B25" s="50" t="s">
        <v>2693</v>
      </c>
      <c r="C25" s="80" t="s">
        <v>1872</v>
      </c>
      <c r="D25" s="50" t="s">
        <v>1872</v>
      </c>
    </row>
    <row r="26" spans="1:4" x14ac:dyDescent="0.35">
      <c r="A26" s="50" t="s">
        <v>298</v>
      </c>
      <c r="B26" s="50" t="s">
        <v>2693</v>
      </c>
      <c r="C26" s="80" t="s">
        <v>1872</v>
      </c>
      <c r="D26" s="50" t="s">
        <v>1872</v>
      </c>
    </row>
    <row r="27" spans="1:4" x14ac:dyDescent="0.35">
      <c r="A27" s="50" t="s">
        <v>57</v>
      </c>
      <c r="B27" s="50" t="s">
        <v>2693</v>
      </c>
      <c r="C27" s="80" t="s">
        <v>2707</v>
      </c>
      <c r="D27" s="50" t="s">
        <v>1870</v>
      </c>
    </row>
    <row r="28" spans="1:4" x14ac:dyDescent="0.35">
      <c r="A28" s="103" t="s">
        <v>2607</v>
      </c>
      <c r="B28" s="103" t="s">
        <v>2693</v>
      </c>
      <c r="C28" s="103" t="s">
        <v>1872</v>
      </c>
      <c r="D28" s="103"/>
    </row>
    <row r="29" spans="1:4" x14ac:dyDescent="0.35">
      <c r="A29" s="50" t="s">
        <v>801</v>
      </c>
      <c r="B29" s="50" t="s">
        <v>2693</v>
      </c>
      <c r="C29" s="80" t="s">
        <v>1870</v>
      </c>
      <c r="D29" s="50" t="s">
        <v>1872</v>
      </c>
    </row>
    <row r="30" spans="1:4" x14ac:dyDescent="0.35">
      <c r="A30" s="50" t="s">
        <v>232</v>
      </c>
      <c r="B30" s="50" t="s">
        <v>2693</v>
      </c>
      <c r="C30" s="80" t="s">
        <v>1870</v>
      </c>
      <c r="D30" s="50" t="s">
        <v>1872</v>
      </c>
    </row>
    <row r="31" spans="1:4" x14ac:dyDescent="0.35">
      <c r="A31" s="50" t="s">
        <v>235</v>
      </c>
      <c r="B31" s="50" t="s">
        <v>2693</v>
      </c>
      <c r="C31" s="80" t="s">
        <v>1870</v>
      </c>
      <c r="D31" s="50" t="s">
        <v>1872</v>
      </c>
    </row>
    <row r="32" spans="1:4" x14ac:dyDescent="0.35">
      <c r="A32" s="50" t="s">
        <v>69</v>
      </c>
      <c r="B32" s="50" t="s">
        <v>2693</v>
      </c>
      <c r="C32" s="80" t="s">
        <v>1872</v>
      </c>
      <c r="D32" s="50" t="s">
        <v>1872</v>
      </c>
    </row>
    <row r="33" spans="1:4" x14ac:dyDescent="0.35">
      <c r="A33" s="89" t="s">
        <v>70</v>
      </c>
      <c r="B33" s="50" t="s">
        <v>2693</v>
      </c>
      <c r="C33" s="80" t="s">
        <v>1870</v>
      </c>
      <c r="D33" s="50" t="s">
        <v>1306</v>
      </c>
    </row>
    <row r="34" spans="1:4" x14ac:dyDescent="0.35">
      <c r="A34" s="50" t="s">
        <v>40</v>
      </c>
      <c r="B34" s="50" t="s">
        <v>2693</v>
      </c>
      <c r="C34" s="80" t="s">
        <v>1870</v>
      </c>
      <c r="D34" s="50" t="s">
        <v>1872</v>
      </c>
    </row>
    <row r="35" spans="1:4" x14ac:dyDescent="0.35">
      <c r="A35" s="50" t="s">
        <v>52</v>
      </c>
      <c r="B35" s="50" t="s">
        <v>2693</v>
      </c>
      <c r="C35" s="80" t="s">
        <v>2707</v>
      </c>
      <c r="D35" s="50" t="s">
        <v>1870</v>
      </c>
    </row>
    <row r="36" spans="1:4" x14ac:dyDescent="0.35">
      <c r="A36" s="39" t="s">
        <v>1888</v>
      </c>
      <c r="B36" s="9" t="s">
        <v>2693</v>
      </c>
      <c r="C36" s="74"/>
      <c r="D36" s="74" t="s">
        <v>2717</v>
      </c>
    </row>
    <row r="37" spans="1:4" x14ac:dyDescent="0.35">
      <c r="A37" s="39" t="s">
        <v>1800</v>
      </c>
      <c r="B37" s="9" t="s">
        <v>2693</v>
      </c>
      <c r="C37" s="74"/>
      <c r="D37" s="9" t="s">
        <v>1872</v>
      </c>
    </row>
    <row r="38" spans="1:4" x14ac:dyDescent="0.35">
      <c r="A38" s="9" t="s">
        <v>132</v>
      </c>
      <c r="B38" s="9" t="s">
        <v>2693</v>
      </c>
      <c r="C38" s="74"/>
      <c r="D38" s="9"/>
    </row>
    <row r="39" spans="1:4" x14ac:dyDescent="0.35">
      <c r="A39" s="9" t="s">
        <v>2827</v>
      </c>
      <c r="B39" s="9" t="s">
        <v>2693</v>
      </c>
      <c r="C39" s="74"/>
      <c r="D39" s="9"/>
    </row>
    <row r="40" spans="1:4" x14ac:dyDescent="0.35">
      <c r="A40" s="9" t="s">
        <v>2835</v>
      </c>
      <c r="B40" s="9" t="s">
        <v>2693</v>
      </c>
      <c r="C40" s="74"/>
      <c r="D40" s="9"/>
    </row>
    <row r="41" spans="1:4" x14ac:dyDescent="0.35">
      <c r="A41" s="39" t="s">
        <v>181</v>
      </c>
      <c r="B41" s="9" t="s">
        <v>2693</v>
      </c>
      <c r="C41" s="74"/>
      <c r="D41" s="9"/>
    </row>
    <row r="42" spans="1:4" x14ac:dyDescent="0.35">
      <c r="A42" s="39" t="s">
        <v>2593</v>
      </c>
      <c r="B42" s="9" t="s">
        <v>2693</v>
      </c>
      <c r="C42" s="74"/>
      <c r="D42" s="9" t="s">
        <v>1872</v>
      </c>
    </row>
    <row r="43" spans="1:4" x14ac:dyDescent="0.35">
      <c r="A43" s="39" t="s">
        <v>2864</v>
      </c>
      <c r="B43" s="9" t="s">
        <v>2693</v>
      </c>
      <c r="C43" s="74"/>
      <c r="D43" s="9"/>
    </row>
    <row r="44" spans="1:4" x14ac:dyDescent="0.35">
      <c r="A44" s="39" t="s">
        <v>2866</v>
      </c>
      <c r="B44" s="9" t="s">
        <v>2693</v>
      </c>
      <c r="C44" s="74"/>
      <c r="D44" s="9"/>
    </row>
    <row r="45" spans="1:4" x14ac:dyDescent="0.35">
      <c r="A45" s="39" t="s">
        <v>640</v>
      </c>
      <c r="B45" s="9" t="s">
        <v>2693</v>
      </c>
      <c r="C45" s="74"/>
      <c r="D45" s="9" t="s">
        <v>1873</v>
      </c>
    </row>
    <row r="46" spans="1:4" x14ac:dyDescent="0.35">
      <c r="A46" s="39" t="s">
        <v>2871</v>
      </c>
      <c r="B46" s="9" t="s">
        <v>2693</v>
      </c>
      <c r="C46" s="74"/>
      <c r="D46" s="9"/>
    </row>
    <row r="47" spans="1:4" x14ac:dyDescent="0.35">
      <c r="A47" s="9" t="s">
        <v>220</v>
      </c>
      <c r="B47" s="9" t="s">
        <v>2693</v>
      </c>
      <c r="C47" s="74"/>
      <c r="D47" s="9" t="s">
        <v>1872</v>
      </c>
    </row>
    <row r="48" spans="1:4" x14ac:dyDescent="0.35">
      <c r="A48" s="9" t="s">
        <v>226</v>
      </c>
      <c r="B48" s="9" t="s">
        <v>2693</v>
      </c>
      <c r="C48" s="74"/>
      <c r="D48" s="9" t="s">
        <v>1873</v>
      </c>
    </row>
    <row r="49" spans="1:4" x14ac:dyDescent="0.35">
      <c r="A49" s="9" t="s">
        <v>2239</v>
      </c>
      <c r="B49" s="9" t="s">
        <v>2693</v>
      </c>
      <c r="C49" s="74"/>
      <c r="D49" s="9" t="s">
        <v>1872</v>
      </c>
    </row>
    <row r="50" spans="1:4" x14ac:dyDescent="0.35">
      <c r="A50" s="140" t="s">
        <v>2881</v>
      </c>
      <c r="B50" s="34" t="s">
        <v>2693</v>
      </c>
      <c r="C50" s="34"/>
      <c r="D50" s="34"/>
    </row>
    <row r="51" spans="1:4" x14ac:dyDescent="0.35">
      <c r="A51" s="9" t="s">
        <v>2938</v>
      </c>
      <c r="B51" s="9" t="s">
        <v>2693</v>
      </c>
      <c r="C51" s="74"/>
      <c r="D51" s="9"/>
    </row>
    <row r="52" spans="1:4" x14ac:dyDescent="0.35">
      <c r="A52" s="34" t="s">
        <v>2986</v>
      </c>
      <c r="B52" s="34" t="s">
        <v>2693</v>
      </c>
      <c r="C52" s="34"/>
      <c r="D52" s="34"/>
    </row>
    <row r="53" spans="1:4" x14ac:dyDescent="0.35">
      <c r="A53" s="39" t="s">
        <v>344</v>
      </c>
      <c r="B53" s="9" t="s">
        <v>2693</v>
      </c>
      <c r="C53" s="74"/>
      <c r="D53" s="9" t="s">
        <v>1872</v>
      </c>
    </row>
    <row r="54" spans="1:4" x14ac:dyDescent="0.35">
      <c r="A54" s="39" t="s">
        <v>87</v>
      </c>
      <c r="B54" s="9" t="s">
        <v>2693</v>
      </c>
      <c r="C54" s="74"/>
      <c r="D54" s="9" t="s">
        <v>1143</v>
      </c>
    </row>
    <row r="55" spans="1:4" x14ac:dyDescent="0.35">
      <c r="A55" s="9" t="s">
        <v>279</v>
      </c>
      <c r="B55" s="9" t="s">
        <v>2693</v>
      </c>
      <c r="C55" s="74"/>
      <c r="D55" s="9" t="s">
        <v>1872</v>
      </c>
    </row>
    <row r="56" spans="1:4" x14ac:dyDescent="0.35">
      <c r="A56" s="9" t="s">
        <v>521</v>
      </c>
      <c r="B56" s="9" t="s">
        <v>2693</v>
      </c>
      <c r="C56" s="74"/>
      <c r="D56" s="9" t="s">
        <v>1143</v>
      </c>
    </row>
    <row r="57" spans="1:4" x14ac:dyDescent="0.35">
      <c r="A57" s="39" t="s">
        <v>146</v>
      </c>
      <c r="B57" s="9" t="s">
        <v>2693</v>
      </c>
      <c r="C57" s="74"/>
      <c r="D57" s="9" t="s">
        <v>1872</v>
      </c>
    </row>
    <row r="58" spans="1:4" x14ac:dyDescent="0.35">
      <c r="A58" s="140" t="s">
        <v>3045</v>
      </c>
      <c r="B58" s="34" t="s">
        <v>2693</v>
      </c>
      <c r="C58" s="34"/>
      <c r="D58" s="34"/>
    </row>
    <row r="59" spans="1:4" x14ac:dyDescent="0.35">
      <c r="A59" s="9" t="s">
        <v>1684</v>
      </c>
      <c r="B59" s="9" t="s">
        <v>2693</v>
      </c>
      <c r="C59" s="74"/>
      <c r="D59" s="9" t="s">
        <v>1877</v>
      </c>
    </row>
    <row r="60" spans="1:4" x14ac:dyDescent="0.35">
      <c r="A60" s="9" t="s">
        <v>1055</v>
      </c>
      <c r="B60" s="9" t="s">
        <v>2693</v>
      </c>
      <c r="C60" s="74"/>
      <c r="D60" s="9"/>
    </row>
    <row r="61" spans="1:4" x14ac:dyDescent="0.35">
      <c r="A61" s="39" t="s">
        <v>286</v>
      </c>
      <c r="B61" s="9" t="s">
        <v>2693</v>
      </c>
      <c r="C61" s="74"/>
      <c r="D61" s="9" t="s">
        <v>1872</v>
      </c>
    </row>
    <row r="62" spans="1:4" x14ac:dyDescent="0.35">
      <c r="A62" s="9" t="s">
        <v>1312</v>
      </c>
      <c r="B62" s="9" t="s">
        <v>2693</v>
      </c>
      <c r="C62" s="74"/>
      <c r="D62" s="9"/>
    </row>
    <row r="63" spans="1:4" x14ac:dyDescent="0.35">
      <c r="A63" s="9" t="s">
        <v>3091</v>
      </c>
      <c r="B63" s="9" t="s">
        <v>2693</v>
      </c>
      <c r="C63" s="74"/>
      <c r="D63" s="9"/>
    </row>
    <row r="64" spans="1:4" x14ac:dyDescent="0.35">
      <c r="A64" s="9" t="s">
        <v>1395</v>
      </c>
      <c r="B64" s="9" t="s">
        <v>2693</v>
      </c>
      <c r="C64" s="74"/>
      <c r="D64" s="9" t="s">
        <v>1876</v>
      </c>
    </row>
    <row r="65" spans="1:4" x14ac:dyDescent="0.35">
      <c r="A65" s="9" t="s">
        <v>1597</v>
      </c>
      <c r="B65" s="9" t="s">
        <v>2693</v>
      </c>
      <c r="C65" s="74"/>
      <c r="D65" s="9"/>
    </row>
    <row r="66" spans="1:4" x14ac:dyDescent="0.35">
      <c r="A66" s="9" t="s">
        <v>3105</v>
      </c>
      <c r="B66" s="9" t="s">
        <v>2693</v>
      </c>
      <c r="C66" s="74"/>
      <c r="D66" s="9" t="s">
        <v>1143</v>
      </c>
    </row>
    <row r="67" spans="1:4" x14ac:dyDescent="0.35">
      <c r="A67" s="9" t="s">
        <v>401</v>
      </c>
      <c r="B67" s="9" t="s">
        <v>2693</v>
      </c>
      <c r="C67" s="74"/>
      <c r="D67" s="9" t="s">
        <v>1872</v>
      </c>
    </row>
    <row r="68" spans="1:4" x14ac:dyDescent="0.35">
      <c r="A68" s="9" t="s">
        <v>3122</v>
      </c>
      <c r="B68" s="9" t="s">
        <v>2693</v>
      </c>
      <c r="C68" s="74"/>
      <c r="D68" s="9"/>
    </row>
    <row r="69" spans="1:4" x14ac:dyDescent="0.35">
      <c r="A69" s="39" t="s">
        <v>182</v>
      </c>
      <c r="B69" s="9" t="s">
        <v>2693</v>
      </c>
      <c r="C69" s="74"/>
      <c r="D69" s="9"/>
    </row>
    <row r="70" spans="1:4" x14ac:dyDescent="0.35">
      <c r="A70" s="39" t="s">
        <v>289</v>
      </c>
      <c r="B70" s="9" t="s">
        <v>2693</v>
      </c>
      <c r="C70" s="74"/>
      <c r="D70" s="9" t="s">
        <v>1872</v>
      </c>
    </row>
    <row r="71" spans="1:4" x14ac:dyDescent="0.35">
      <c r="A71" s="39" t="s">
        <v>140</v>
      </c>
      <c r="B71" s="9" t="s">
        <v>2852</v>
      </c>
      <c r="C71" s="74"/>
      <c r="D71" s="9" t="s">
        <v>1872</v>
      </c>
    </row>
    <row r="72" spans="1:4" x14ac:dyDescent="0.35">
      <c r="A72" s="50" t="s">
        <v>880</v>
      </c>
      <c r="B72" s="50" t="s">
        <v>2694</v>
      </c>
      <c r="C72" s="80" t="s">
        <v>1872</v>
      </c>
      <c r="D72" s="50"/>
    </row>
    <row r="73" spans="1:4" x14ac:dyDescent="0.35">
      <c r="A73" s="89" t="s">
        <v>176</v>
      </c>
      <c r="B73" s="50" t="s">
        <v>2694</v>
      </c>
      <c r="C73" s="80" t="s">
        <v>1872</v>
      </c>
      <c r="D73" s="50"/>
    </row>
    <row r="74" spans="1:4" x14ac:dyDescent="0.35">
      <c r="A74" s="89" t="s">
        <v>1532</v>
      </c>
      <c r="B74" s="50" t="s">
        <v>2694</v>
      </c>
      <c r="C74" s="80" t="s">
        <v>1870</v>
      </c>
      <c r="D74" s="50" t="s">
        <v>1872</v>
      </c>
    </row>
    <row r="75" spans="1:4" x14ac:dyDescent="0.35">
      <c r="A75" s="50" t="s">
        <v>2725</v>
      </c>
      <c r="B75" s="50" t="s">
        <v>2694</v>
      </c>
      <c r="C75" s="80" t="s">
        <v>2707</v>
      </c>
      <c r="D75" s="50" t="s">
        <v>1876</v>
      </c>
    </row>
    <row r="76" spans="1:4" x14ac:dyDescent="0.35">
      <c r="A76" s="50" t="s">
        <v>260</v>
      </c>
      <c r="B76" s="50" t="s">
        <v>2694</v>
      </c>
      <c r="C76" s="80" t="s">
        <v>1872</v>
      </c>
      <c r="D76" s="50" t="s">
        <v>1872</v>
      </c>
    </row>
    <row r="77" spans="1:4" x14ac:dyDescent="0.35">
      <c r="A77" s="50" t="s">
        <v>194</v>
      </c>
      <c r="B77" s="50" t="s">
        <v>2694</v>
      </c>
      <c r="C77" s="80" t="s">
        <v>1872</v>
      </c>
      <c r="D77" s="50" t="s">
        <v>1880</v>
      </c>
    </row>
    <row r="78" spans="1:4" x14ac:dyDescent="0.35">
      <c r="A78" s="50" t="s">
        <v>2749</v>
      </c>
      <c r="B78" s="50" t="s">
        <v>2694</v>
      </c>
      <c r="C78" s="80" t="s">
        <v>2707</v>
      </c>
      <c r="D78" s="50" t="s">
        <v>1876</v>
      </c>
    </row>
    <row r="79" spans="1:4" x14ac:dyDescent="0.35">
      <c r="A79" s="39" t="s">
        <v>2799</v>
      </c>
      <c r="B79" s="9" t="s">
        <v>2694</v>
      </c>
      <c r="C79" s="74"/>
      <c r="D79" s="9" t="s">
        <v>1143</v>
      </c>
    </row>
    <row r="80" spans="1:4" x14ac:dyDescent="0.35">
      <c r="A80" s="39" t="s">
        <v>2802</v>
      </c>
      <c r="B80" s="9" t="s">
        <v>2694</v>
      </c>
      <c r="C80" s="110"/>
      <c r="D80" s="34" t="s">
        <v>1880</v>
      </c>
    </row>
    <row r="81" spans="1:4" x14ac:dyDescent="0.35">
      <c r="A81" s="39" t="s">
        <v>2809</v>
      </c>
      <c r="B81" s="9" t="s">
        <v>2694</v>
      </c>
      <c r="C81" s="110"/>
      <c r="D81" s="34"/>
    </row>
    <row r="82" spans="1:4" x14ac:dyDescent="0.35">
      <c r="A82" s="39" t="s">
        <v>1929</v>
      </c>
      <c r="B82" s="9" t="s">
        <v>2694</v>
      </c>
      <c r="C82" s="74"/>
      <c r="D82" s="9"/>
    </row>
    <row r="83" spans="1:4" x14ac:dyDescent="0.35">
      <c r="A83" s="34" t="s">
        <v>2906</v>
      </c>
      <c r="B83" s="34" t="s">
        <v>2694</v>
      </c>
      <c r="C83" s="34"/>
      <c r="D83" s="34"/>
    </row>
    <row r="84" spans="1:4" x14ac:dyDescent="0.35">
      <c r="A84" s="9" t="s">
        <v>2947</v>
      </c>
      <c r="B84" s="9" t="s">
        <v>2694</v>
      </c>
      <c r="C84" s="74"/>
      <c r="D84" s="9" t="s">
        <v>1872</v>
      </c>
    </row>
    <row r="85" spans="1:4" x14ac:dyDescent="0.35">
      <c r="A85" s="34" t="s">
        <v>2956</v>
      </c>
      <c r="B85" s="34" t="s">
        <v>2694</v>
      </c>
      <c r="C85" s="34"/>
      <c r="D85" s="34"/>
    </row>
    <row r="86" spans="1:4" x14ac:dyDescent="0.35">
      <c r="A86" s="9" t="s">
        <v>561</v>
      </c>
      <c r="B86" s="9" t="s">
        <v>2694</v>
      </c>
      <c r="C86" s="74"/>
      <c r="D86" s="9" t="s">
        <v>1876</v>
      </c>
    </row>
    <row r="87" spans="1:4" x14ac:dyDescent="0.35">
      <c r="A87" s="9" t="s">
        <v>2979</v>
      </c>
      <c r="B87" s="9" t="s">
        <v>2694</v>
      </c>
      <c r="C87" s="74"/>
      <c r="D87" s="9"/>
    </row>
    <row r="88" spans="1:4" x14ac:dyDescent="0.35">
      <c r="A88" s="9" t="s">
        <v>2992</v>
      </c>
      <c r="B88" s="9" t="s">
        <v>2694</v>
      </c>
      <c r="C88" s="74"/>
      <c r="D88" s="9"/>
    </row>
    <row r="89" spans="1:4" x14ac:dyDescent="0.35">
      <c r="A89" s="9" t="s">
        <v>1721</v>
      </c>
      <c r="B89" s="9" t="s">
        <v>2694</v>
      </c>
      <c r="C89" s="74"/>
      <c r="D89" s="9" t="s">
        <v>1870</v>
      </c>
    </row>
    <row r="90" spans="1:4" x14ac:dyDescent="0.35">
      <c r="A90" s="39" t="s">
        <v>1504</v>
      </c>
      <c r="B90" s="9" t="s">
        <v>2694</v>
      </c>
      <c r="C90" s="74"/>
      <c r="D90" s="9"/>
    </row>
    <row r="91" spans="1:4" x14ac:dyDescent="0.35">
      <c r="A91" s="34" t="s">
        <v>3070</v>
      </c>
      <c r="B91" s="34" t="s">
        <v>2694</v>
      </c>
      <c r="C91" s="34"/>
      <c r="D91" s="34"/>
    </row>
    <row r="92" spans="1:4" x14ac:dyDescent="0.35">
      <c r="A92" s="9" t="s">
        <v>3095</v>
      </c>
      <c r="B92" s="9" t="s">
        <v>2694</v>
      </c>
      <c r="C92" s="74"/>
      <c r="D92" s="9"/>
    </row>
    <row r="93" spans="1:4" x14ac:dyDescent="0.35">
      <c r="A93" s="9" t="s">
        <v>1723</v>
      </c>
      <c r="B93" s="9" t="s">
        <v>2694</v>
      </c>
      <c r="C93" s="74"/>
      <c r="D93" s="9" t="s">
        <v>1870</v>
      </c>
    </row>
    <row r="94" spans="1:4" x14ac:dyDescent="0.35">
      <c r="A94" s="39" t="s">
        <v>507</v>
      </c>
      <c r="B94" s="9" t="s">
        <v>2694</v>
      </c>
      <c r="C94" s="74"/>
      <c r="D94" s="9" t="s">
        <v>1872</v>
      </c>
    </row>
    <row r="95" spans="1:4" x14ac:dyDescent="0.35">
      <c r="A95" s="9" t="s">
        <v>3132</v>
      </c>
      <c r="B95" s="9" t="s">
        <v>2694</v>
      </c>
      <c r="C95" s="74"/>
      <c r="D95" s="9" t="s">
        <v>1876</v>
      </c>
    </row>
    <row r="96" spans="1:4" x14ac:dyDescent="0.35">
      <c r="A96" s="9" t="s">
        <v>1730</v>
      </c>
      <c r="B96" s="9" t="s">
        <v>2694</v>
      </c>
      <c r="C96" s="74"/>
      <c r="D96" s="9" t="s">
        <v>1876</v>
      </c>
    </row>
    <row r="97" spans="1:4" x14ac:dyDescent="0.35">
      <c r="A97" s="9" t="s">
        <v>1186</v>
      </c>
      <c r="B97" s="9" t="s">
        <v>2981</v>
      </c>
      <c r="C97" s="74"/>
      <c r="D97" s="9" t="s">
        <v>1874</v>
      </c>
    </row>
    <row r="98" spans="1:4" x14ac:dyDescent="0.35">
      <c r="A98" s="50" t="s">
        <v>2711</v>
      </c>
      <c r="B98" s="50" t="s">
        <v>2695</v>
      </c>
      <c r="C98" s="80" t="s">
        <v>2707</v>
      </c>
      <c r="D98" s="50" t="s">
        <v>1872</v>
      </c>
    </row>
    <row r="99" spans="1:4" x14ac:dyDescent="0.35">
      <c r="A99" s="50" t="s">
        <v>2712</v>
      </c>
      <c r="B99" s="50" t="s">
        <v>2695</v>
      </c>
      <c r="C99" s="80" t="s">
        <v>1870</v>
      </c>
      <c r="D99" s="50" t="s">
        <v>1872</v>
      </c>
    </row>
    <row r="100" spans="1:4" x14ac:dyDescent="0.35">
      <c r="A100" s="89" t="s">
        <v>596</v>
      </c>
      <c r="B100" s="50" t="s">
        <v>2695</v>
      </c>
      <c r="C100" s="80" t="s">
        <v>2707</v>
      </c>
      <c r="D100" s="50" t="s">
        <v>1306</v>
      </c>
    </row>
    <row r="101" spans="1:4" x14ac:dyDescent="0.35">
      <c r="A101" s="142" t="s">
        <v>410</v>
      </c>
      <c r="B101" s="103" t="s">
        <v>2695</v>
      </c>
      <c r="C101" s="103" t="s">
        <v>1872</v>
      </c>
      <c r="D101" s="103"/>
    </row>
    <row r="102" spans="1:4" x14ac:dyDescent="0.35">
      <c r="A102" s="50" t="s">
        <v>160</v>
      </c>
      <c r="B102" s="50" t="s">
        <v>2695</v>
      </c>
      <c r="C102" s="80" t="s">
        <v>1872</v>
      </c>
      <c r="D102" s="50" t="s">
        <v>1872</v>
      </c>
    </row>
    <row r="103" spans="1:4" x14ac:dyDescent="0.35">
      <c r="A103" s="50" t="s">
        <v>1182</v>
      </c>
      <c r="B103" s="50" t="s">
        <v>2695</v>
      </c>
      <c r="C103" s="80" t="s">
        <v>2707</v>
      </c>
      <c r="D103" s="50"/>
    </row>
    <row r="104" spans="1:4" x14ac:dyDescent="0.35">
      <c r="A104" s="89" t="s">
        <v>2744</v>
      </c>
      <c r="B104" s="50" t="s">
        <v>2695</v>
      </c>
      <c r="C104" s="80"/>
      <c r="D104" s="50"/>
    </row>
    <row r="105" spans="1:4" x14ac:dyDescent="0.35">
      <c r="A105" s="89" t="s">
        <v>373</v>
      </c>
      <c r="B105" s="50" t="s">
        <v>2695</v>
      </c>
      <c r="C105" s="80" t="s">
        <v>2707</v>
      </c>
      <c r="D105" s="50" t="s">
        <v>1306</v>
      </c>
    </row>
    <row r="106" spans="1:4" x14ac:dyDescent="0.35">
      <c r="A106" s="89" t="s">
        <v>346</v>
      </c>
      <c r="B106" s="50" t="s">
        <v>2695</v>
      </c>
      <c r="C106" s="80" t="s">
        <v>1872</v>
      </c>
      <c r="D106" s="50" t="s">
        <v>1872</v>
      </c>
    </row>
    <row r="107" spans="1:4" x14ac:dyDescent="0.35">
      <c r="A107" s="39" t="s">
        <v>759</v>
      </c>
      <c r="B107" s="9" t="s">
        <v>2695</v>
      </c>
      <c r="C107" s="74"/>
      <c r="D107" s="9" t="s">
        <v>1306</v>
      </c>
    </row>
    <row r="108" spans="1:4" x14ac:dyDescent="0.35">
      <c r="A108" s="39" t="s">
        <v>1805</v>
      </c>
      <c r="B108" s="9" t="s">
        <v>2695</v>
      </c>
      <c r="C108" s="74"/>
      <c r="D108" s="9" t="s">
        <v>1306</v>
      </c>
    </row>
    <row r="109" spans="1:4" x14ac:dyDescent="0.35">
      <c r="A109" s="39" t="s">
        <v>1356</v>
      </c>
      <c r="B109" s="9" t="s">
        <v>2695</v>
      </c>
      <c r="C109" s="74"/>
      <c r="D109" s="9"/>
    </row>
    <row r="110" spans="1:4" x14ac:dyDescent="0.35">
      <c r="A110" s="39" t="s">
        <v>239</v>
      </c>
      <c r="B110" s="9" t="s">
        <v>2695</v>
      </c>
      <c r="C110" s="74"/>
      <c r="D110" s="9"/>
    </row>
    <row r="111" spans="1:4" x14ac:dyDescent="0.35">
      <c r="A111" s="9" t="s">
        <v>242</v>
      </c>
      <c r="B111" s="9" t="s">
        <v>2695</v>
      </c>
      <c r="C111" s="74"/>
      <c r="D111" s="9" t="s">
        <v>1306</v>
      </c>
    </row>
    <row r="112" spans="1:4" x14ac:dyDescent="0.35">
      <c r="A112" s="9" t="s">
        <v>2958</v>
      </c>
      <c r="B112" s="9" t="s">
        <v>2695</v>
      </c>
      <c r="C112" s="74"/>
      <c r="D112" s="9"/>
    </row>
    <row r="113" spans="1:4" x14ac:dyDescent="0.35">
      <c r="A113" s="39" t="s">
        <v>2422</v>
      </c>
      <c r="B113" s="9" t="s">
        <v>2695</v>
      </c>
      <c r="C113" s="74"/>
      <c r="D113" s="9" t="s">
        <v>1306</v>
      </c>
    </row>
    <row r="114" spans="1:4" x14ac:dyDescent="0.35">
      <c r="A114" s="9" t="s">
        <v>841</v>
      </c>
      <c r="B114" s="9" t="s">
        <v>2695</v>
      </c>
      <c r="C114" s="74"/>
      <c r="D114" s="9" t="s">
        <v>1875</v>
      </c>
    </row>
    <row r="115" spans="1:4" x14ac:dyDescent="0.35">
      <c r="A115" s="9" t="s">
        <v>1503</v>
      </c>
      <c r="B115" s="9" t="s">
        <v>2695</v>
      </c>
      <c r="C115" s="74"/>
      <c r="D115" s="9" t="s">
        <v>1870</v>
      </c>
    </row>
    <row r="116" spans="1:4" x14ac:dyDescent="0.35">
      <c r="A116" s="39" t="s">
        <v>2453</v>
      </c>
      <c r="B116" s="9" t="s">
        <v>2695</v>
      </c>
      <c r="C116" s="74"/>
      <c r="D116" s="9" t="s">
        <v>1306</v>
      </c>
    </row>
    <row r="117" spans="1:4" x14ac:dyDescent="0.35">
      <c r="A117" s="9" t="s">
        <v>1028</v>
      </c>
      <c r="B117" s="9" t="s">
        <v>2695</v>
      </c>
      <c r="C117" s="74"/>
      <c r="D117" s="9" t="s">
        <v>1870</v>
      </c>
    </row>
    <row r="118" spans="1:4" x14ac:dyDescent="0.35">
      <c r="A118" s="9" t="s">
        <v>1997</v>
      </c>
      <c r="B118" s="9" t="s">
        <v>2695</v>
      </c>
      <c r="C118" s="74"/>
      <c r="D118" s="9" t="s">
        <v>1874</v>
      </c>
    </row>
    <row r="119" spans="1:4" x14ac:dyDescent="0.35">
      <c r="A119" s="39" t="s">
        <v>1516</v>
      </c>
      <c r="B119" s="9" t="s">
        <v>2695</v>
      </c>
      <c r="C119" s="74"/>
      <c r="D119" s="9"/>
    </row>
    <row r="120" spans="1:4" x14ac:dyDescent="0.35">
      <c r="A120" s="39" t="s">
        <v>1859</v>
      </c>
      <c r="B120" s="9" t="s">
        <v>2695</v>
      </c>
      <c r="C120" s="74"/>
      <c r="D120" s="9" t="s">
        <v>1872</v>
      </c>
    </row>
    <row r="121" spans="1:4" x14ac:dyDescent="0.35">
      <c r="A121" s="9" t="s">
        <v>718</v>
      </c>
      <c r="B121" s="9" t="s">
        <v>2695</v>
      </c>
      <c r="C121" s="74"/>
      <c r="D121" s="9" t="s">
        <v>1306</v>
      </c>
    </row>
    <row r="122" spans="1:4" x14ac:dyDescent="0.35">
      <c r="A122" s="50" t="s">
        <v>2716</v>
      </c>
      <c r="B122" s="50" t="s">
        <v>2696</v>
      </c>
      <c r="C122" s="80" t="s">
        <v>1872</v>
      </c>
      <c r="D122" s="50"/>
    </row>
    <row r="123" spans="1:4" x14ac:dyDescent="0.35">
      <c r="A123" s="50" t="s">
        <v>2723</v>
      </c>
      <c r="B123" s="50" t="s">
        <v>2696</v>
      </c>
      <c r="C123" s="80" t="s">
        <v>1870</v>
      </c>
      <c r="D123" s="50"/>
    </row>
    <row r="124" spans="1:4" x14ac:dyDescent="0.35">
      <c r="A124" s="144" t="s">
        <v>2727</v>
      </c>
      <c r="B124" s="103" t="s">
        <v>2696</v>
      </c>
      <c r="C124" s="103" t="s">
        <v>1143</v>
      </c>
      <c r="D124" s="103"/>
    </row>
    <row r="125" spans="1:4" x14ac:dyDescent="0.35">
      <c r="A125" s="50" t="s">
        <v>853</v>
      </c>
      <c r="B125" s="50" t="s">
        <v>2696</v>
      </c>
      <c r="C125" s="80" t="s">
        <v>1870</v>
      </c>
      <c r="D125" s="50" t="s">
        <v>1876</v>
      </c>
    </row>
    <row r="126" spans="1:4" x14ac:dyDescent="0.35">
      <c r="A126" s="50" t="s">
        <v>967</v>
      </c>
      <c r="B126" s="50" t="s">
        <v>2696</v>
      </c>
      <c r="C126" s="80" t="s">
        <v>1870</v>
      </c>
      <c r="D126" s="50"/>
    </row>
    <row r="127" spans="1:4" x14ac:dyDescent="0.35">
      <c r="A127" s="89" t="s">
        <v>276</v>
      </c>
      <c r="B127" s="50" t="s">
        <v>2696</v>
      </c>
      <c r="C127" s="80" t="s">
        <v>2707</v>
      </c>
      <c r="D127" s="50" t="s">
        <v>1872</v>
      </c>
    </row>
    <row r="128" spans="1:4" x14ac:dyDescent="0.35">
      <c r="A128" s="50" t="s">
        <v>2732</v>
      </c>
      <c r="B128" s="50" t="s">
        <v>2696</v>
      </c>
      <c r="C128" s="80" t="s">
        <v>1873</v>
      </c>
      <c r="D128" s="50" t="s">
        <v>1876</v>
      </c>
    </row>
    <row r="129" spans="1:4" x14ac:dyDescent="0.35">
      <c r="A129" s="50" t="s">
        <v>670</v>
      </c>
      <c r="B129" s="50" t="s">
        <v>2696</v>
      </c>
      <c r="C129" s="80" t="s">
        <v>2707</v>
      </c>
      <c r="D129" s="50" t="s">
        <v>1870</v>
      </c>
    </row>
    <row r="130" spans="1:4" x14ac:dyDescent="0.35">
      <c r="A130" s="50" t="s">
        <v>322</v>
      </c>
      <c r="B130" s="50" t="s">
        <v>2696</v>
      </c>
      <c r="C130" s="80" t="s">
        <v>1870</v>
      </c>
      <c r="D130" s="50" t="s">
        <v>1872</v>
      </c>
    </row>
    <row r="131" spans="1:4" x14ac:dyDescent="0.35">
      <c r="A131" s="50" t="s">
        <v>2737</v>
      </c>
      <c r="B131" s="50" t="s">
        <v>2696</v>
      </c>
      <c r="C131" s="80" t="s">
        <v>1870</v>
      </c>
      <c r="D131" s="50" t="s">
        <v>1870</v>
      </c>
    </row>
    <row r="132" spans="1:4" x14ac:dyDescent="0.35">
      <c r="A132" s="142" t="s">
        <v>2739</v>
      </c>
      <c r="B132" s="103" t="s">
        <v>2696</v>
      </c>
      <c r="C132" s="103" t="s">
        <v>1873</v>
      </c>
      <c r="D132" s="103"/>
    </row>
    <row r="133" spans="1:4" x14ac:dyDescent="0.35">
      <c r="A133" s="50" t="s">
        <v>708</v>
      </c>
      <c r="B133" s="50" t="s">
        <v>2696</v>
      </c>
      <c r="C133" s="80" t="s">
        <v>1872</v>
      </c>
      <c r="D133" s="50" t="s">
        <v>1306</v>
      </c>
    </row>
    <row r="134" spans="1:4" x14ac:dyDescent="0.35">
      <c r="A134" s="50" t="s">
        <v>2745</v>
      </c>
      <c r="B134" s="50" t="s">
        <v>2696</v>
      </c>
      <c r="C134" s="80" t="s">
        <v>1870</v>
      </c>
      <c r="D134" s="50"/>
    </row>
    <row r="135" spans="1:4" x14ac:dyDescent="0.35">
      <c r="A135" s="89" t="s">
        <v>688</v>
      </c>
      <c r="B135" s="50" t="s">
        <v>2696</v>
      </c>
      <c r="C135" s="80" t="s">
        <v>1873</v>
      </c>
      <c r="D135" s="50" t="s">
        <v>1872</v>
      </c>
    </row>
    <row r="136" spans="1:4" x14ac:dyDescent="0.35">
      <c r="A136" s="89" t="s">
        <v>2746</v>
      </c>
      <c r="B136" s="50" t="s">
        <v>2696</v>
      </c>
      <c r="C136" s="80" t="s">
        <v>1143</v>
      </c>
      <c r="D136" s="50" t="s">
        <v>1870</v>
      </c>
    </row>
    <row r="137" spans="1:4" x14ac:dyDescent="0.35">
      <c r="A137" s="50" t="s">
        <v>872</v>
      </c>
      <c r="B137" s="50" t="s">
        <v>2696</v>
      </c>
      <c r="C137" s="80" t="s">
        <v>2721</v>
      </c>
      <c r="D137" s="50" t="s">
        <v>1879</v>
      </c>
    </row>
    <row r="138" spans="1:4" x14ac:dyDescent="0.35">
      <c r="A138" s="89" t="s">
        <v>2752</v>
      </c>
      <c r="B138" s="50" t="s">
        <v>2696</v>
      </c>
      <c r="C138" s="111" t="s">
        <v>2721</v>
      </c>
      <c r="D138" s="103" t="s">
        <v>1880</v>
      </c>
    </row>
    <row r="139" spans="1:4" x14ac:dyDescent="0.35">
      <c r="A139" s="89" t="s">
        <v>2454</v>
      </c>
      <c r="B139" s="50" t="s">
        <v>2696</v>
      </c>
      <c r="C139" s="80" t="s">
        <v>1870</v>
      </c>
      <c r="D139" s="50" t="s">
        <v>1306</v>
      </c>
    </row>
    <row r="140" spans="1:4" x14ac:dyDescent="0.35">
      <c r="A140" s="50" t="s">
        <v>2218</v>
      </c>
      <c r="B140" s="50" t="s">
        <v>2696</v>
      </c>
      <c r="C140" s="80" t="s">
        <v>1872</v>
      </c>
      <c r="D140" s="50" t="s">
        <v>1870</v>
      </c>
    </row>
    <row r="141" spans="1:4" x14ac:dyDescent="0.35">
      <c r="A141" s="50" t="s">
        <v>2759</v>
      </c>
      <c r="B141" s="50" t="s">
        <v>2696</v>
      </c>
      <c r="C141" s="80" t="s">
        <v>1870</v>
      </c>
      <c r="D141" s="50"/>
    </row>
    <row r="142" spans="1:4" x14ac:dyDescent="0.35">
      <c r="A142" s="89" t="s">
        <v>545</v>
      </c>
      <c r="B142" s="50" t="s">
        <v>2696</v>
      </c>
      <c r="C142" s="80" t="s">
        <v>1872</v>
      </c>
      <c r="D142" s="50" t="s">
        <v>1872</v>
      </c>
    </row>
    <row r="143" spans="1:4" x14ac:dyDescent="0.35">
      <c r="A143" s="50" t="s">
        <v>667</v>
      </c>
      <c r="B143" s="50" t="s">
        <v>2696</v>
      </c>
      <c r="C143" s="80" t="s">
        <v>1143</v>
      </c>
      <c r="D143" s="50"/>
    </row>
    <row r="144" spans="1:4" x14ac:dyDescent="0.35">
      <c r="A144" s="89" t="s">
        <v>884</v>
      </c>
      <c r="B144" s="50" t="s">
        <v>2696</v>
      </c>
      <c r="C144" s="80" t="s">
        <v>1872</v>
      </c>
      <c r="D144" s="50"/>
    </row>
    <row r="145" spans="1:4" x14ac:dyDescent="0.35">
      <c r="A145" s="89" t="s">
        <v>1546</v>
      </c>
      <c r="B145" s="50" t="s">
        <v>2696</v>
      </c>
      <c r="C145" s="80" t="s">
        <v>1872</v>
      </c>
      <c r="D145" s="50" t="s">
        <v>1143</v>
      </c>
    </row>
    <row r="146" spans="1:4" x14ac:dyDescent="0.35">
      <c r="A146" s="50" t="s">
        <v>566</v>
      </c>
      <c r="B146" s="50" t="s">
        <v>2696</v>
      </c>
      <c r="C146" s="80" t="s">
        <v>1870</v>
      </c>
      <c r="D146" s="50" t="s">
        <v>1876</v>
      </c>
    </row>
    <row r="147" spans="1:4" x14ac:dyDescent="0.35">
      <c r="A147" s="9" t="s">
        <v>2773</v>
      </c>
      <c r="B147" s="9" t="s">
        <v>2696</v>
      </c>
      <c r="C147" s="74"/>
      <c r="D147" s="9" t="s">
        <v>1306</v>
      </c>
    </row>
    <row r="148" spans="1:4" x14ac:dyDescent="0.35">
      <c r="A148" s="140" t="s">
        <v>2774</v>
      </c>
      <c r="B148" s="34" t="s">
        <v>2696</v>
      </c>
      <c r="C148" s="34"/>
      <c r="D148" s="34"/>
    </row>
    <row r="149" spans="1:4" x14ac:dyDescent="0.35">
      <c r="A149" s="140" t="s">
        <v>2777</v>
      </c>
      <c r="B149" s="34" t="s">
        <v>2696</v>
      </c>
      <c r="C149" s="34"/>
      <c r="D149" s="34"/>
    </row>
    <row r="150" spans="1:4" x14ac:dyDescent="0.35">
      <c r="A150" s="140" t="s">
        <v>2781</v>
      </c>
      <c r="B150" s="34" t="s">
        <v>2696</v>
      </c>
      <c r="C150" s="34"/>
      <c r="D150" s="34"/>
    </row>
    <row r="151" spans="1:4" x14ac:dyDescent="0.35">
      <c r="A151" s="140" t="s">
        <v>2783</v>
      </c>
      <c r="B151" s="34" t="s">
        <v>2696</v>
      </c>
      <c r="C151" s="34"/>
      <c r="D151" s="34"/>
    </row>
    <row r="152" spans="1:4" x14ac:dyDescent="0.35">
      <c r="A152" s="9" t="s">
        <v>2784</v>
      </c>
      <c r="B152" s="9" t="s">
        <v>2696</v>
      </c>
      <c r="C152" s="74"/>
      <c r="D152" s="9"/>
    </row>
    <row r="153" spans="1:4" x14ac:dyDescent="0.35">
      <c r="A153" s="39" t="s">
        <v>730</v>
      </c>
      <c r="B153" s="9" t="s">
        <v>2696</v>
      </c>
      <c r="C153" s="74"/>
      <c r="D153" s="9" t="s">
        <v>1306</v>
      </c>
    </row>
    <row r="154" spans="1:4" x14ac:dyDescent="0.35">
      <c r="A154" s="9" t="s">
        <v>2788</v>
      </c>
      <c r="B154" s="9" t="s">
        <v>2696</v>
      </c>
      <c r="C154" s="74"/>
      <c r="D154" s="9" t="s">
        <v>1143</v>
      </c>
    </row>
    <row r="155" spans="1:4" x14ac:dyDescent="0.35">
      <c r="A155" s="9" t="s">
        <v>2789</v>
      </c>
      <c r="B155" s="9" t="s">
        <v>2696</v>
      </c>
      <c r="C155" s="74"/>
      <c r="D155" s="9" t="s">
        <v>1876</v>
      </c>
    </row>
    <row r="156" spans="1:4" x14ac:dyDescent="0.35">
      <c r="A156" s="140" t="s">
        <v>2790</v>
      </c>
      <c r="B156" s="34" t="s">
        <v>2696</v>
      </c>
      <c r="C156" s="34"/>
      <c r="D156" s="34"/>
    </row>
    <row r="157" spans="1:4" x14ac:dyDescent="0.35">
      <c r="A157" s="140" t="s">
        <v>2791</v>
      </c>
      <c r="B157" s="34" t="s">
        <v>2696</v>
      </c>
      <c r="C157" s="34"/>
      <c r="D157" s="34"/>
    </row>
    <row r="158" spans="1:4" x14ac:dyDescent="0.35">
      <c r="A158" s="140" t="s">
        <v>2793</v>
      </c>
      <c r="B158" s="34" t="s">
        <v>2696</v>
      </c>
      <c r="C158" s="34"/>
      <c r="D158" s="34"/>
    </row>
    <row r="159" spans="1:4" x14ac:dyDescent="0.35">
      <c r="A159" s="9" t="s">
        <v>734</v>
      </c>
      <c r="B159" s="9" t="s">
        <v>2696</v>
      </c>
      <c r="C159" s="74"/>
      <c r="D159" s="9" t="s">
        <v>1874</v>
      </c>
    </row>
    <row r="160" spans="1:4" x14ac:dyDescent="0.35">
      <c r="A160" s="140" t="s">
        <v>2795</v>
      </c>
      <c r="B160" s="34" t="s">
        <v>2696</v>
      </c>
      <c r="C160" s="34"/>
      <c r="D160" s="34"/>
    </row>
    <row r="161" spans="1:4" x14ac:dyDescent="0.35">
      <c r="A161" s="39" t="s">
        <v>628</v>
      </c>
      <c r="B161" s="9" t="s">
        <v>2696</v>
      </c>
      <c r="C161" s="74"/>
      <c r="D161" s="9" t="s">
        <v>1306</v>
      </c>
    </row>
    <row r="162" spans="1:4" x14ac:dyDescent="0.35">
      <c r="A162" s="140" t="s">
        <v>2796</v>
      </c>
      <c r="B162" s="34" t="s">
        <v>2696</v>
      </c>
      <c r="C162" s="34"/>
      <c r="D162" s="34"/>
    </row>
    <row r="163" spans="1:4" x14ac:dyDescent="0.35">
      <c r="A163" s="140" t="s">
        <v>2800</v>
      </c>
      <c r="B163" s="34" t="s">
        <v>2696</v>
      </c>
      <c r="C163" s="34"/>
      <c r="D163" s="34"/>
    </row>
    <row r="164" spans="1:4" x14ac:dyDescent="0.35">
      <c r="A164" s="9" t="s">
        <v>754</v>
      </c>
      <c r="B164" s="9" t="s">
        <v>2696</v>
      </c>
      <c r="C164" s="74"/>
      <c r="D164" s="9" t="s">
        <v>1870</v>
      </c>
    </row>
    <row r="165" spans="1:4" x14ac:dyDescent="0.35">
      <c r="A165" s="9" t="s">
        <v>2803</v>
      </c>
      <c r="B165" s="9" t="s">
        <v>2696</v>
      </c>
      <c r="C165" s="74"/>
      <c r="D165" s="9" t="s">
        <v>1878</v>
      </c>
    </row>
    <row r="166" spans="1:4" x14ac:dyDescent="0.35">
      <c r="A166" s="140" t="s">
        <v>2804</v>
      </c>
      <c r="B166" s="34" t="s">
        <v>2696</v>
      </c>
      <c r="C166" s="34"/>
      <c r="D166" s="34"/>
    </row>
    <row r="167" spans="1:4" x14ac:dyDescent="0.35">
      <c r="A167" s="140" t="s">
        <v>2805</v>
      </c>
      <c r="B167" s="34" t="s">
        <v>2696</v>
      </c>
      <c r="C167" s="34"/>
      <c r="D167" s="34"/>
    </row>
    <row r="168" spans="1:4" x14ac:dyDescent="0.35">
      <c r="A168" s="140" t="s">
        <v>2807</v>
      </c>
      <c r="B168" s="34" t="s">
        <v>2696</v>
      </c>
      <c r="C168" s="34"/>
      <c r="D168" s="34"/>
    </row>
    <row r="169" spans="1:4" x14ac:dyDescent="0.35">
      <c r="A169" s="9" t="s">
        <v>1558</v>
      </c>
      <c r="B169" s="9" t="s">
        <v>2696</v>
      </c>
      <c r="C169" s="74"/>
      <c r="D169" s="9" t="s">
        <v>1876</v>
      </c>
    </row>
    <row r="170" spans="1:4" x14ac:dyDescent="0.35">
      <c r="A170" s="9" t="s">
        <v>761</v>
      </c>
      <c r="B170" s="9" t="s">
        <v>2696</v>
      </c>
      <c r="C170" s="74"/>
      <c r="D170" s="9" t="s">
        <v>1872</v>
      </c>
    </row>
    <row r="171" spans="1:4" x14ac:dyDescent="0.35">
      <c r="A171" s="9" t="s">
        <v>2810</v>
      </c>
      <c r="B171" s="9" t="s">
        <v>2696</v>
      </c>
      <c r="C171" s="74" t="s">
        <v>1872</v>
      </c>
      <c r="D171" s="9"/>
    </row>
    <row r="172" spans="1:4" x14ac:dyDescent="0.35">
      <c r="A172" s="140" t="s">
        <v>2811</v>
      </c>
      <c r="B172" s="34" t="s">
        <v>2696</v>
      </c>
      <c r="C172" s="34"/>
      <c r="D172" s="34"/>
    </row>
    <row r="173" spans="1:4" x14ac:dyDescent="0.35">
      <c r="A173" s="140" t="s">
        <v>2814</v>
      </c>
      <c r="B173" s="34" t="s">
        <v>2696</v>
      </c>
      <c r="C173" s="34"/>
      <c r="D173" s="34"/>
    </row>
    <row r="174" spans="1:4" x14ac:dyDescent="0.35">
      <c r="A174" s="140" t="s">
        <v>1309</v>
      </c>
      <c r="B174" s="34" t="s">
        <v>2696</v>
      </c>
      <c r="C174" s="34"/>
      <c r="D174" s="34"/>
    </row>
    <row r="175" spans="1:4" x14ac:dyDescent="0.35">
      <c r="A175" s="140" t="s">
        <v>2818</v>
      </c>
      <c r="B175" s="34" t="s">
        <v>2696</v>
      </c>
      <c r="C175" s="34"/>
      <c r="D175" s="34"/>
    </row>
    <row r="176" spans="1:4" x14ac:dyDescent="0.35">
      <c r="A176" s="9" t="s">
        <v>2820</v>
      </c>
      <c r="B176" s="9" t="s">
        <v>2696</v>
      </c>
      <c r="C176" s="74"/>
      <c r="D176" s="9" t="s">
        <v>1874</v>
      </c>
    </row>
    <row r="177" spans="1:4" x14ac:dyDescent="0.35">
      <c r="A177" s="140" t="s">
        <v>2821</v>
      </c>
      <c r="B177" s="34" t="s">
        <v>2696</v>
      </c>
      <c r="C177" s="34"/>
      <c r="D177" s="34"/>
    </row>
    <row r="178" spans="1:4" x14ac:dyDescent="0.35">
      <c r="A178" s="140" t="s">
        <v>2823</v>
      </c>
      <c r="B178" s="34" t="s">
        <v>2696</v>
      </c>
      <c r="C178" s="34"/>
      <c r="D178" s="34"/>
    </row>
    <row r="179" spans="1:4" x14ac:dyDescent="0.35">
      <c r="A179" s="140" t="s">
        <v>2825</v>
      </c>
      <c r="B179" s="34" t="s">
        <v>2696</v>
      </c>
      <c r="C179" s="34"/>
      <c r="D179" s="34"/>
    </row>
    <row r="180" spans="1:4" x14ac:dyDescent="0.35">
      <c r="A180" s="9" t="s">
        <v>2826</v>
      </c>
      <c r="B180" s="9" t="s">
        <v>2696</v>
      </c>
      <c r="C180" s="74"/>
      <c r="D180" s="9" t="s">
        <v>1870</v>
      </c>
    </row>
    <row r="181" spans="1:4" x14ac:dyDescent="0.35">
      <c r="A181" s="140" t="s">
        <v>2829</v>
      </c>
      <c r="B181" s="34" t="s">
        <v>2696</v>
      </c>
      <c r="C181" s="34"/>
      <c r="D181" s="34"/>
    </row>
    <row r="182" spans="1:4" x14ac:dyDescent="0.35">
      <c r="A182" s="39" t="s">
        <v>951</v>
      </c>
      <c r="B182" s="9" t="s">
        <v>2696</v>
      </c>
      <c r="C182" s="74"/>
      <c r="D182" s="9" t="s">
        <v>1143</v>
      </c>
    </row>
    <row r="183" spans="1:4" x14ac:dyDescent="0.35">
      <c r="A183" s="140" t="s">
        <v>2831</v>
      </c>
      <c r="B183" s="34" t="s">
        <v>2696</v>
      </c>
      <c r="C183" s="34"/>
      <c r="D183" s="34"/>
    </row>
    <row r="184" spans="1:4" x14ac:dyDescent="0.35">
      <c r="A184" s="140" t="s">
        <v>2833</v>
      </c>
      <c r="B184" s="34" t="s">
        <v>2696</v>
      </c>
      <c r="C184" s="34"/>
      <c r="D184" s="34"/>
    </row>
    <row r="185" spans="1:4" x14ac:dyDescent="0.35">
      <c r="A185" s="9" t="s">
        <v>2834</v>
      </c>
      <c r="B185" s="9" t="s">
        <v>2696</v>
      </c>
      <c r="C185" s="74"/>
      <c r="D185" s="9" t="s">
        <v>1878</v>
      </c>
    </row>
    <row r="186" spans="1:4" x14ac:dyDescent="0.35">
      <c r="A186" s="140" t="s">
        <v>2837</v>
      </c>
      <c r="B186" s="34" t="s">
        <v>2696</v>
      </c>
      <c r="C186" s="34"/>
      <c r="D186" s="34"/>
    </row>
    <row r="187" spans="1:4" x14ac:dyDescent="0.35">
      <c r="A187" s="9" t="s">
        <v>2838</v>
      </c>
      <c r="B187" s="9" t="s">
        <v>2696</v>
      </c>
      <c r="C187" s="74"/>
      <c r="D187" s="9" t="s">
        <v>1878</v>
      </c>
    </row>
    <row r="188" spans="1:4" x14ac:dyDescent="0.35">
      <c r="A188" s="39" t="s">
        <v>2209</v>
      </c>
      <c r="B188" s="9" t="s">
        <v>2696</v>
      </c>
      <c r="C188" s="74"/>
      <c r="D188" s="9" t="s">
        <v>1873</v>
      </c>
    </row>
    <row r="189" spans="1:4" x14ac:dyDescent="0.35">
      <c r="A189" s="140" t="s">
        <v>2842</v>
      </c>
      <c r="B189" s="34" t="s">
        <v>2696</v>
      </c>
      <c r="C189" s="34"/>
      <c r="D189" s="34"/>
    </row>
    <row r="190" spans="1:4" x14ac:dyDescent="0.35">
      <c r="A190" s="140" t="s">
        <v>2844</v>
      </c>
      <c r="B190" s="34" t="s">
        <v>2696</v>
      </c>
      <c r="C190" s="34"/>
      <c r="D190" s="34"/>
    </row>
    <row r="191" spans="1:4" x14ac:dyDescent="0.35">
      <c r="A191" s="9" t="s">
        <v>2846</v>
      </c>
      <c r="B191" s="9" t="s">
        <v>2696</v>
      </c>
      <c r="C191" s="74"/>
      <c r="D191" s="9" t="s">
        <v>1306</v>
      </c>
    </row>
    <row r="192" spans="1:4" x14ac:dyDescent="0.35">
      <c r="A192" s="140" t="s">
        <v>2848</v>
      </c>
      <c r="B192" s="34" t="s">
        <v>2696</v>
      </c>
      <c r="C192" s="34"/>
      <c r="D192" s="34"/>
    </row>
    <row r="193" spans="1:4" x14ac:dyDescent="0.35">
      <c r="A193" s="140" t="s">
        <v>2850</v>
      </c>
      <c r="B193" s="34" t="s">
        <v>2696</v>
      </c>
      <c r="C193" s="34"/>
      <c r="D193" s="34"/>
    </row>
    <row r="194" spans="1:4" x14ac:dyDescent="0.35">
      <c r="A194" s="140" t="s">
        <v>2854</v>
      </c>
      <c r="B194" s="34" t="s">
        <v>2696</v>
      </c>
      <c r="C194" s="34"/>
      <c r="D194" s="34"/>
    </row>
    <row r="195" spans="1:4" x14ac:dyDescent="0.35">
      <c r="A195" s="9" t="s">
        <v>2855</v>
      </c>
      <c r="B195" s="9" t="s">
        <v>2696</v>
      </c>
      <c r="C195" s="74"/>
      <c r="D195" s="9" t="s">
        <v>1143</v>
      </c>
    </row>
    <row r="196" spans="1:4" x14ac:dyDescent="0.35">
      <c r="A196" s="140" t="s">
        <v>2856</v>
      </c>
      <c r="B196" s="34" t="s">
        <v>2696</v>
      </c>
      <c r="C196" s="34"/>
      <c r="D196" s="34"/>
    </row>
    <row r="197" spans="1:4" x14ac:dyDescent="0.35">
      <c r="A197" s="140" t="s">
        <v>2860</v>
      </c>
      <c r="B197" s="34" t="s">
        <v>2696</v>
      </c>
      <c r="C197" s="34"/>
      <c r="D197" s="34"/>
    </row>
    <row r="198" spans="1:4" x14ac:dyDescent="0.35">
      <c r="A198" s="140" t="s">
        <v>2862</v>
      </c>
      <c r="B198" s="34" t="s">
        <v>2696</v>
      </c>
      <c r="C198" s="34"/>
      <c r="D198" s="34"/>
    </row>
    <row r="199" spans="1:4" x14ac:dyDescent="0.35">
      <c r="A199" s="140" t="s">
        <v>2865</v>
      </c>
      <c r="B199" s="34" t="s">
        <v>2696</v>
      </c>
      <c r="C199" s="34"/>
      <c r="D199" s="34"/>
    </row>
    <row r="200" spans="1:4" x14ac:dyDescent="0.35">
      <c r="A200" s="140" t="s">
        <v>2868</v>
      </c>
      <c r="B200" s="34" t="s">
        <v>2696</v>
      </c>
      <c r="C200" s="34"/>
      <c r="D200" s="34"/>
    </row>
    <row r="201" spans="1:4" x14ac:dyDescent="0.35">
      <c r="A201" s="9" t="s">
        <v>2872</v>
      </c>
      <c r="B201" s="9" t="s">
        <v>2696</v>
      </c>
      <c r="C201" s="74"/>
      <c r="D201" s="9" t="s">
        <v>1874</v>
      </c>
    </row>
    <row r="202" spans="1:4" x14ac:dyDescent="0.35">
      <c r="A202" s="39" t="s">
        <v>2873</v>
      </c>
      <c r="B202" s="9" t="s">
        <v>2696</v>
      </c>
      <c r="C202" s="110"/>
      <c r="D202" s="34" t="s">
        <v>1880</v>
      </c>
    </row>
    <row r="203" spans="1:4" x14ac:dyDescent="0.35">
      <c r="A203" s="140" t="s">
        <v>2874</v>
      </c>
      <c r="B203" s="34" t="s">
        <v>2696</v>
      </c>
      <c r="C203" s="34"/>
      <c r="D203" s="34"/>
    </row>
    <row r="204" spans="1:4" x14ac:dyDescent="0.35">
      <c r="A204" s="140" t="s">
        <v>2875</v>
      </c>
      <c r="B204" s="34" t="s">
        <v>2696</v>
      </c>
      <c r="C204" s="34"/>
      <c r="D204" s="34"/>
    </row>
    <row r="205" spans="1:4" x14ac:dyDescent="0.35">
      <c r="A205" s="39" t="s">
        <v>1068</v>
      </c>
      <c r="B205" s="9" t="s">
        <v>2696</v>
      </c>
      <c r="C205" s="74"/>
      <c r="D205" s="9" t="s">
        <v>1143</v>
      </c>
    </row>
    <row r="206" spans="1:4" x14ac:dyDescent="0.35">
      <c r="A206" s="140" t="s">
        <v>2878</v>
      </c>
      <c r="B206" s="34" t="s">
        <v>2696</v>
      </c>
      <c r="C206" s="34"/>
      <c r="D206" s="34"/>
    </row>
    <row r="207" spans="1:4" x14ac:dyDescent="0.35">
      <c r="A207" s="140" t="s">
        <v>2880</v>
      </c>
      <c r="B207" s="34" t="s">
        <v>2696</v>
      </c>
      <c r="C207" s="34"/>
      <c r="D207" s="34"/>
    </row>
    <row r="208" spans="1:4" x14ac:dyDescent="0.35">
      <c r="A208" s="140" t="s">
        <v>2882</v>
      </c>
      <c r="B208" s="34" t="s">
        <v>2696</v>
      </c>
      <c r="C208" s="34"/>
      <c r="D208" s="34"/>
    </row>
    <row r="209" spans="1:4" x14ac:dyDescent="0.35">
      <c r="A209" s="140" t="s">
        <v>2884</v>
      </c>
      <c r="B209" s="34" t="s">
        <v>2696</v>
      </c>
      <c r="C209" s="34"/>
      <c r="D209" s="34"/>
    </row>
    <row r="210" spans="1:4" x14ac:dyDescent="0.35">
      <c r="A210" s="140" t="s">
        <v>2887</v>
      </c>
      <c r="B210" s="34" t="s">
        <v>2696</v>
      </c>
      <c r="C210" s="34"/>
      <c r="D210" s="34"/>
    </row>
    <row r="211" spans="1:4" x14ac:dyDescent="0.35">
      <c r="A211" s="9" t="s">
        <v>852</v>
      </c>
      <c r="B211" s="9" t="s">
        <v>2696</v>
      </c>
      <c r="C211" s="74"/>
      <c r="D211" s="9" t="s">
        <v>1872</v>
      </c>
    </row>
    <row r="212" spans="1:4" x14ac:dyDescent="0.35">
      <c r="A212" s="140" t="s">
        <v>2891</v>
      </c>
      <c r="B212" s="34" t="s">
        <v>2696</v>
      </c>
      <c r="C212" s="34"/>
      <c r="D212" s="34"/>
    </row>
    <row r="213" spans="1:4" x14ac:dyDescent="0.35">
      <c r="A213" s="140" t="s">
        <v>2893</v>
      </c>
      <c r="B213" s="34" t="s">
        <v>2696</v>
      </c>
      <c r="C213" s="34"/>
      <c r="D213" s="34"/>
    </row>
    <row r="214" spans="1:4" x14ac:dyDescent="0.35">
      <c r="A214" s="9" t="s">
        <v>2894</v>
      </c>
      <c r="B214" s="9" t="s">
        <v>2696</v>
      </c>
      <c r="C214" s="74"/>
      <c r="D214" s="9" t="s">
        <v>1876</v>
      </c>
    </row>
    <row r="215" spans="1:4" x14ac:dyDescent="0.35">
      <c r="A215" s="140" t="s">
        <v>2896</v>
      </c>
      <c r="B215" s="34" t="s">
        <v>2696</v>
      </c>
      <c r="C215" s="34"/>
      <c r="D215" s="34"/>
    </row>
    <row r="216" spans="1:4" x14ac:dyDescent="0.35">
      <c r="A216" s="140" t="s">
        <v>2898</v>
      </c>
      <c r="B216" s="34" t="s">
        <v>2696</v>
      </c>
      <c r="C216" s="34"/>
      <c r="D216" s="34"/>
    </row>
    <row r="217" spans="1:4" x14ac:dyDescent="0.35">
      <c r="A217" s="140" t="s">
        <v>2899</v>
      </c>
      <c r="B217" s="34" t="s">
        <v>2696</v>
      </c>
      <c r="C217" s="34"/>
      <c r="D217" s="34"/>
    </row>
    <row r="218" spans="1:4" x14ac:dyDescent="0.35">
      <c r="A218" s="140" t="s">
        <v>2901</v>
      </c>
      <c r="B218" s="34" t="s">
        <v>2696</v>
      </c>
      <c r="C218" s="34"/>
      <c r="D218" s="34"/>
    </row>
    <row r="219" spans="1:4" x14ac:dyDescent="0.35">
      <c r="A219" s="140" t="s">
        <v>2907</v>
      </c>
      <c r="B219" s="34" t="s">
        <v>2696</v>
      </c>
      <c r="C219" s="34"/>
      <c r="D219" s="34"/>
    </row>
    <row r="220" spans="1:4" x14ac:dyDescent="0.35">
      <c r="A220" s="140" t="s">
        <v>2909</v>
      </c>
      <c r="B220" s="34" t="s">
        <v>2696</v>
      </c>
      <c r="C220" s="34"/>
      <c r="D220" s="34"/>
    </row>
    <row r="221" spans="1:4" x14ac:dyDescent="0.35">
      <c r="A221" s="140" t="s">
        <v>2911</v>
      </c>
      <c r="B221" s="34" t="s">
        <v>2696</v>
      </c>
      <c r="C221" s="34"/>
      <c r="D221" s="34"/>
    </row>
    <row r="222" spans="1:4" x14ac:dyDescent="0.35">
      <c r="A222" s="140" t="s">
        <v>2915</v>
      </c>
      <c r="B222" s="34" t="s">
        <v>2696</v>
      </c>
      <c r="C222" s="34"/>
      <c r="D222" s="34"/>
    </row>
    <row r="223" spans="1:4" x14ac:dyDescent="0.35">
      <c r="A223" s="140" t="s">
        <v>2917</v>
      </c>
      <c r="B223" s="34" t="s">
        <v>2696</v>
      </c>
      <c r="C223" s="34"/>
      <c r="D223" s="34"/>
    </row>
    <row r="224" spans="1:4" x14ac:dyDescent="0.35">
      <c r="A224" s="9" t="s">
        <v>2921</v>
      </c>
      <c r="B224" s="9" t="s">
        <v>2696</v>
      </c>
      <c r="C224" s="74"/>
      <c r="D224" s="9" t="s">
        <v>1143</v>
      </c>
    </row>
    <row r="225" spans="1:4" x14ac:dyDescent="0.35">
      <c r="A225" s="39" t="s">
        <v>268</v>
      </c>
      <c r="B225" s="9" t="s">
        <v>2696</v>
      </c>
      <c r="C225" s="74"/>
      <c r="D225" s="9" t="s">
        <v>1306</v>
      </c>
    </row>
    <row r="226" spans="1:4" x14ac:dyDescent="0.35">
      <c r="A226" s="140" t="s">
        <v>2922</v>
      </c>
      <c r="B226" s="34" t="s">
        <v>2696</v>
      </c>
      <c r="C226" s="34"/>
      <c r="D226" s="34"/>
    </row>
    <row r="227" spans="1:4" x14ac:dyDescent="0.35">
      <c r="A227" s="140" t="s">
        <v>2923</v>
      </c>
      <c r="B227" s="34" t="s">
        <v>2696</v>
      </c>
      <c r="C227" s="34"/>
      <c r="D227" s="34"/>
    </row>
    <row r="228" spans="1:4" x14ac:dyDescent="0.35">
      <c r="A228" s="140" t="s">
        <v>2925</v>
      </c>
      <c r="B228" s="34" t="s">
        <v>2696</v>
      </c>
      <c r="C228" s="34"/>
      <c r="D228" s="34"/>
    </row>
    <row r="229" spans="1:4" x14ac:dyDescent="0.35">
      <c r="A229" s="140" t="s">
        <v>2927</v>
      </c>
      <c r="B229" s="34" t="s">
        <v>2696</v>
      </c>
      <c r="C229" s="34"/>
      <c r="D229" s="34"/>
    </row>
    <row r="230" spans="1:4" x14ac:dyDescent="0.35">
      <c r="A230" s="140" t="s">
        <v>2928</v>
      </c>
      <c r="B230" s="34" t="s">
        <v>2696</v>
      </c>
      <c r="C230" s="34"/>
      <c r="D230" s="34"/>
    </row>
    <row r="231" spans="1:4" x14ac:dyDescent="0.35">
      <c r="A231" s="140" t="s">
        <v>2930</v>
      </c>
      <c r="B231" s="34" t="s">
        <v>2696</v>
      </c>
      <c r="C231" s="34"/>
      <c r="D231" s="34"/>
    </row>
    <row r="232" spans="1:4" x14ac:dyDescent="0.35">
      <c r="A232" s="140" t="s">
        <v>2933</v>
      </c>
      <c r="B232" s="34" t="s">
        <v>2696</v>
      </c>
      <c r="C232" s="34"/>
      <c r="D232" s="34"/>
    </row>
    <row r="233" spans="1:4" x14ac:dyDescent="0.35">
      <c r="A233" s="140" t="s">
        <v>2939</v>
      </c>
      <c r="B233" s="34" t="s">
        <v>2696</v>
      </c>
      <c r="C233" s="34"/>
      <c r="D233" s="34"/>
    </row>
    <row r="234" spans="1:4" x14ac:dyDescent="0.35">
      <c r="A234" s="9" t="s">
        <v>2940</v>
      </c>
      <c r="B234" s="9" t="s">
        <v>2696</v>
      </c>
      <c r="C234" s="74"/>
      <c r="D234" s="9" t="s">
        <v>1873</v>
      </c>
    </row>
    <row r="235" spans="1:4" x14ac:dyDescent="0.35">
      <c r="A235" s="140" t="s">
        <v>2941</v>
      </c>
      <c r="B235" s="34" t="s">
        <v>2696</v>
      </c>
      <c r="C235" s="34"/>
      <c r="D235" s="34"/>
    </row>
    <row r="236" spans="1:4" x14ac:dyDescent="0.35">
      <c r="A236" s="140" t="s">
        <v>2943</v>
      </c>
      <c r="B236" s="34" t="s">
        <v>2696</v>
      </c>
      <c r="C236" s="34"/>
      <c r="D236" s="34"/>
    </row>
    <row r="237" spans="1:4" x14ac:dyDescent="0.35">
      <c r="A237" s="140" t="s">
        <v>2945</v>
      </c>
      <c r="B237" s="34" t="s">
        <v>2696</v>
      </c>
      <c r="C237" s="34"/>
      <c r="D237" s="34"/>
    </row>
    <row r="238" spans="1:4" x14ac:dyDescent="0.35">
      <c r="A238" s="39" t="s">
        <v>2949</v>
      </c>
      <c r="B238" s="9" t="s">
        <v>2696</v>
      </c>
      <c r="C238" s="74"/>
      <c r="D238" s="9" t="s">
        <v>1306</v>
      </c>
    </row>
    <row r="239" spans="1:4" x14ac:dyDescent="0.35">
      <c r="A239" s="140" t="s">
        <v>2951</v>
      </c>
      <c r="B239" s="34" t="s">
        <v>2696</v>
      </c>
      <c r="C239" s="34"/>
      <c r="D239" s="34"/>
    </row>
    <row r="240" spans="1:4" x14ac:dyDescent="0.35">
      <c r="A240" s="140" t="s">
        <v>2953</v>
      </c>
      <c r="B240" s="34" t="s">
        <v>2696</v>
      </c>
      <c r="C240" s="34"/>
      <c r="D240" s="34"/>
    </row>
    <row r="241" spans="1:4" x14ac:dyDescent="0.35">
      <c r="A241" s="140" t="s">
        <v>2957</v>
      </c>
      <c r="B241" s="34" t="s">
        <v>2696</v>
      </c>
      <c r="C241" s="34"/>
      <c r="D241" s="34"/>
    </row>
    <row r="242" spans="1:4" x14ac:dyDescent="0.35">
      <c r="A242" s="140" t="s">
        <v>2960</v>
      </c>
      <c r="B242" s="34" t="s">
        <v>2696</v>
      </c>
      <c r="C242" s="34"/>
      <c r="D242" s="34"/>
    </row>
    <row r="243" spans="1:4" x14ac:dyDescent="0.35">
      <c r="A243" s="140" t="s">
        <v>2963</v>
      </c>
      <c r="B243" s="34" t="s">
        <v>2696</v>
      </c>
      <c r="C243" s="34"/>
      <c r="D243" s="34"/>
    </row>
    <row r="244" spans="1:4" x14ac:dyDescent="0.35">
      <c r="A244" s="141" t="s">
        <v>2966</v>
      </c>
      <c r="B244" s="34" t="s">
        <v>2696</v>
      </c>
      <c r="C244" s="34"/>
      <c r="D244" s="34"/>
    </row>
    <row r="245" spans="1:4" x14ac:dyDescent="0.35">
      <c r="A245" s="9" t="s">
        <v>2968</v>
      </c>
      <c r="B245" s="9" t="s">
        <v>2696</v>
      </c>
      <c r="C245" s="74"/>
      <c r="D245" s="9" t="s">
        <v>1872</v>
      </c>
    </row>
    <row r="246" spans="1:4" x14ac:dyDescent="0.35">
      <c r="A246" s="9" t="s">
        <v>2970</v>
      </c>
      <c r="B246" s="9" t="s">
        <v>2696</v>
      </c>
      <c r="C246" s="74"/>
      <c r="D246" s="9" t="s">
        <v>1879</v>
      </c>
    </row>
    <row r="247" spans="1:4" x14ac:dyDescent="0.35">
      <c r="A247" s="140" t="s">
        <v>2971</v>
      </c>
      <c r="B247" s="34" t="s">
        <v>2696</v>
      </c>
      <c r="C247" s="34"/>
      <c r="D247" s="34"/>
    </row>
    <row r="248" spans="1:4" x14ac:dyDescent="0.35">
      <c r="A248" s="9" t="s">
        <v>917</v>
      </c>
      <c r="B248" s="9" t="s">
        <v>2696</v>
      </c>
      <c r="C248" s="74"/>
      <c r="D248" s="9" t="s">
        <v>1875</v>
      </c>
    </row>
    <row r="249" spans="1:4" x14ac:dyDescent="0.35">
      <c r="A249" s="140" t="s">
        <v>2975</v>
      </c>
      <c r="B249" s="34" t="s">
        <v>2696</v>
      </c>
      <c r="C249" s="34"/>
      <c r="D249" s="34"/>
    </row>
    <row r="250" spans="1:4" x14ac:dyDescent="0.35">
      <c r="A250" s="9" t="s">
        <v>1299</v>
      </c>
      <c r="B250" s="9" t="s">
        <v>2696</v>
      </c>
      <c r="C250" s="74"/>
      <c r="D250" s="9" t="s">
        <v>1143</v>
      </c>
    </row>
    <row r="251" spans="1:4" x14ac:dyDescent="0.35">
      <c r="A251" s="140" t="s">
        <v>2977</v>
      </c>
      <c r="B251" s="34" t="s">
        <v>2696</v>
      </c>
      <c r="C251" s="34"/>
      <c r="D251" s="34"/>
    </row>
    <row r="252" spans="1:4" x14ac:dyDescent="0.35">
      <c r="A252" s="9" t="s">
        <v>2982</v>
      </c>
      <c r="B252" s="9" t="s">
        <v>2696</v>
      </c>
      <c r="C252" s="74"/>
      <c r="D252" s="9" t="s">
        <v>1143</v>
      </c>
    </row>
    <row r="253" spans="1:4" x14ac:dyDescent="0.35">
      <c r="A253" s="140" t="s">
        <v>2983</v>
      </c>
      <c r="B253" s="34" t="s">
        <v>2696</v>
      </c>
      <c r="C253" s="34"/>
      <c r="D253" s="34"/>
    </row>
    <row r="254" spans="1:4" x14ac:dyDescent="0.35">
      <c r="A254" s="9" t="s">
        <v>2255</v>
      </c>
      <c r="B254" s="9" t="s">
        <v>2696</v>
      </c>
      <c r="C254" s="74"/>
      <c r="D254" s="9" t="s">
        <v>1872</v>
      </c>
    </row>
    <row r="255" spans="1:4" x14ac:dyDescent="0.35">
      <c r="A255" s="140" t="s">
        <v>2985</v>
      </c>
      <c r="B255" s="34" t="s">
        <v>2696</v>
      </c>
      <c r="C255" s="34"/>
      <c r="D255" s="34"/>
    </row>
    <row r="256" spans="1:4" x14ac:dyDescent="0.35">
      <c r="A256" s="140" t="s">
        <v>2987</v>
      </c>
      <c r="B256" s="34" t="s">
        <v>2696</v>
      </c>
      <c r="C256" s="34"/>
      <c r="D256" s="34"/>
    </row>
    <row r="257" spans="1:4" x14ac:dyDescent="0.35">
      <c r="A257" s="140" t="s">
        <v>2991</v>
      </c>
      <c r="B257" s="34" t="s">
        <v>2696</v>
      </c>
      <c r="C257" s="34"/>
      <c r="D257" s="34"/>
    </row>
    <row r="258" spans="1:4" x14ac:dyDescent="0.35">
      <c r="A258" s="140" t="s">
        <v>2993</v>
      </c>
      <c r="B258" s="34" t="s">
        <v>2696</v>
      </c>
      <c r="C258" s="34"/>
      <c r="D258" s="34"/>
    </row>
    <row r="259" spans="1:4" x14ac:dyDescent="0.35">
      <c r="A259" s="9" t="s">
        <v>942</v>
      </c>
      <c r="B259" s="9" t="s">
        <v>2696</v>
      </c>
      <c r="C259" s="74"/>
      <c r="D259" s="9" t="s">
        <v>1875</v>
      </c>
    </row>
    <row r="260" spans="1:4" x14ac:dyDescent="0.35">
      <c r="A260" s="140" t="s">
        <v>2995</v>
      </c>
      <c r="B260" s="34" t="s">
        <v>2696</v>
      </c>
      <c r="C260" s="34"/>
      <c r="D260" s="34"/>
    </row>
    <row r="261" spans="1:4" x14ac:dyDescent="0.35">
      <c r="A261" s="140" t="s">
        <v>2997</v>
      </c>
      <c r="B261" s="34" t="s">
        <v>2696</v>
      </c>
      <c r="C261" s="34"/>
      <c r="D261" s="34"/>
    </row>
    <row r="262" spans="1:4" x14ac:dyDescent="0.35">
      <c r="A262" s="140" t="s">
        <v>2999</v>
      </c>
      <c r="B262" s="34" t="s">
        <v>2696</v>
      </c>
      <c r="C262" s="34"/>
      <c r="D262" s="34"/>
    </row>
    <row r="263" spans="1:4" x14ac:dyDescent="0.35">
      <c r="A263" s="140" t="s">
        <v>3001</v>
      </c>
      <c r="B263" s="34" t="s">
        <v>2696</v>
      </c>
      <c r="C263" s="34"/>
      <c r="D263" s="34"/>
    </row>
    <row r="264" spans="1:4" x14ac:dyDescent="0.35">
      <c r="A264" s="140" t="s">
        <v>3006</v>
      </c>
      <c r="B264" s="34" t="s">
        <v>2696</v>
      </c>
      <c r="C264" s="34"/>
      <c r="D264" s="34"/>
    </row>
    <row r="265" spans="1:4" x14ac:dyDescent="0.35">
      <c r="A265" s="140" t="s">
        <v>3008</v>
      </c>
      <c r="B265" s="34" t="s">
        <v>2696</v>
      </c>
      <c r="C265" s="34"/>
      <c r="D265" s="34"/>
    </row>
    <row r="266" spans="1:4" x14ac:dyDescent="0.35">
      <c r="A266" s="140" t="s">
        <v>3011</v>
      </c>
      <c r="B266" s="34" t="s">
        <v>2696</v>
      </c>
      <c r="C266" s="34"/>
      <c r="D266" s="34"/>
    </row>
    <row r="267" spans="1:4" x14ac:dyDescent="0.35">
      <c r="A267" s="140" t="s">
        <v>3013</v>
      </c>
      <c r="B267" s="34" t="s">
        <v>2696</v>
      </c>
      <c r="C267" s="34"/>
      <c r="D267" s="34"/>
    </row>
    <row r="268" spans="1:4" x14ac:dyDescent="0.35">
      <c r="A268" s="140" t="s">
        <v>3015</v>
      </c>
      <c r="B268" s="34" t="s">
        <v>2696</v>
      </c>
      <c r="C268" s="34"/>
      <c r="D268" s="34"/>
    </row>
    <row r="269" spans="1:4" x14ac:dyDescent="0.35">
      <c r="A269" s="140" t="s">
        <v>3017</v>
      </c>
      <c r="B269" s="34" t="s">
        <v>2696</v>
      </c>
      <c r="C269" s="34"/>
      <c r="D269" s="34"/>
    </row>
    <row r="270" spans="1:4" x14ac:dyDescent="0.35">
      <c r="A270" s="140" t="s">
        <v>1324</v>
      </c>
      <c r="B270" s="34" t="s">
        <v>2696</v>
      </c>
      <c r="C270" s="34"/>
      <c r="D270" s="34"/>
    </row>
    <row r="271" spans="1:4" x14ac:dyDescent="0.35">
      <c r="A271" s="9" t="s">
        <v>3019</v>
      </c>
      <c r="B271" s="9" t="s">
        <v>2696</v>
      </c>
      <c r="C271" s="74"/>
      <c r="D271" s="9" t="s">
        <v>1879</v>
      </c>
    </row>
    <row r="272" spans="1:4" x14ac:dyDescent="0.35">
      <c r="A272" s="140" t="s">
        <v>3021</v>
      </c>
      <c r="B272" s="34" t="s">
        <v>2696</v>
      </c>
      <c r="C272" s="34"/>
      <c r="D272" s="34"/>
    </row>
    <row r="273" spans="1:6" x14ac:dyDescent="0.35">
      <c r="A273" s="9" t="s">
        <v>3024</v>
      </c>
      <c r="B273" s="9" t="s">
        <v>2696</v>
      </c>
      <c r="C273" s="74"/>
      <c r="D273" s="9" t="s">
        <v>1870</v>
      </c>
    </row>
    <row r="274" spans="1:6" x14ac:dyDescent="0.35">
      <c r="A274" s="140" t="s">
        <v>3025</v>
      </c>
      <c r="B274" s="34" t="s">
        <v>2696</v>
      </c>
      <c r="C274" s="34"/>
      <c r="D274" s="34"/>
    </row>
    <row r="275" spans="1:6" x14ac:dyDescent="0.35">
      <c r="A275" s="140" t="s">
        <v>3029</v>
      </c>
      <c r="B275" s="34" t="s">
        <v>2696</v>
      </c>
      <c r="C275" s="34"/>
      <c r="D275" s="34"/>
    </row>
    <row r="276" spans="1:6" x14ac:dyDescent="0.35">
      <c r="A276" s="140" t="s">
        <v>3032</v>
      </c>
      <c r="B276" s="34" t="s">
        <v>2696</v>
      </c>
      <c r="C276" s="34"/>
      <c r="D276" s="34"/>
    </row>
    <row r="277" spans="1:6" x14ac:dyDescent="0.35">
      <c r="A277" s="140" t="s">
        <v>3034</v>
      </c>
      <c r="B277" s="34" t="s">
        <v>2696</v>
      </c>
      <c r="C277" s="34"/>
      <c r="D277" s="34"/>
    </row>
    <row r="278" spans="1:6" x14ac:dyDescent="0.35">
      <c r="A278" s="140" t="s">
        <v>3037</v>
      </c>
      <c r="B278" s="34" t="s">
        <v>2696</v>
      </c>
      <c r="C278" s="34"/>
      <c r="D278" s="34"/>
    </row>
    <row r="279" spans="1:6" x14ac:dyDescent="0.35">
      <c r="A279" s="140" t="s">
        <v>3039</v>
      </c>
      <c r="B279" s="34" t="s">
        <v>2696</v>
      </c>
      <c r="C279" s="34"/>
      <c r="D279" s="34"/>
    </row>
    <row r="280" spans="1:6" x14ac:dyDescent="0.35">
      <c r="A280" s="39" t="s">
        <v>2439</v>
      </c>
      <c r="B280" s="9" t="s">
        <v>2696</v>
      </c>
      <c r="C280" s="74"/>
      <c r="D280" s="9" t="s">
        <v>1870</v>
      </c>
    </row>
    <row r="281" spans="1:6" x14ac:dyDescent="0.35">
      <c r="A281" s="140" t="s">
        <v>3043</v>
      </c>
      <c r="B281" s="34" t="s">
        <v>2696</v>
      </c>
      <c r="C281" s="34"/>
      <c r="D281" s="34"/>
    </row>
    <row r="282" spans="1:6" x14ac:dyDescent="0.35">
      <c r="A282" s="9" t="s">
        <v>993</v>
      </c>
      <c r="B282" s="9" t="s">
        <v>2696</v>
      </c>
      <c r="C282" s="109"/>
      <c r="D282" s="9" t="s">
        <v>1874</v>
      </c>
    </row>
    <row r="283" spans="1:6" x14ac:dyDescent="0.35">
      <c r="A283" s="140" t="s">
        <v>3046</v>
      </c>
      <c r="B283" s="34" t="s">
        <v>2696</v>
      </c>
      <c r="C283" s="34"/>
      <c r="D283" s="34"/>
    </row>
    <row r="284" spans="1:6" x14ac:dyDescent="0.35">
      <c r="A284" s="140" t="s">
        <v>3050</v>
      </c>
      <c r="B284" s="34" t="s">
        <v>2696</v>
      </c>
      <c r="C284" s="34"/>
      <c r="D284" s="34"/>
    </row>
    <row r="285" spans="1:6" x14ac:dyDescent="0.35">
      <c r="A285" s="140" t="s">
        <v>3053</v>
      </c>
      <c r="B285" s="34" t="s">
        <v>2696</v>
      </c>
      <c r="C285" s="34"/>
      <c r="D285" s="34"/>
    </row>
    <row r="286" spans="1:6" x14ac:dyDescent="0.35">
      <c r="A286" s="140" t="s">
        <v>3055</v>
      </c>
      <c r="B286" s="34" t="s">
        <v>2696</v>
      </c>
      <c r="C286" s="34"/>
      <c r="D286" s="34"/>
      <c r="E286" s="72"/>
      <c r="F286" s="72"/>
    </row>
    <row r="287" spans="1:6" x14ac:dyDescent="0.35">
      <c r="A287" s="39" t="s">
        <v>3058</v>
      </c>
      <c r="B287" s="9" t="s">
        <v>2696</v>
      </c>
      <c r="C287" s="74"/>
      <c r="D287" s="9" t="s">
        <v>1872</v>
      </c>
    </row>
    <row r="288" spans="1:6" x14ac:dyDescent="0.35">
      <c r="A288" s="140" t="s">
        <v>3060</v>
      </c>
      <c r="B288" s="34" t="s">
        <v>2696</v>
      </c>
      <c r="C288" s="34"/>
      <c r="D288" s="34"/>
    </row>
    <row r="289" spans="1:4" x14ac:dyDescent="0.35">
      <c r="A289" s="9" t="s">
        <v>1019</v>
      </c>
      <c r="B289" s="9" t="s">
        <v>2696</v>
      </c>
      <c r="C289" s="74"/>
      <c r="D289" s="9" t="s">
        <v>1877</v>
      </c>
    </row>
    <row r="290" spans="1:4" x14ac:dyDescent="0.35">
      <c r="A290" s="140" t="s">
        <v>3062</v>
      </c>
      <c r="B290" s="34" t="s">
        <v>2696</v>
      </c>
      <c r="C290" s="34"/>
      <c r="D290" s="34"/>
    </row>
    <row r="291" spans="1:4" x14ac:dyDescent="0.35">
      <c r="A291" s="140" t="s">
        <v>3064</v>
      </c>
      <c r="B291" s="34" t="s">
        <v>2696</v>
      </c>
      <c r="C291" s="34"/>
      <c r="D291" s="34"/>
    </row>
    <row r="292" spans="1:4" x14ac:dyDescent="0.35">
      <c r="A292" s="140" t="s">
        <v>3067</v>
      </c>
      <c r="B292" s="34" t="s">
        <v>2696</v>
      </c>
      <c r="C292" s="34"/>
      <c r="D292" s="34"/>
    </row>
    <row r="293" spans="1:4" x14ac:dyDescent="0.35">
      <c r="A293" s="9" t="s">
        <v>1022</v>
      </c>
      <c r="B293" s="9" t="s">
        <v>2696</v>
      </c>
      <c r="C293" s="74"/>
      <c r="D293" s="9" t="s">
        <v>1870</v>
      </c>
    </row>
    <row r="294" spans="1:4" x14ac:dyDescent="0.35">
      <c r="A294" s="140" t="s">
        <v>3072</v>
      </c>
      <c r="B294" s="34" t="s">
        <v>2696</v>
      </c>
      <c r="C294" s="34"/>
      <c r="D294" s="34"/>
    </row>
    <row r="295" spans="1:4" ht="29" x14ac:dyDescent="0.35">
      <c r="A295" s="141" t="s">
        <v>3074</v>
      </c>
      <c r="B295" s="34" t="s">
        <v>2696</v>
      </c>
      <c r="C295" s="34"/>
      <c r="D295" s="34"/>
    </row>
    <row r="296" spans="1:4" x14ac:dyDescent="0.35">
      <c r="A296" s="9" t="s">
        <v>3076</v>
      </c>
      <c r="B296" s="9" t="s">
        <v>2696</v>
      </c>
      <c r="C296" s="74"/>
      <c r="D296" s="9" t="s">
        <v>1874</v>
      </c>
    </row>
    <row r="297" spans="1:4" x14ac:dyDescent="0.35">
      <c r="A297" s="140" t="s">
        <v>3077</v>
      </c>
      <c r="B297" s="34" t="s">
        <v>2696</v>
      </c>
      <c r="C297" s="34"/>
      <c r="D297" s="34"/>
    </row>
    <row r="298" spans="1:4" x14ac:dyDescent="0.35">
      <c r="A298" s="140" t="s">
        <v>3079</v>
      </c>
      <c r="B298" s="34" t="s">
        <v>2696</v>
      </c>
      <c r="C298" s="34"/>
      <c r="D298" s="34"/>
    </row>
    <row r="299" spans="1:4" x14ac:dyDescent="0.35">
      <c r="A299" s="9" t="s">
        <v>2278</v>
      </c>
      <c r="B299" s="9" t="s">
        <v>2696</v>
      </c>
      <c r="C299" s="74"/>
      <c r="D299" s="9" t="s">
        <v>1874</v>
      </c>
    </row>
    <row r="300" spans="1:4" x14ac:dyDescent="0.35">
      <c r="A300" s="140" t="s">
        <v>3082</v>
      </c>
      <c r="B300" s="34" t="s">
        <v>2696</v>
      </c>
      <c r="C300" s="34"/>
      <c r="D300" s="34"/>
    </row>
    <row r="301" spans="1:4" x14ac:dyDescent="0.35">
      <c r="A301" s="9" t="s">
        <v>1476</v>
      </c>
      <c r="B301" s="9" t="s">
        <v>2696</v>
      </c>
      <c r="C301" s="74"/>
      <c r="D301" s="9" t="s">
        <v>1870</v>
      </c>
    </row>
    <row r="302" spans="1:4" x14ac:dyDescent="0.35">
      <c r="A302" s="140" t="s">
        <v>3084</v>
      </c>
      <c r="B302" s="34" t="s">
        <v>2696</v>
      </c>
      <c r="C302" s="34"/>
      <c r="D302" s="34"/>
    </row>
    <row r="303" spans="1:4" x14ac:dyDescent="0.35">
      <c r="A303" s="140" t="s">
        <v>3086</v>
      </c>
      <c r="B303" s="34" t="s">
        <v>2696</v>
      </c>
      <c r="C303" s="34"/>
      <c r="D303" s="34"/>
    </row>
    <row r="304" spans="1:4" x14ac:dyDescent="0.35">
      <c r="A304" s="140" t="s">
        <v>3088</v>
      </c>
      <c r="B304" s="34" t="s">
        <v>2696</v>
      </c>
      <c r="C304" s="34"/>
      <c r="D304" s="34"/>
    </row>
    <row r="305" spans="1:4" x14ac:dyDescent="0.35">
      <c r="A305" s="140" t="s">
        <v>3090</v>
      </c>
      <c r="B305" s="34" t="s">
        <v>2696</v>
      </c>
      <c r="C305" s="34"/>
      <c r="D305" s="34"/>
    </row>
    <row r="306" spans="1:4" x14ac:dyDescent="0.35">
      <c r="A306" s="39" t="s">
        <v>3092</v>
      </c>
      <c r="B306" s="9" t="s">
        <v>2696</v>
      </c>
      <c r="C306" s="74"/>
      <c r="D306" s="9" t="s">
        <v>1306</v>
      </c>
    </row>
    <row r="307" spans="1:4" x14ac:dyDescent="0.35">
      <c r="A307" s="9" t="s">
        <v>3093</v>
      </c>
      <c r="B307" s="9" t="s">
        <v>2696</v>
      </c>
      <c r="C307" s="74"/>
      <c r="D307" s="9" t="s">
        <v>1879</v>
      </c>
    </row>
    <row r="308" spans="1:4" x14ac:dyDescent="0.35">
      <c r="A308" s="140" t="s">
        <v>3096</v>
      </c>
      <c r="B308" s="34" t="s">
        <v>2696</v>
      </c>
      <c r="C308" s="34"/>
      <c r="D308" s="34"/>
    </row>
    <row r="309" spans="1:4" x14ac:dyDescent="0.35">
      <c r="A309" s="140" t="s">
        <v>3099</v>
      </c>
      <c r="B309" s="34" t="s">
        <v>2696</v>
      </c>
      <c r="C309" s="34"/>
      <c r="D309" s="34"/>
    </row>
    <row r="310" spans="1:4" x14ac:dyDescent="0.35">
      <c r="A310" s="140" t="s">
        <v>3101</v>
      </c>
      <c r="B310" s="34" t="s">
        <v>2696</v>
      </c>
      <c r="C310" s="34"/>
      <c r="D310" s="34"/>
    </row>
    <row r="311" spans="1:4" x14ac:dyDescent="0.35">
      <c r="A311" s="140" t="s">
        <v>3103</v>
      </c>
      <c r="B311" s="34" t="s">
        <v>2696</v>
      </c>
      <c r="C311" s="34"/>
      <c r="D311" s="34"/>
    </row>
    <row r="312" spans="1:4" x14ac:dyDescent="0.35">
      <c r="A312" s="9" t="s">
        <v>928</v>
      </c>
      <c r="B312" s="9" t="s">
        <v>2696</v>
      </c>
      <c r="C312" s="74"/>
      <c r="D312" s="9" t="s">
        <v>1875</v>
      </c>
    </row>
    <row r="313" spans="1:4" x14ac:dyDescent="0.35">
      <c r="A313" s="9" t="s">
        <v>3106</v>
      </c>
      <c r="B313" s="9" t="s">
        <v>2696</v>
      </c>
      <c r="C313" s="74"/>
      <c r="D313" s="9" t="s">
        <v>1873</v>
      </c>
    </row>
    <row r="314" spans="1:4" x14ac:dyDescent="0.35">
      <c r="A314" s="9" t="s">
        <v>3107</v>
      </c>
      <c r="B314" s="9" t="s">
        <v>2696</v>
      </c>
      <c r="C314" s="74"/>
      <c r="D314" s="9" t="s">
        <v>1878</v>
      </c>
    </row>
    <row r="315" spans="1:4" x14ac:dyDescent="0.35">
      <c r="A315" s="140" t="s">
        <v>3109</v>
      </c>
      <c r="B315" s="34" t="s">
        <v>2696</v>
      </c>
      <c r="C315" s="34"/>
      <c r="D315" s="34"/>
    </row>
    <row r="316" spans="1:4" x14ac:dyDescent="0.35">
      <c r="A316" s="9" t="s">
        <v>1310</v>
      </c>
      <c r="B316" s="9" t="s">
        <v>2696</v>
      </c>
      <c r="C316" s="74"/>
      <c r="D316" s="9" t="s">
        <v>1872</v>
      </c>
    </row>
    <row r="317" spans="1:4" x14ac:dyDescent="0.35">
      <c r="A317" s="140" t="s">
        <v>3111</v>
      </c>
      <c r="B317" s="34" t="s">
        <v>2696</v>
      </c>
      <c r="C317" s="34"/>
      <c r="D317" s="34"/>
    </row>
    <row r="318" spans="1:4" x14ac:dyDescent="0.35">
      <c r="A318" s="140" t="s">
        <v>3113</v>
      </c>
      <c r="B318" s="34" t="s">
        <v>2696</v>
      </c>
      <c r="C318" s="34"/>
      <c r="D318" s="34"/>
    </row>
    <row r="319" spans="1:4" x14ac:dyDescent="0.35">
      <c r="A319" s="141" t="s">
        <v>3115</v>
      </c>
      <c r="B319" s="34" t="s">
        <v>2696</v>
      </c>
      <c r="C319" s="34"/>
      <c r="D319" s="34"/>
    </row>
    <row r="320" spans="1:4" x14ac:dyDescent="0.35">
      <c r="A320" s="140" t="s">
        <v>3117</v>
      </c>
      <c r="B320" s="34" t="s">
        <v>2696</v>
      </c>
      <c r="C320" s="34"/>
      <c r="D320" s="34"/>
    </row>
    <row r="321" spans="1:4" x14ac:dyDescent="0.35">
      <c r="A321" s="9" t="s">
        <v>3119</v>
      </c>
      <c r="B321" s="9" t="s">
        <v>2696</v>
      </c>
      <c r="C321" s="74"/>
      <c r="D321" s="9" t="s">
        <v>1306</v>
      </c>
    </row>
    <row r="322" spans="1:4" x14ac:dyDescent="0.35">
      <c r="A322" s="140" t="s">
        <v>3124</v>
      </c>
      <c r="B322" s="34" t="s">
        <v>2696</v>
      </c>
      <c r="C322" s="34"/>
      <c r="D322" s="34"/>
    </row>
    <row r="323" spans="1:4" x14ac:dyDescent="0.35">
      <c r="A323" s="140" t="s">
        <v>3126</v>
      </c>
      <c r="B323" s="34" t="s">
        <v>2696</v>
      </c>
      <c r="C323" s="34"/>
      <c r="D323" s="34"/>
    </row>
    <row r="324" spans="1:4" x14ac:dyDescent="0.35">
      <c r="A324" s="39" t="s">
        <v>3128</v>
      </c>
      <c r="B324" s="9" t="s">
        <v>2696</v>
      </c>
      <c r="C324" s="34"/>
      <c r="D324" s="34"/>
    </row>
    <row r="325" spans="1:4" x14ac:dyDescent="0.35">
      <c r="A325" s="9" t="s">
        <v>3130</v>
      </c>
      <c r="B325" s="9" t="s">
        <v>2696</v>
      </c>
      <c r="C325" s="74"/>
      <c r="D325" s="9" t="s">
        <v>1873</v>
      </c>
    </row>
    <row r="326" spans="1:4" x14ac:dyDescent="0.35">
      <c r="A326" s="140" t="s">
        <v>3131</v>
      </c>
      <c r="B326" s="34" t="s">
        <v>2696</v>
      </c>
      <c r="C326" s="34"/>
      <c r="D326" s="34"/>
    </row>
    <row r="327" spans="1:4" x14ac:dyDescent="0.35">
      <c r="A327" s="9" t="s">
        <v>857</v>
      </c>
      <c r="B327" s="9" t="s">
        <v>2696</v>
      </c>
      <c r="C327" s="74"/>
      <c r="D327" s="9" t="s">
        <v>1877</v>
      </c>
    </row>
    <row r="328" spans="1:4" x14ac:dyDescent="0.35">
      <c r="A328" s="140" t="s">
        <v>3134</v>
      </c>
      <c r="B328" s="34" t="s">
        <v>2696</v>
      </c>
      <c r="C328" s="34"/>
      <c r="D328" s="34"/>
    </row>
    <row r="329" spans="1:4" x14ac:dyDescent="0.35">
      <c r="A329" s="140" t="s">
        <v>3135</v>
      </c>
      <c r="B329" s="34" t="s">
        <v>2696</v>
      </c>
      <c r="C329" s="34"/>
      <c r="D329" s="34"/>
    </row>
    <row r="330" spans="1:4" x14ac:dyDescent="0.35">
      <c r="A330" s="9" t="s">
        <v>3136</v>
      </c>
      <c r="B330" s="9" t="s">
        <v>2696</v>
      </c>
      <c r="C330" s="74"/>
      <c r="D330" s="9" t="s">
        <v>1870</v>
      </c>
    </row>
    <row r="331" spans="1:4" x14ac:dyDescent="0.35">
      <c r="A331" s="9" t="s">
        <v>3138</v>
      </c>
      <c r="B331" s="9" t="s">
        <v>2696</v>
      </c>
      <c r="C331" s="74"/>
      <c r="D331" s="9" t="s">
        <v>1870</v>
      </c>
    </row>
    <row r="332" spans="1:4" x14ac:dyDescent="0.35">
      <c r="A332" s="140" t="s">
        <v>3139</v>
      </c>
      <c r="B332" s="34" t="s">
        <v>2696</v>
      </c>
      <c r="C332" s="34"/>
      <c r="D332" s="34"/>
    </row>
    <row r="333" spans="1:4" x14ac:dyDescent="0.35">
      <c r="A333" s="140" t="s">
        <v>3143</v>
      </c>
      <c r="B333" s="34" t="s">
        <v>2696</v>
      </c>
      <c r="C333" s="34"/>
      <c r="D333" s="34"/>
    </row>
    <row r="334" spans="1:4" x14ac:dyDescent="0.35">
      <c r="A334" s="9" t="s">
        <v>1857</v>
      </c>
      <c r="B334" s="9" t="s">
        <v>2696</v>
      </c>
      <c r="C334" s="74"/>
      <c r="D334" s="9" t="s">
        <v>1872</v>
      </c>
    </row>
    <row r="335" spans="1:4" x14ac:dyDescent="0.35">
      <c r="A335" s="140" t="s">
        <v>3145</v>
      </c>
      <c r="B335" s="34" t="s">
        <v>2696</v>
      </c>
      <c r="C335" s="34"/>
      <c r="D335" s="34"/>
    </row>
    <row r="336" spans="1:4" x14ac:dyDescent="0.35">
      <c r="A336" s="39" t="s">
        <v>712</v>
      </c>
      <c r="B336" s="9" t="s">
        <v>2696</v>
      </c>
      <c r="C336" s="74"/>
      <c r="D336" s="9" t="s">
        <v>1872</v>
      </c>
    </row>
    <row r="337" spans="1:4" x14ac:dyDescent="0.35">
      <c r="A337" s="140" t="s">
        <v>3148</v>
      </c>
      <c r="B337" s="34" t="s">
        <v>2696</v>
      </c>
      <c r="C337" s="34"/>
      <c r="D337" s="34"/>
    </row>
    <row r="338" spans="1:4" x14ac:dyDescent="0.35">
      <c r="A338" s="9" t="s">
        <v>2306</v>
      </c>
      <c r="B338" s="9" t="s">
        <v>2696</v>
      </c>
      <c r="C338" s="74"/>
      <c r="D338" s="9" t="s">
        <v>1876</v>
      </c>
    </row>
    <row r="339" spans="1:4" x14ac:dyDescent="0.35">
      <c r="A339" s="140" t="s">
        <v>2002</v>
      </c>
      <c r="B339" s="34" t="s">
        <v>2696</v>
      </c>
      <c r="C339" s="34"/>
      <c r="D339" s="34"/>
    </row>
    <row r="340" spans="1:4" x14ac:dyDescent="0.35">
      <c r="A340" s="9" t="s">
        <v>1044</v>
      </c>
      <c r="B340" s="9" t="s">
        <v>2696</v>
      </c>
      <c r="C340" s="74"/>
      <c r="D340" s="9" t="s">
        <v>1874</v>
      </c>
    </row>
    <row r="341" spans="1:4" x14ac:dyDescent="0.35">
      <c r="A341" s="140" t="s">
        <v>3153</v>
      </c>
      <c r="B341" s="34" t="s">
        <v>2696</v>
      </c>
      <c r="C341" s="34"/>
      <c r="D341" s="34"/>
    </row>
    <row r="342" spans="1:4" x14ac:dyDescent="0.35">
      <c r="A342" s="140" t="s">
        <v>3155</v>
      </c>
      <c r="B342" s="34" t="s">
        <v>2696</v>
      </c>
      <c r="C342" s="34"/>
      <c r="D342" s="34"/>
    </row>
    <row r="343" spans="1:4" x14ac:dyDescent="0.35">
      <c r="A343" s="9" t="s">
        <v>3157</v>
      </c>
      <c r="B343" s="9" t="s">
        <v>2696</v>
      </c>
      <c r="C343" s="74"/>
      <c r="D343" s="9" t="s">
        <v>1876</v>
      </c>
    </row>
    <row r="344" spans="1:4" x14ac:dyDescent="0.35">
      <c r="A344" s="9" t="s">
        <v>3159</v>
      </c>
      <c r="B344" s="9" t="s">
        <v>2696</v>
      </c>
      <c r="C344" s="74"/>
      <c r="D344" s="9" t="s">
        <v>1878</v>
      </c>
    </row>
    <row r="345" spans="1:4" x14ac:dyDescent="0.35">
      <c r="A345" s="140" t="s">
        <v>3160</v>
      </c>
      <c r="B345" s="34" t="s">
        <v>2696</v>
      </c>
      <c r="C345" s="34"/>
      <c r="D345" s="34"/>
    </row>
    <row r="346" spans="1:4" x14ac:dyDescent="0.35">
      <c r="A346" s="140" t="s">
        <v>3163</v>
      </c>
      <c r="B346" s="34" t="s">
        <v>2696</v>
      </c>
      <c r="C346" s="34"/>
      <c r="D346" s="34"/>
    </row>
    <row r="347" spans="1:4" x14ac:dyDescent="0.35">
      <c r="A347" s="140" t="s">
        <v>3165</v>
      </c>
      <c r="B347" s="34" t="s">
        <v>2696</v>
      </c>
      <c r="C347" s="34"/>
      <c r="D347" s="34"/>
    </row>
    <row r="348" spans="1:4" x14ac:dyDescent="0.35">
      <c r="A348" s="140" t="s">
        <v>3167</v>
      </c>
      <c r="B348" s="34" t="s">
        <v>2696</v>
      </c>
      <c r="C348" s="34"/>
      <c r="D348" s="34"/>
    </row>
    <row r="349" spans="1:4" x14ac:dyDescent="0.35">
      <c r="A349" s="140" t="s">
        <v>3169</v>
      </c>
      <c r="B349" s="34" t="s">
        <v>2696</v>
      </c>
      <c r="C349" s="34"/>
      <c r="D349" s="34"/>
    </row>
    <row r="350" spans="1:4" x14ac:dyDescent="0.35">
      <c r="A350" s="140" t="s">
        <v>3171</v>
      </c>
      <c r="B350" s="34" t="s">
        <v>2696</v>
      </c>
      <c r="C350" s="34"/>
      <c r="D350" s="34"/>
    </row>
    <row r="351" spans="1:4" x14ac:dyDescent="0.35">
      <c r="A351" s="140" t="s">
        <v>3173</v>
      </c>
      <c r="B351" s="34" t="s">
        <v>2696</v>
      </c>
      <c r="C351" s="34"/>
      <c r="D351" s="34"/>
    </row>
    <row r="352" spans="1:4" x14ac:dyDescent="0.35">
      <c r="A352" s="140" t="s">
        <v>3175</v>
      </c>
      <c r="B352" s="34" t="s">
        <v>2696</v>
      </c>
      <c r="C352" s="34"/>
      <c r="D352" s="34"/>
    </row>
    <row r="353" spans="1:6" x14ac:dyDescent="0.35">
      <c r="A353" s="140" t="s">
        <v>3177</v>
      </c>
      <c r="B353" s="34" t="s">
        <v>2696</v>
      </c>
      <c r="C353" s="34"/>
      <c r="D353" s="34"/>
    </row>
    <row r="354" spans="1:6" x14ac:dyDescent="0.35">
      <c r="A354" s="140" t="s">
        <v>3178</v>
      </c>
      <c r="B354" s="34" t="s">
        <v>2696</v>
      </c>
      <c r="C354" s="34"/>
      <c r="D354" s="34"/>
    </row>
    <row r="355" spans="1:6" x14ac:dyDescent="0.35">
      <c r="A355" s="9" t="s">
        <v>3179</v>
      </c>
      <c r="B355" s="9" t="s">
        <v>2696</v>
      </c>
      <c r="C355" s="74"/>
      <c r="D355" s="9"/>
    </row>
    <row r="356" spans="1:6" x14ac:dyDescent="0.35">
      <c r="A356" s="285" t="s">
        <v>3180</v>
      </c>
      <c r="B356" s="34" t="s">
        <v>2696</v>
      </c>
      <c r="C356" s="34"/>
      <c r="D356" s="34"/>
    </row>
    <row r="357" spans="1:6" ht="15.5" x14ac:dyDescent="0.35">
      <c r="A357" s="179" t="s">
        <v>2703</v>
      </c>
      <c r="B357" s="103" t="s">
        <v>2697</v>
      </c>
      <c r="C357" s="103"/>
      <c r="D357" s="103"/>
      <c r="F357" s="139" t="s">
        <v>2704</v>
      </c>
    </row>
    <row r="358" spans="1:6" ht="15.5" x14ac:dyDescent="0.35">
      <c r="A358" s="179" t="s">
        <v>124</v>
      </c>
      <c r="B358" s="103" t="s">
        <v>2697</v>
      </c>
      <c r="C358" s="103"/>
      <c r="D358" s="103"/>
    </row>
    <row r="359" spans="1:6" x14ac:dyDescent="0.35">
      <c r="A359" s="50" t="s">
        <v>425</v>
      </c>
      <c r="B359" s="50" t="s">
        <v>2697</v>
      </c>
      <c r="C359" s="80" t="s">
        <v>1872</v>
      </c>
      <c r="D359" s="50" t="s">
        <v>1872</v>
      </c>
    </row>
    <row r="360" spans="1:6" x14ac:dyDescent="0.35">
      <c r="A360" s="50" t="s">
        <v>634</v>
      </c>
      <c r="B360" s="50" t="s">
        <v>2697</v>
      </c>
      <c r="C360" s="80" t="s">
        <v>1306</v>
      </c>
      <c r="D360" s="50" t="s">
        <v>1306</v>
      </c>
    </row>
    <row r="361" spans="1:6" ht="15.5" x14ac:dyDescent="0.35">
      <c r="A361" s="179" t="s">
        <v>2713</v>
      </c>
      <c r="B361" s="103" t="s">
        <v>2697</v>
      </c>
      <c r="C361" s="103"/>
      <c r="D361" s="103"/>
    </row>
    <row r="362" spans="1:6" ht="15.5" x14ac:dyDescent="0.35">
      <c r="A362" s="179" t="s">
        <v>2714</v>
      </c>
      <c r="B362" s="103" t="s">
        <v>2697</v>
      </c>
      <c r="C362" s="103"/>
      <c r="D362" s="103"/>
    </row>
    <row r="363" spans="1:6" ht="15.5" x14ac:dyDescent="0.35">
      <c r="A363" s="179" t="s">
        <v>1625</v>
      </c>
      <c r="B363" s="103" t="s">
        <v>2697</v>
      </c>
      <c r="C363" s="103"/>
      <c r="D363" s="103"/>
    </row>
    <row r="364" spans="1:6" ht="15.5" x14ac:dyDescent="0.35">
      <c r="A364" s="179" t="s">
        <v>490</v>
      </c>
      <c r="B364" s="103" t="s">
        <v>2697</v>
      </c>
      <c r="C364" s="103"/>
      <c r="D364" s="103"/>
    </row>
    <row r="365" spans="1:6" x14ac:dyDescent="0.35">
      <c r="A365" s="142" t="s">
        <v>586</v>
      </c>
      <c r="B365" s="103" t="s">
        <v>2697</v>
      </c>
      <c r="C365" s="103"/>
      <c r="D365" s="103"/>
    </row>
    <row r="366" spans="1:6" ht="15.5" x14ac:dyDescent="0.35">
      <c r="A366" s="179" t="s">
        <v>2715</v>
      </c>
      <c r="B366" s="103" t="s">
        <v>2697</v>
      </c>
      <c r="C366" s="103"/>
      <c r="D366" s="103"/>
    </row>
    <row r="367" spans="1:6" ht="15.5" x14ac:dyDescent="0.35">
      <c r="A367" s="179" t="s">
        <v>2718</v>
      </c>
      <c r="B367" s="103" t="s">
        <v>2697</v>
      </c>
      <c r="C367" s="103"/>
      <c r="D367" s="103"/>
    </row>
    <row r="368" spans="1:6" x14ac:dyDescent="0.35">
      <c r="A368" s="50" t="s">
        <v>368</v>
      </c>
      <c r="B368" s="50" t="s">
        <v>2697</v>
      </c>
      <c r="C368" s="80" t="s">
        <v>1872</v>
      </c>
      <c r="D368" s="50" t="s">
        <v>1872</v>
      </c>
    </row>
    <row r="369" spans="1:4" ht="15.5" x14ac:dyDescent="0.35">
      <c r="A369" s="179" t="s">
        <v>2720</v>
      </c>
      <c r="B369" s="103" t="s">
        <v>2697</v>
      </c>
      <c r="C369" s="103"/>
      <c r="D369" s="103"/>
    </row>
    <row r="370" spans="1:4" ht="15.5" x14ac:dyDescent="0.35">
      <c r="A370" s="179" t="s">
        <v>157</v>
      </c>
      <c r="B370" s="103" t="s">
        <v>2697</v>
      </c>
      <c r="C370" s="103"/>
      <c r="D370" s="103"/>
    </row>
    <row r="371" spans="1:4" ht="15.5" x14ac:dyDescent="0.35">
      <c r="A371" s="179" t="s">
        <v>1619</v>
      </c>
      <c r="B371" s="103" t="s">
        <v>2697</v>
      </c>
      <c r="C371" s="103"/>
      <c r="D371" s="103"/>
    </row>
    <row r="372" spans="1:4" x14ac:dyDescent="0.35">
      <c r="A372" s="89" t="s">
        <v>1369</v>
      </c>
      <c r="B372" s="50" t="s">
        <v>2697</v>
      </c>
      <c r="C372" s="80" t="s">
        <v>1872</v>
      </c>
      <c r="D372" s="50"/>
    </row>
    <row r="373" spans="1:4" ht="15.5" x14ac:dyDescent="0.35">
      <c r="A373" s="179" t="s">
        <v>2726</v>
      </c>
      <c r="B373" s="103" t="s">
        <v>2697</v>
      </c>
      <c r="C373" s="103"/>
      <c r="D373" s="103"/>
    </row>
    <row r="374" spans="1:4" x14ac:dyDescent="0.35">
      <c r="A374" s="50" t="s">
        <v>501</v>
      </c>
      <c r="B374" s="50" t="s">
        <v>2697</v>
      </c>
      <c r="C374" s="80" t="s">
        <v>1872</v>
      </c>
      <c r="D374" s="50" t="s">
        <v>1872</v>
      </c>
    </row>
    <row r="375" spans="1:4" ht="15.5" x14ac:dyDescent="0.35">
      <c r="A375" s="179" t="s">
        <v>2728</v>
      </c>
      <c r="B375" s="103" t="s">
        <v>2697</v>
      </c>
      <c r="C375" s="103"/>
      <c r="D375" s="103"/>
    </row>
    <row r="376" spans="1:4" ht="15.5" x14ac:dyDescent="0.35">
      <c r="A376" s="179" t="s">
        <v>2729</v>
      </c>
      <c r="B376" s="103" t="s">
        <v>2697</v>
      </c>
      <c r="C376" s="103"/>
      <c r="D376" s="103"/>
    </row>
    <row r="377" spans="1:4" ht="15.5" x14ac:dyDescent="0.35">
      <c r="A377" s="179" t="s">
        <v>877</v>
      </c>
      <c r="B377" s="103" t="s">
        <v>2697</v>
      </c>
      <c r="C377" s="103"/>
      <c r="D377" s="103"/>
    </row>
    <row r="378" spans="1:4" x14ac:dyDescent="0.35">
      <c r="A378" s="144" t="s">
        <v>1170</v>
      </c>
      <c r="B378" s="103" t="s">
        <v>2697</v>
      </c>
      <c r="C378" s="103" t="s">
        <v>1306</v>
      </c>
      <c r="D378" s="103"/>
    </row>
    <row r="379" spans="1:4" x14ac:dyDescent="0.35">
      <c r="A379" s="50" t="s">
        <v>794</v>
      </c>
      <c r="B379" s="50" t="s">
        <v>2697</v>
      </c>
      <c r="C379" s="80" t="s">
        <v>1306</v>
      </c>
      <c r="D379" s="50" t="s">
        <v>1872</v>
      </c>
    </row>
    <row r="380" spans="1:4" x14ac:dyDescent="0.35">
      <c r="A380" s="144" t="s">
        <v>2735</v>
      </c>
      <c r="B380" s="103" t="s">
        <v>2697</v>
      </c>
      <c r="C380" s="103" t="s">
        <v>1872</v>
      </c>
      <c r="D380" s="103"/>
    </row>
    <row r="381" spans="1:4" ht="15.5" x14ac:dyDescent="0.35">
      <c r="A381" s="179" t="s">
        <v>2736</v>
      </c>
      <c r="B381" s="103" t="s">
        <v>2697</v>
      </c>
      <c r="C381" s="103"/>
      <c r="D381" s="103"/>
    </row>
    <row r="382" spans="1:4" x14ac:dyDescent="0.35">
      <c r="A382" s="50" t="s">
        <v>337</v>
      </c>
      <c r="B382" s="50" t="s">
        <v>2697</v>
      </c>
      <c r="C382" s="80" t="s">
        <v>1872</v>
      </c>
      <c r="D382" s="50" t="s">
        <v>1876</v>
      </c>
    </row>
    <row r="383" spans="1:4" x14ac:dyDescent="0.35">
      <c r="A383" s="144" t="s">
        <v>2738</v>
      </c>
      <c r="B383" s="103" t="s">
        <v>2697</v>
      </c>
      <c r="C383" s="103" t="s">
        <v>1872</v>
      </c>
      <c r="D383" s="103"/>
    </row>
    <row r="384" spans="1:4" ht="15.5" x14ac:dyDescent="0.35">
      <c r="A384" s="179" t="s">
        <v>2742</v>
      </c>
      <c r="B384" s="103" t="s">
        <v>2697</v>
      </c>
      <c r="C384" s="103"/>
      <c r="D384" s="103"/>
    </row>
    <row r="385" spans="1:4" x14ac:dyDescent="0.35">
      <c r="A385" s="89" t="s">
        <v>815</v>
      </c>
      <c r="B385" s="50" t="s">
        <v>2697</v>
      </c>
      <c r="C385" s="80" t="s">
        <v>1872</v>
      </c>
      <c r="D385" s="50" t="s">
        <v>1872</v>
      </c>
    </row>
    <row r="386" spans="1:4" ht="15.5" x14ac:dyDescent="0.35">
      <c r="A386" s="179" t="s">
        <v>1380</v>
      </c>
      <c r="B386" s="103" t="s">
        <v>2697</v>
      </c>
      <c r="C386" s="103"/>
      <c r="D386" s="103"/>
    </row>
    <row r="387" spans="1:4" ht="15.5" x14ac:dyDescent="0.35">
      <c r="A387" s="179" t="s">
        <v>2369</v>
      </c>
      <c r="B387" s="103" t="s">
        <v>2697</v>
      </c>
      <c r="C387" s="103"/>
      <c r="D387" s="103"/>
    </row>
    <row r="388" spans="1:4" x14ac:dyDescent="0.35">
      <c r="A388" s="89" t="s">
        <v>778</v>
      </c>
      <c r="B388" s="50" t="s">
        <v>2697</v>
      </c>
      <c r="C388" s="80" t="s">
        <v>2707</v>
      </c>
      <c r="D388" s="50" t="s">
        <v>1306</v>
      </c>
    </row>
    <row r="389" spans="1:4" x14ac:dyDescent="0.35">
      <c r="A389" s="50" t="s">
        <v>356</v>
      </c>
      <c r="B389" s="50" t="s">
        <v>2697</v>
      </c>
      <c r="C389" s="80" t="s">
        <v>1872</v>
      </c>
      <c r="D389" s="50" t="s">
        <v>1870</v>
      </c>
    </row>
    <row r="390" spans="1:4" ht="15.5" x14ac:dyDescent="0.35">
      <c r="A390" s="179" t="s">
        <v>680</v>
      </c>
      <c r="B390" s="103" t="s">
        <v>2697</v>
      </c>
      <c r="C390" s="103"/>
      <c r="D390" s="103"/>
    </row>
    <row r="391" spans="1:4" ht="15.5" x14ac:dyDescent="0.35">
      <c r="A391" s="179" t="s">
        <v>377</v>
      </c>
      <c r="B391" s="103" t="s">
        <v>2697</v>
      </c>
      <c r="C391" s="103"/>
      <c r="D391" s="103"/>
    </row>
    <row r="392" spans="1:4" ht="15.5" x14ac:dyDescent="0.35">
      <c r="A392" s="179" t="s">
        <v>896</v>
      </c>
      <c r="B392" s="103" t="s">
        <v>2697</v>
      </c>
      <c r="C392" s="103"/>
      <c r="D392" s="103"/>
    </row>
    <row r="393" spans="1:4" x14ac:dyDescent="0.35">
      <c r="A393" s="50" t="s">
        <v>2750</v>
      </c>
      <c r="B393" s="50" t="s">
        <v>2697</v>
      </c>
      <c r="C393" s="80" t="s">
        <v>1872</v>
      </c>
      <c r="D393" s="50"/>
    </row>
    <row r="394" spans="1:4" ht="15.5" x14ac:dyDescent="0.35">
      <c r="A394" s="179" t="s">
        <v>2753</v>
      </c>
      <c r="B394" s="103" t="s">
        <v>2697</v>
      </c>
      <c r="C394" s="103"/>
      <c r="D394" s="103"/>
    </row>
    <row r="395" spans="1:4" ht="15.5" x14ac:dyDescent="0.35">
      <c r="A395" s="179" t="s">
        <v>1213</v>
      </c>
      <c r="B395" s="103" t="s">
        <v>2697</v>
      </c>
      <c r="C395" s="103"/>
      <c r="D395" s="103"/>
    </row>
    <row r="396" spans="1:4" x14ac:dyDescent="0.35">
      <c r="A396" s="50" t="s">
        <v>764</v>
      </c>
      <c r="B396" s="50" t="s">
        <v>2697</v>
      </c>
      <c r="C396" s="80" t="s">
        <v>1872</v>
      </c>
      <c r="D396" s="50" t="s">
        <v>1875</v>
      </c>
    </row>
    <row r="397" spans="1:4" x14ac:dyDescent="0.35">
      <c r="A397" s="50" t="s">
        <v>352</v>
      </c>
      <c r="B397" s="50" t="s">
        <v>2697</v>
      </c>
      <c r="C397" s="80" t="s">
        <v>1872</v>
      </c>
      <c r="D397" s="50" t="s">
        <v>1872</v>
      </c>
    </row>
    <row r="398" spans="1:4" ht="15.5" x14ac:dyDescent="0.35">
      <c r="A398" s="179" t="s">
        <v>2754</v>
      </c>
      <c r="B398" s="103" t="s">
        <v>2697</v>
      </c>
      <c r="C398" s="103"/>
      <c r="D398" s="103"/>
    </row>
    <row r="399" spans="1:4" x14ac:dyDescent="0.35">
      <c r="A399" s="50" t="s">
        <v>2407</v>
      </c>
      <c r="B399" s="50" t="s">
        <v>2697</v>
      </c>
      <c r="C399" s="80" t="s">
        <v>1306</v>
      </c>
      <c r="D399" s="50" t="s">
        <v>1872</v>
      </c>
    </row>
    <row r="400" spans="1:4" x14ac:dyDescent="0.35">
      <c r="A400" s="244" t="s">
        <v>2755</v>
      </c>
      <c r="B400" s="103" t="s">
        <v>2697</v>
      </c>
      <c r="C400" s="103"/>
      <c r="D400" s="103"/>
    </row>
    <row r="401" spans="1:4" x14ac:dyDescent="0.35">
      <c r="A401" s="142" t="s">
        <v>2757</v>
      </c>
      <c r="B401" s="244" t="s">
        <v>2697</v>
      </c>
      <c r="C401" s="244" t="s">
        <v>1876</v>
      </c>
      <c r="D401" s="244"/>
    </row>
    <row r="402" spans="1:4" x14ac:dyDescent="0.35">
      <c r="A402" s="89" t="s">
        <v>485</v>
      </c>
      <c r="B402" s="50" t="s">
        <v>2697</v>
      </c>
      <c r="C402" s="80" t="s">
        <v>1872</v>
      </c>
      <c r="D402" s="50" t="s">
        <v>1872</v>
      </c>
    </row>
    <row r="403" spans="1:4" x14ac:dyDescent="0.35">
      <c r="A403" s="142" t="s">
        <v>943</v>
      </c>
      <c r="B403" s="103" t="s">
        <v>2697</v>
      </c>
      <c r="C403" s="103"/>
      <c r="D403" s="103"/>
    </row>
    <row r="404" spans="1:4" x14ac:dyDescent="0.35">
      <c r="A404" s="142" t="s">
        <v>2758</v>
      </c>
      <c r="B404" s="103" t="s">
        <v>2697</v>
      </c>
      <c r="C404" s="103" t="s">
        <v>1874</v>
      </c>
      <c r="D404" s="103"/>
    </row>
    <row r="405" spans="1:4" ht="15.5" x14ac:dyDescent="0.35">
      <c r="A405" s="179" t="s">
        <v>2760</v>
      </c>
      <c r="B405" s="103" t="s">
        <v>2697</v>
      </c>
      <c r="C405" s="103"/>
      <c r="D405" s="103"/>
    </row>
    <row r="406" spans="1:4" ht="15.5" x14ac:dyDescent="0.35">
      <c r="A406" s="179" t="s">
        <v>2761</v>
      </c>
      <c r="B406" s="103" t="s">
        <v>2697</v>
      </c>
      <c r="C406" s="103"/>
      <c r="D406" s="103"/>
    </row>
    <row r="407" spans="1:4" x14ac:dyDescent="0.35">
      <c r="A407" s="142" t="s">
        <v>2765</v>
      </c>
      <c r="B407" s="103" t="s">
        <v>2697</v>
      </c>
      <c r="C407" s="103" t="s">
        <v>1306</v>
      </c>
      <c r="D407" s="103"/>
    </row>
    <row r="408" spans="1:4" x14ac:dyDescent="0.35">
      <c r="A408" s="50" t="s">
        <v>704</v>
      </c>
      <c r="B408" s="50" t="s">
        <v>2697</v>
      </c>
      <c r="C408" s="80" t="s">
        <v>1306</v>
      </c>
      <c r="D408" s="50" t="s">
        <v>1872</v>
      </c>
    </row>
    <row r="409" spans="1:4" x14ac:dyDescent="0.35">
      <c r="A409" s="244" t="s">
        <v>2766</v>
      </c>
      <c r="B409" s="103" t="s">
        <v>2697</v>
      </c>
      <c r="C409" s="103"/>
      <c r="D409" s="103"/>
    </row>
    <row r="410" spans="1:4" ht="15.5" x14ac:dyDescent="0.35">
      <c r="A410" s="179" t="s">
        <v>2291</v>
      </c>
      <c r="B410" s="103" t="s">
        <v>2697</v>
      </c>
      <c r="C410" s="103"/>
      <c r="D410" s="103"/>
    </row>
    <row r="411" spans="1:4" x14ac:dyDescent="0.35">
      <c r="A411" s="50" t="s">
        <v>572</v>
      </c>
      <c r="B411" s="50" t="s">
        <v>2697</v>
      </c>
      <c r="C411" s="80" t="s">
        <v>1872</v>
      </c>
      <c r="D411" s="50" t="s">
        <v>1872</v>
      </c>
    </row>
    <row r="412" spans="1:4" ht="15.5" x14ac:dyDescent="0.35">
      <c r="A412" s="179" t="s">
        <v>2396</v>
      </c>
      <c r="B412" s="103" t="s">
        <v>2697</v>
      </c>
      <c r="C412" s="103"/>
      <c r="D412" s="103"/>
    </row>
    <row r="413" spans="1:4" ht="15.5" x14ac:dyDescent="0.35">
      <c r="A413" s="179" t="s">
        <v>2770</v>
      </c>
      <c r="B413" s="103" t="s">
        <v>2697</v>
      </c>
      <c r="C413" s="103"/>
      <c r="D413" s="103"/>
    </row>
    <row r="414" spans="1:4" ht="15.5" x14ac:dyDescent="0.35">
      <c r="A414" s="179" t="s">
        <v>2771</v>
      </c>
      <c r="B414" s="103" t="s">
        <v>2697</v>
      </c>
      <c r="C414" s="103"/>
      <c r="D414" s="103"/>
    </row>
    <row r="415" spans="1:4" x14ac:dyDescent="0.35">
      <c r="A415" s="89" t="s">
        <v>1110</v>
      </c>
      <c r="B415" s="50" t="s">
        <v>2697</v>
      </c>
      <c r="C415" s="80" t="s">
        <v>1872</v>
      </c>
      <c r="D415" s="50"/>
    </row>
    <row r="416" spans="1:4" ht="15.5" x14ac:dyDescent="0.35">
      <c r="A416" s="179" t="s">
        <v>657</v>
      </c>
      <c r="B416" s="103" t="s">
        <v>2697</v>
      </c>
      <c r="C416" s="103"/>
      <c r="D416" s="103"/>
    </row>
    <row r="417" spans="1:4" ht="15.5" x14ac:dyDescent="0.35">
      <c r="A417" s="179" t="s">
        <v>552</v>
      </c>
      <c r="B417" s="103" t="s">
        <v>2697</v>
      </c>
      <c r="C417" s="103"/>
      <c r="D417" s="103"/>
    </row>
    <row r="418" spans="1:4" x14ac:dyDescent="0.35">
      <c r="A418" s="9" t="s">
        <v>2775</v>
      </c>
      <c r="B418" s="9" t="s">
        <v>2697</v>
      </c>
      <c r="C418" s="74"/>
      <c r="D418" s="9" t="s">
        <v>1878</v>
      </c>
    </row>
    <row r="419" spans="1:4" x14ac:dyDescent="0.35">
      <c r="A419" s="140" t="s">
        <v>2776</v>
      </c>
      <c r="B419" s="34" t="s">
        <v>2697</v>
      </c>
      <c r="C419" s="34"/>
      <c r="D419" s="34"/>
    </row>
    <row r="420" spans="1:4" x14ac:dyDescent="0.35">
      <c r="A420" s="140" t="s">
        <v>2780</v>
      </c>
      <c r="B420" s="34" t="s">
        <v>2697</v>
      </c>
      <c r="C420" s="34"/>
      <c r="D420" s="34"/>
    </row>
    <row r="421" spans="1:4" x14ac:dyDescent="0.35">
      <c r="A421" s="9" t="s">
        <v>2782</v>
      </c>
      <c r="B421" s="9" t="s">
        <v>2697</v>
      </c>
      <c r="C421" s="74"/>
      <c r="D421" s="9" t="s">
        <v>1877</v>
      </c>
    </row>
    <row r="422" spans="1:4" x14ac:dyDescent="0.35">
      <c r="A422" s="140" t="s">
        <v>2785</v>
      </c>
      <c r="B422" s="34" t="s">
        <v>2697</v>
      </c>
      <c r="C422" s="34"/>
      <c r="D422" s="34"/>
    </row>
    <row r="423" spans="1:4" x14ac:dyDescent="0.35">
      <c r="A423" s="140" t="s">
        <v>2786</v>
      </c>
      <c r="B423" s="34" t="s">
        <v>2697</v>
      </c>
      <c r="C423" s="34"/>
      <c r="D423" s="34"/>
    </row>
    <row r="424" spans="1:4" x14ac:dyDescent="0.35">
      <c r="A424" s="140" t="s">
        <v>2787</v>
      </c>
      <c r="B424" s="34" t="s">
        <v>2697</v>
      </c>
      <c r="C424" s="34"/>
      <c r="D424" s="34"/>
    </row>
    <row r="425" spans="1:4" x14ac:dyDescent="0.35">
      <c r="A425" s="140" t="s">
        <v>2792</v>
      </c>
      <c r="B425" s="34" t="s">
        <v>2697</v>
      </c>
      <c r="C425" s="34"/>
      <c r="D425" s="34"/>
    </row>
    <row r="426" spans="1:4" x14ac:dyDescent="0.35">
      <c r="A426" s="9" t="s">
        <v>2797</v>
      </c>
      <c r="B426" s="9" t="s">
        <v>2697</v>
      </c>
      <c r="C426" s="74"/>
      <c r="D426" s="9" t="s">
        <v>1306</v>
      </c>
    </row>
    <row r="427" spans="1:4" x14ac:dyDescent="0.35">
      <c r="A427" s="140" t="s">
        <v>2798</v>
      </c>
      <c r="B427" s="34" t="s">
        <v>2697</v>
      </c>
      <c r="C427" s="34"/>
      <c r="D427" s="34"/>
    </row>
    <row r="428" spans="1:4" x14ac:dyDescent="0.35">
      <c r="A428" s="140" t="s">
        <v>2801</v>
      </c>
      <c r="B428" s="34" t="s">
        <v>2697</v>
      </c>
      <c r="C428" s="34"/>
      <c r="D428" s="34"/>
    </row>
    <row r="429" spans="1:4" x14ac:dyDescent="0.35">
      <c r="A429" s="140" t="s">
        <v>2806</v>
      </c>
      <c r="B429" s="34" t="s">
        <v>2697</v>
      </c>
      <c r="C429" s="34"/>
      <c r="D429" s="34"/>
    </row>
    <row r="430" spans="1:4" x14ac:dyDescent="0.35">
      <c r="A430" s="39" t="s">
        <v>1286</v>
      </c>
      <c r="B430" s="9" t="s">
        <v>2697</v>
      </c>
      <c r="C430" s="74"/>
      <c r="D430" s="9" t="s">
        <v>1874</v>
      </c>
    </row>
    <row r="431" spans="1:4" x14ac:dyDescent="0.35">
      <c r="A431" s="9" t="s">
        <v>124</v>
      </c>
      <c r="B431" s="9" t="s">
        <v>2697</v>
      </c>
      <c r="C431" s="74"/>
      <c r="D431" s="9" t="s">
        <v>1870</v>
      </c>
    </row>
    <row r="432" spans="1:4" x14ac:dyDescent="0.35">
      <c r="A432" s="140" t="s">
        <v>2808</v>
      </c>
      <c r="B432" s="34" t="s">
        <v>2697</v>
      </c>
      <c r="C432" s="34"/>
      <c r="D432" s="34"/>
    </row>
    <row r="433" spans="1:4" x14ac:dyDescent="0.35">
      <c r="A433" s="9" t="s">
        <v>2198</v>
      </c>
      <c r="B433" s="9" t="s">
        <v>2697</v>
      </c>
      <c r="C433" s="74"/>
      <c r="D433" s="9" t="s">
        <v>1875</v>
      </c>
    </row>
    <row r="434" spans="1:4" x14ac:dyDescent="0.35">
      <c r="A434" s="9" t="s">
        <v>2812</v>
      </c>
      <c r="B434" s="9" t="s">
        <v>2697</v>
      </c>
      <c r="C434" s="74"/>
      <c r="D434" s="9" t="s">
        <v>1874</v>
      </c>
    </row>
    <row r="435" spans="1:4" x14ac:dyDescent="0.35">
      <c r="A435" s="140" t="s">
        <v>2813</v>
      </c>
      <c r="B435" s="34" t="s">
        <v>2697</v>
      </c>
      <c r="C435" s="34"/>
      <c r="D435" s="34"/>
    </row>
    <row r="436" spans="1:4" x14ac:dyDescent="0.35">
      <c r="A436" s="140" t="s">
        <v>2815</v>
      </c>
      <c r="B436" s="34" t="s">
        <v>2697</v>
      </c>
      <c r="C436" s="34"/>
      <c r="D436" s="34"/>
    </row>
    <row r="437" spans="1:4" x14ac:dyDescent="0.35">
      <c r="A437" s="140" t="s">
        <v>2816</v>
      </c>
      <c r="B437" s="34" t="s">
        <v>2697</v>
      </c>
      <c r="C437" s="34"/>
      <c r="D437" s="34"/>
    </row>
    <row r="438" spans="1:4" x14ac:dyDescent="0.35">
      <c r="A438" s="9" t="s">
        <v>2817</v>
      </c>
      <c r="B438" s="9" t="s">
        <v>2697</v>
      </c>
      <c r="C438" s="74"/>
      <c r="D438" s="9" t="s">
        <v>1875</v>
      </c>
    </row>
    <row r="439" spans="1:4" x14ac:dyDescent="0.35">
      <c r="A439" s="9" t="s">
        <v>719</v>
      </c>
      <c r="B439" s="9" t="s">
        <v>2697</v>
      </c>
      <c r="C439" s="74"/>
      <c r="D439" s="9" t="s">
        <v>1306</v>
      </c>
    </row>
    <row r="440" spans="1:4" x14ac:dyDescent="0.35">
      <c r="A440" s="140" t="s">
        <v>2819</v>
      </c>
      <c r="B440" s="34" t="s">
        <v>2697</v>
      </c>
      <c r="C440" s="34"/>
      <c r="D440" s="34"/>
    </row>
    <row r="441" spans="1:4" x14ac:dyDescent="0.35">
      <c r="A441" s="9" t="s">
        <v>1625</v>
      </c>
      <c r="B441" s="9" t="s">
        <v>2697</v>
      </c>
      <c r="C441" s="74"/>
      <c r="D441" s="9" t="s">
        <v>1306</v>
      </c>
    </row>
    <row r="442" spans="1:4" x14ac:dyDescent="0.35">
      <c r="A442" s="140" t="s">
        <v>2822</v>
      </c>
      <c r="B442" s="34" t="s">
        <v>2697</v>
      </c>
      <c r="C442" s="34"/>
      <c r="D442" s="34"/>
    </row>
    <row r="443" spans="1:4" x14ac:dyDescent="0.35">
      <c r="A443" s="140" t="s">
        <v>2824</v>
      </c>
      <c r="B443" s="34" t="s">
        <v>2697</v>
      </c>
      <c r="C443" s="34"/>
      <c r="D443" s="34"/>
    </row>
    <row r="444" spans="1:4" x14ac:dyDescent="0.35">
      <c r="A444" s="140" t="s">
        <v>2828</v>
      </c>
      <c r="B444" s="34" t="s">
        <v>2697</v>
      </c>
      <c r="C444" s="34"/>
      <c r="D444" s="34"/>
    </row>
    <row r="445" spans="1:4" x14ac:dyDescent="0.35">
      <c r="A445" s="39" t="s">
        <v>490</v>
      </c>
      <c r="B445" s="9" t="s">
        <v>2697</v>
      </c>
      <c r="C445" s="74"/>
      <c r="D445" s="9" t="s">
        <v>1872</v>
      </c>
    </row>
    <row r="446" spans="1:4" x14ac:dyDescent="0.35">
      <c r="A446" s="140" t="s">
        <v>2830</v>
      </c>
      <c r="B446" s="34" t="s">
        <v>2697</v>
      </c>
      <c r="C446" s="34"/>
      <c r="D446" s="34"/>
    </row>
    <row r="447" spans="1:4" x14ac:dyDescent="0.35">
      <c r="A447" s="140" t="s">
        <v>2832</v>
      </c>
      <c r="B447" s="34" t="s">
        <v>2697</v>
      </c>
      <c r="C447" s="34"/>
      <c r="D447" s="34"/>
    </row>
    <row r="448" spans="1:4" x14ac:dyDescent="0.35">
      <c r="A448" s="140" t="s">
        <v>2836</v>
      </c>
      <c r="B448" s="34" t="s">
        <v>2697</v>
      </c>
      <c r="C448" s="34"/>
      <c r="D448" s="34"/>
    </row>
    <row r="449" spans="1:4" x14ac:dyDescent="0.35">
      <c r="A449" s="9" t="s">
        <v>2840</v>
      </c>
      <c r="B449" s="9" t="s">
        <v>2697</v>
      </c>
      <c r="C449" s="74"/>
      <c r="D449" s="9" t="s">
        <v>1873</v>
      </c>
    </row>
    <row r="450" spans="1:4" x14ac:dyDescent="0.35">
      <c r="A450" s="140" t="s">
        <v>2841</v>
      </c>
      <c r="B450" s="34" t="s">
        <v>2697</v>
      </c>
      <c r="C450" s="34"/>
      <c r="D450" s="34"/>
    </row>
    <row r="451" spans="1:4" x14ac:dyDescent="0.35">
      <c r="A451" s="140" t="s">
        <v>2843</v>
      </c>
      <c r="B451" s="34" t="s">
        <v>2697</v>
      </c>
      <c r="C451" s="34"/>
      <c r="D451" s="34"/>
    </row>
    <row r="452" spans="1:4" x14ac:dyDescent="0.35">
      <c r="A452" s="140" t="s">
        <v>2845</v>
      </c>
      <c r="B452" s="34" t="s">
        <v>2697</v>
      </c>
      <c r="C452" s="34"/>
      <c r="D452" s="34"/>
    </row>
    <row r="453" spans="1:4" x14ac:dyDescent="0.35">
      <c r="A453" s="140" t="s">
        <v>2847</v>
      </c>
      <c r="B453" s="34" t="s">
        <v>2697</v>
      </c>
      <c r="C453" s="34"/>
      <c r="D453" s="34"/>
    </row>
    <row r="454" spans="1:4" x14ac:dyDescent="0.35">
      <c r="A454" s="140" t="s">
        <v>2849</v>
      </c>
      <c r="B454" s="34" t="s">
        <v>2697</v>
      </c>
      <c r="C454" s="34"/>
      <c r="D454" s="34"/>
    </row>
    <row r="455" spans="1:4" x14ac:dyDescent="0.35">
      <c r="A455" s="140" t="s">
        <v>2851</v>
      </c>
      <c r="B455" s="34" t="s">
        <v>2697</v>
      </c>
      <c r="C455" s="34"/>
      <c r="D455" s="34"/>
    </row>
    <row r="456" spans="1:4" x14ac:dyDescent="0.35">
      <c r="A456" s="140" t="s">
        <v>2853</v>
      </c>
      <c r="B456" s="34" t="s">
        <v>2697</v>
      </c>
      <c r="C456" s="34"/>
      <c r="D456" s="34"/>
    </row>
    <row r="457" spans="1:4" x14ac:dyDescent="0.35">
      <c r="A457" s="140" t="s">
        <v>2720</v>
      </c>
      <c r="B457" s="34" t="s">
        <v>2697</v>
      </c>
      <c r="C457" s="34"/>
      <c r="D457" s="34"/>
    </row>
    <row r="458" spans="1:4" x14ac:dyDescent="0.35">
      <c r="A458" s="140" t="s">
        <v>2857</v>
      </c>
      <c r="B458" s="34" t="s">
        <v>2697</v>
      </c>
      <c r="C458" s="34"/>
      <c r="D458" s="34"/>
    </row>
    <row r="459" spans="1:4" x14ac:dyDescent="0.35">
      <c r="A459" s="9" t="s">
        <v>800</v>
      </c>
      <c r="B459" s="9" t="s">
        <v>2697</v>
      </c>
      <c r="C459" s="74"/>
      <c r="D459" s="9" t="s">
        <v>1873</v>
      </c>
    </row>
    <row r="460" spans="1:4" x14ac:dyDescent="0.35">
      <c r="A460" s="9" t="s">
        <v>157</v>
      </c>
      <c r="B460" s="9" t="s">
        <v>2697</v>
      </c>
      <c r="C460" s="74"/>
      <c r="D460" s="9" t="s">
        <v>1872</v>
      </c>
    </row>
    <row r="461" spans="1:4" x14ac:dyDescent="0.35">
      <c r="A461" s="9" t="s">
        <v>2230</v>
      </c>
      <c r="B461" s="9" t="s">
        <v>2697</v>
      </c>
      <c r="C461" s="74"/>
      <c r="D461" s="9" t="s">
        <v>1874</v>
      </c>
    </row>
    <row r="462" spans="1:4" x14ac:dyDescent="0.35">
      <c r="A462" s="140" t="s">
        <v>2859</v>
      </c>
      <c r="B462" s="34" t="s">
        <v>2697</v>
      </c>
      <c r="C462" s="34"/>
      <c r="D462" s="34"/>
    </row>
    <row r="463" spans="1:4" x14ac:dyDescent="0.35">
      <c r="A463" s="39" t="s">
        <v>1066</v>
      </c>
      <c r="B463" s="9" t="s">
        <v>2697</v>
      </c>
      <c r="C463" s="74"/>
      <c r="D463" s="9" t="s">
        <v>1873</v>
      </c>
    </row>
    <row r="464" spans="1:4" x14ac:dyDescent="0.35">
      <c r="A464" s="140" t="s">
        <v>2861</v>
      </c>
      <c r="B464" s="34" t="s">
        <v>2697</v>
      </c>
      <c r="C464" s="34"/>
      <c r="D464" s="34"/>
    </row>
    <row r="465" spans="1:4" x14ac:dyDescent="0.35">
      <c r="A465" s="140" t="s">
        <v>2863</v>
      </c>
      <c r="B465" s="34" t="s">
        <v>2697</v>
      </c>
      <c r="C465" s="34"/>
      <c r="D465" s="34"/>
    </row>
    <row r="466" spans="1:4" x14ac:dyDescent="0.35">
      <c r="A466" s="39" t="s">
        <v>2223</v>
      </c>
      <c r="B466" s="9" t="s">
        <v>2697</v>
      </c>
      <c r="C466" s="74"/>
      <c r="D466" s="9" t="s">
        <v>1143</v>
      </c>
    </row>
    <row r="467" spans="1:4" x14ac:dyDescent="0.35">
      <c r="A467" s="9" t="s">
        <v>2867</v>
      </c>
      <c r="B467" s="9" t="s">
        <v>2697</v>
      </c>
      <c r="C467" s="74"/>
      <c r="D467" s="9" t="s">
        <v>1872</v>
      </c>
    </row>
    <row r="468" spans="1:4" x14ac:dyDescent="0.35">
      <c r="A468" s="140" t="s">
        <v>2869</v>
      </c>
      <c r="B468" s="34" t="s">
        <v>2697</v>
      </c>
      <c r="C468" s="34"/>
      <c r="D468" s="34"/>
    </row>
    <row r="469" spans="1:4" x14ac:dyDescent="0.35">
      <c r="A469" s="140" t="s">
        <v>2870</v>
      </c>
      <c r="B469" s="34" t="s">
        <v>2697</v>
      </c>
      <c r="C469" s="34"/>
      <c r="D469" s="34"/>
    </row>
    <row r="470" spans="1:4" x14ac:dyDescent="0.35">
      <c r="A470" s="9" t="s">
        <v>835</v>
      </c>
      <c r="B470" s="9" t="s">
        <v>2697</v>
      </c>
      <c r="C470" s="74"/>
      <c r="D470" s="9" t="s">
        <v>1877</v>
      </c>
    </row>
    <row r="471" spans="1:4" x14ac:dyDescent="0.35">
      <c r="A471" s="9" t="s">
        <v>2876</v>
      </c>
      <c r="B471" s="9" t="s">
        <v>2697</v>
      </c>
      <c r="C471" s="74"/>
      <c r="D471" s="9" t="s">
        <v>1877</v>
      </c>
    </row>
    <row r="472" spans="1:4" x14ac:dyDescent="0.35">
      <c r="A472" s="140" t="s">
        <v>2877</v>
      </c>
      <c r="B472" s="34" t="s">
        <v>2697</v>
      </c>
      <c r="C472" s="34"/>
      <c r="D472" s="34"/>
    </row>
    <row r="473" spans="1:4" x14ac:dyDescent="0.35">
      <c r="A473" s="140" t="s">
        <v>2879</v>
      </c>
      <c r="B473" s="34" t="s">
        <v>2697</v>
      </c>
      <c r="C473" s="34"/>
      <c r="D473" s="34"/>
    </row>
    <row r="474" spans="1:4" x14ac:dyDescent="0.35">
      <c r="A474" s="140" t="s">
        <v>2883</v>
      </c>
      <c r="B474" s="34" t="s">
        <v>2697</v>
      </c>
      <c r="C474" s="34"/>
      <c r="D474" s="34"/>
    </row>
    <row r="475" spans="1:4" x14ac:dyDescent="0.35">
      <c r="A475" s="140" t="s">
        <v>2885</v>
      </c>
      <c r="B475" s="34" t="s">
        <v>2697</v>
      </c>
      <c r="C475" s="34"/>
      <c r="D475" s="34"/>
    </row>
    <row r="476" spans="1:4" x14ac:dyDescent="0.35">
      <c r="A476" s="140" t="s">
        <v>2886</v>
      </c>
      <c r="B476" s="34" t="s">
        <v>2697</v>
      </c>
      <c r="C476" s="34"/>
      <c r="D476" s="34"/>
    </row>
    <row r="477" spans="1:4" x14ac:dyDescent="0.35">
      <c r="A477" s="140" t="s">
        <v>2888</v>
      </c>
      <c r="B477" s="34" t="s">
        <v>2697</v>
      </c>
      <c r="C477" s="34"/>
      <c r="D477" s="34"/>
    </row>
    <row r="478" spans="1:4" x14ac:dyDescent="0.35">
      <c r="A478" s="140" t="s">
        <v>2889</v>
      </c>
      <c r="B478" s="34" t="s">
        <v>2697</v>
      </c>
      <c r="C478" s="34"/>
      <c r="D478" s="34"/>
    </row>
    <row r="479" spans="1:4" x14ac:dyDescent="0.35">
      <c r="A479" s="140" t="s">
        <v>2890</v>
      </c>
      <c r="B479" s="34" t="s">
        <v>2697</v>
      </c>
      <c r="C479" s="34"/>
      <c r="D479" s="34"/>
    </row>
    <row r="480" spans="1:4" x14ac:dyDescent="0.35">
      <c r="A480" s="9" t="s">
        <v>247</v>
      </c>
      <c r="B480" s="9" t="s">
        <v>2697</v>
      </c>
      <c r="C480" s="74"/>
      <c r="D480" s="9" t="s">
        <v>1872</v>
      </c>
    </row>
    <row r="481" spans="1:4" x14ac:dyDescent="0.35">
      <c r="A481" s="140" t="s">
        <v>2892</v>
      </c>
      <c r="B481" s="34" t="s">
        <v>2697</v>
      </c>
      <c r="C481" s="34"/>
      <c r="D481" s="34"/>
    </row>
    <row r="482" spans="1:4" x14ac:dyDescent="0.35">
      <c r="A482" s="140" t="s">
        <v>2895</v>
      </c>
      <c r="B482" s="34" t="s">
        <v>2697</v>
      </c>
      <c r="C482" s="34"/>
      <c r="D482" s="34"/>
    </row>
    <row r="483" spans="1:4" x14ac:dyDescent="0.35">
      <c r="A483" s="9" t="s">
        <v>2897</v>
      </c>
      <c r="B483" s="9" t="s">
        <v>2697</v>
      </c>
      <c r="C483" s="74"/>
      <c r="D483" s="9" t="s">
        <v>1872</v>
      </c>
    </row>
    <row r="484" spans="1:4" x14ac:dyDescent="0.35">
      <c r="A484" s="140" t="s">
        <v>2900</v>
      </c>
      <c r="B484" s="34" t="s">
        <v>2697</v>
      </c>
      <c r="C484" s="34"/>
      <c r="D484" s="34"/>
    </row>
    <row r="485" spans="1:4" x14ac:dyDescent="0.35">
      <c r="A485" s="140" t="s">
        <v>2902</v>
      </c>
      <c r="B485" s="34" t="s">
        <v>2697</v>
      </c>
      <c r="C485" s="34"/>
      <c r="D485" s="34"/>
    </row>
    <row r="486" spans="1:4" x14ac:dyDescent="0.35">
      <c r="A486" s="140" t="s">
        <v>2903</v>
      </c>
      <c r="B486" s="34" t="s">
        <v>2697</v>
      </c>
      <c r="C486" s="34"/>
      <c r="D486" s="34"/>
    </row>
    <row r="487" spans="1:4" x14ac:dyDescent="0.35">
      <c r="A487" s="140" t="s">
        <v>2904</v>
      </c>
      <c r="B487" s="34" t="s">
        <v>2697</v>
      </c>
      <c r="C487" s="34"/>
      <c r="D487" s="34"/>
    </row>
    <row r="488" spans="1:4" x14ac:dyDescent="0.35">
      <c r="A488" s="9" t="s">
        <v>2905</v>
      </c>
      <c r="B488" s="9" t="s">
        <v>2697</v>
      </c>
      <c r="C488" s="74"/>
      <c r="D488" s="9" t="s">
        <v>1878</v>
      </c>
    </row>
    <row r="489" spans="1:4" x14ac:dyDescent="0.35">
      <c r="A489" s="140" t="s">
        <v>2908</v>
      </c>
      <c r="B489" s="34" t="s">
        <v>2697</v>
      </c>
      <c r="C489" s="34"/>
      <c r="D489" s="34"/>
    </row>
    <row r="490" spans="1:4" x14ac:dyDescent="0.35">
      <c r="A490" s="140" t="s">
        <v>2910</v>
      </c>
      <c r="B490" s="34" t="s">
        <v>2697</v>
      </c>
      <c r="C490" s="34"/>
      <c r="D490" s="34"/>
    </row>
    <row r="491" spans="1:4" x14ac:dyDescent="0.35">
      <c r="A491" s="9" t="s">
        <v>2912</v>
      </c>
      <c r="B491" s="9" t="s">
        <v>2697</v>
      </c>
      <c r="C491" s="74"/>
      <c r="D491" s="9" t="s">
        <v>1306</v>
      </c>
    </row>
    <row r="492" spans="1:4" x14ac:dyDescent="0.35">
      <c r="A492" s="9" t="s">
        <v>2913</v>
      </c>
      <c r="B492" s="9" t="s">
        <v>2697</v>
      </c>
      <c r="C492" s="74"/>
      <c r="D492" s="9" t="s">
        <v>1878</v>
      </c>
    </row>
    <row r="493" spans="1:4" x14ac:dyDescent="0.35">
      <c r="A493" s="140" t="s">
        <v>2914</v>
      </c>
      <c r="B493" s="34" t="s">
        <v>2697</v>
      </c>
      <c r="C493" s="34"/>
      <c r="D493" s="34"/>
    </row>
    <row r="494" spans="1:4" x14ac:dyDescent="0.35">
      <c r="A494" s="140" t="s">
        <v>2916</v>
      </c>
      <c r="B494" s="34" t="s">
        <v>2697</v>
      </c>
      <c r="C494" s="34"/>
      <c r="D494" s="34"/>
    </row>
    <row r="495" spans="1:4" x14ac:dyDescent="0.35">
      <c r="A495" s="9" t="s">
        <v>2919</v>
      </c>
      <c r="B495" s="9" t="s">
        <v>2697</v>
      </c>
      <c r="C495" s="74"/>
      <c r="D495" s="9" t="s">
        <v>1872</v>
      </c>
    </row>
    <row r="496" spans="1:4" x14ac:dyDescent="0.35">
      <c r="A496" s="140" t="s">
        <v>2920</v>
      </c>
      <c r="B496" s="34" t="s">
        <v>2697</v>
      </c>
      <c r="C496" s="34"/>
      <c r="D496" s="34"/>
    </row>
    <row r="497" spans="1:4" x14ac:dyDescent="0.35">
      <c r="A497" s="9" t="s">
        <v>877</v>
      </c>
      <c r="B497" s="9" t="s">
        <v>2697</v>
      </c>
      <c r="C497" s="74"/>
      <c r="D497" s="9" t="s">
        <v>1877</v>
      </c>
    </row>
    <row r="498" spans="1:4" x14ac:dyDescent="0.35">
      <c r="A498" s="39" t="s">
        <v>378</v>
      </c>
      <c r="B498" s="9" t="s">
        <v>2697</v>
      </c>
      <c r="C498" s="74"/>
      <c r="D498" s="9" t="s">
        <v>1873</v>
      </c>
    </row>
    <row r="499" spans="1:4" x14ac:dyDescent="0.35">
      <c r="A499" s="9" t="s">
        <v>878</v>
      </c>
      <c r="B499" s="9" t="s">
        <v>2697</v>
      </c>
      <c r="C499" s="74"/>
      <c r="D499" s="9" t="s">
        <v>1877</v>
      </c>
    </row>
    <row r="500" spans="1:4" x14ac:dyDescent="0.35">
      <c r="A500" s="140" t="s">
        <v>2924</v>
      </c>
      <c r="B500" s="34" t="s">
        <v>2697</v>
      </c>
      <c r="C500" s="34"/>
      <c r="D500" s="34"/>
    </row>
    <row r="501" spans="1:4" x14ac:dyDescent="0.35">
      <c r="A501" s="140" t="s">
        <v>2926</v>
      </c>
      <c r="B501" s="34" t="s">
        <v>2697</v>
      </c>
      <c r="C501" s="34"/>
      <c r="D501" s="34"/>
    </row>
    <row r="502" spans="1:4" x14ac:dyDescent="0.35">
      <c r="A502" s="140" t="s">
        <v>2929</v>
      </c>
      <c r="B502" s="34" t="s">
        <v>2697</v>
      </c>
      <c r="C502" s="34"/>
      <c r="D502" s="34"/>
    </row>
    <row r="503" spans="1:4" x14ac:dyDescent="0.35">
      <c r="A503" s="140" t="s">
        <v>2932</v>
      </c>
      <c r="B503" s="34" t="s">
        <v>2697</v>
      </c>
      <c r="C503" s="34"/>
      <c r="D503" s="34"/>
    </row>
    <row r="504" spans="1:4" x14ac:dyDescent="0.35">
      <c r="A504" s="140" t="s">
        <v>2936</v>
      </c>
      <c r="B504" s="34" t="s">
        <v>2697</v>
      </c>
      <c r="C504" s="34"/>
      <c r="D504" s="34"/>
    </row>
    <row r="505" spans="1:4" x14ac:dyDescent="0.35">
      <c r="A505" s="140" t="s">
        <v>2937</v>
      </c>
      <c r="B505" s="34" t="s">
        <v>2697</v>
      </c>
      <c r="C505" s="34"/>
      <c r="D505" s="34"/>
    </row>
    <row r="506" spans="1:4" x14ac:dyDescent="0.35">
      <c r="A506" s="140" t="s">
        <v>995</v>
      </c>
      <c r="B506" s="34" t="s">
        <v>2697</v>
      </c>
      <c r="C506" s="34"/>
      <c r="D506" s="34"/>
    </row>
    <row r="507" spans="1:4" x14ac:dyDescent="0.35">
      <c r="A507" s="140" t="s">
        <v>2942</v>
      </c>
      <c r="B507" s="34" t="s">
        <v>2697</v>
      </c>
      <c r="C507" s="34"/>
      <c r="D507" s="34"/>
    </row>
    <row r="508" spans="1:4" x14ac:dyDescent="0.35">
      <c r="A508" s="140" t="s">
        <v>2944</v>
      </c>
      <c r="B508" s="34" t="s">
        <v>2697</v>
      </c>
      <c r="C508" s="34"/>
      <c r="D508" s="34"/>
    </row>
    <row r="509" spans="1:4" x14ac:dyDescent="0.35">
      <c r="A509" s="140" t="s">
        <v>2946</v>
      </c>
      <c r="B509" s="34" t="s">
        <v>2697</v>
      </c>
      <c r="C509" s="34"/>
      <c r="D509" s="34"/>
    </row>
    <row r="510" spans="1:4" x14ac:dyDescent="0.35">
      <c r="A510" s="9" t="s">
        <v>2950</v>
      </c>
      <c r="B510" s="9" t="s">
        <v>2697</v>
      </c>
      <c r="C510" s="109"/>
      <c r="D510" s="9" t="s">
        <v>1306</v>
      </c>
    </row>
    <row r="511" spans="1:4" x14ac:dyDescent="0.35">
      <c r="A511" s="140" t="s">
        <v>2952</v>
      </c>
      <c r="B511" s="34" t="s">
        <v>2697</v>
      </c>
      <c r="C511" s="34"/>
      <c r="D511" s="34"/>
    </row>
    <row r="512" spans="1:4" x14ac:dyDescent="0.35">
      <c r="A512" s="9" t="s">
        <v>2954</v>
      </c>
      <c r="B512" s="9" t="s">
        <v>2697</v>
      </c>
      <c r="C512" s="109"/>
      <c r="D512" s="9" t="s">
        <v>1306</v>
      </c>
    </row>
    <row r="513" spans="1:4" x14ac:dyDescent="0.35">
      <c r="A513" s="140" t="s">
        <v>2955</v>
      </c>
      <c r="B513" s="34" t="s">
        <v>2697</v>
      </c>
      <c r="C513" s="34"/>
      <c r="D513" s="34"/>
    </row>
    <row r="514" spans="1:4" x14ac:dyDescent="0.35">
      <c r="A514" s="243" t="s">
        <v>1175</v>
      </c>
      <c r="B514" s="34" t="s">
        <v>2697</v>
      </c>
      <c r="C514" s="34" t="s">
        <v>1876</v>
      </c>
      <c r="D514" s="34"/>
    </row>
    <row r="515" spans="1:4" x14ac:dyDescent="0.35">
      <c r="A515" s="140" t="s">
        <v>2959</v>
      </c>
      <c r="B515" s="34" t="s">
        <v>2697</v>
      </c>
      <c r="C515" s="34"/>
      <c r="D515" s="34"/>
    </row>
    <row r="516" spans="1:4" x14ac:dyDescent="0.35">
      <c r="A516" s="9" t="s">
        <v>480</v>
      </c>
      <c r="B516" s="9" t="s">
        <v>2697</v>
      </c>
      <c r="C516" s="74"/>
      <c r="D516" s="9" t="s">
        <v>1872</v>
      </c>
    </row>
    <row r="517" spans="1:4" x14ac:dyDescent="0.35">
      <c r="A517" s="140" t="s">
        <v>2961</v>
      </c>
      <c r="B517" s="34" t="s">
        <v>2697</v>
      </c>
      <c r="C517" s="34"/>
      <c r="D517" s="34"/>
    </row>
    <row r="518" spans="1:4" x14ac:dyDescent="0.35">
      <c r="A518" s="9" t="s">
        <v>2250</v>
      </c>
      <c r="B518" s="9" t="s">
        <v>2697</v>
      </c>
      <c r="C518" s="74"/>
      <c r="D518" s="9" t="s">
        <v>1874</v>
      </c>
    </row>
    <row r="519" spans="1:4" x14ac:dyDescent="0.35">
      <c r="A519" s="9" t="s">
        <v>2736</v>
      </c>
      <c r="B519" s="9" t="s">
        <v>2697</v>
      </c>
      <c r="C519" s="74"/>
      <c r="D519" s="9" t="s">
        <v>1306</v>
      </c>
    </row>
    <row r="520" spans="1:4" x14ac:dyDescent="0.35">
      <c r="A520" s="140" t="s">
        <v>2965</v>
      </c>
      <c r="B520" s="34" t="s">
        <v>2697</v>
      </c>
      <c r="C520" s="34"/>
      <c r="D520" s="34"/>
    </row>
    <row r="521" spans="1:4" x14ac:dyDescent="0.35">
      <c r="A521" s="140" t="s">
        <v>2967</v>
      </c>
      <c r="B521" s="34" t="s">
        <v>2697</v>
      </c>
      <c r="C521" s="34"/>
      <c r="D521" s="34"/>
    </row>
    <row r="522" spans="1:4" x14ac:dyDescent="0.35">
      <c r="A522" s="9" t="s">
        <v>905</v>
      </c>
      <c r="B522" s="9" t="s">
        <v>2697</v>
      </c>
      <c r="C522" s="74"/>
      <c r="D522" s="9" t="s">
        <v>1876</v>
      </c>
    </row>
    <row r="523" spans="1:4" x14ac:dyDescent="0.35">
      <c r="A523" s="9" t="s">
        <v>909</v>
      </c>
      <c r="B523" s="9" t="s">
        <v>2697</v>
      </c>
      <c r="C523" s="74"/>
      <c r="D523" s="9" t="s">
        <v>1876</v>
      </c>
    </row>
    <row r="524" spans="1:4" x14ac:dyDescent="0.35">
      <c r="A524" s="9" t="s">
        <v>854</v>
      </c>
      <c r="B524" s="9" t="s">
        <v>2697</v>
      </c>
      <c r="C524" s="74"/>
      <c r="D524" s="9" t="s">
        <v>1876</v>
      </c>
    </row>
    <row r="525" spans="1:4" x14ac:dyDescent="0.35">
      <c r="A525" s="9" t="s">
        <v>2969</v>
      </c>
      <c r="B525" s="9" t="s">
        <v>2697</v>
      </c>
      <c r="C525" s="74"/>
      <c r="D525" s="9" t="s">
        <v>1873</v>
      </c>
    </row>
    <row r="526" spans="1:4" x14ac:dyDescent="0.35">
      <c r="A526" s="39" t="s">
        <v>915</v>
      </c>
      <c r="B526" s="9" t="s">
        <v>2697</v>
      </c>
      <c r="C526" s="74"/>
      <c r="D526" s="9" t="s">
        <v>1874</v>
      </c>
    </row>
    <row r="527" spans="1:4" x14ac:dyDescent="0.35">
      <c r="A527" s="9" t="s">
        <v>2972</v>
      </c>
      <c r="B527" s="9" t="s">
        <v>2697</v>
      </c>
      <c r="C527" s="74"/>
      <c r="D527" s="9" t="s">
        <v>1306</v>
      </c>
    </row>
    <row r="528" spans="1:4" x14ac:dyDescent="0.35">
      <c r="A528" s="39" t="s">
        <v>2973</v>
      </c>
      <c r="B528" s="9" t="s">
        <v>2697</v>
      </c>
      <c r="C528" s="74"/>
      <c r="D528" s="9" t="s">
        <v>1874</v>
      </c>
    </row>
    <row r="529" spans="1:4" x14ac:dyDescent="0.35">
      <c r="A529" s="140" t="s">
        <v>2974</v>
      </c>
      <c r="B529" s="34" t="s">
        <v>2697</v>
      </c>
      <c r="C529" s="34"/>
      <c r="D529" s="34"/>
    </row>
    <row r="530" spans="1:4" x14ac:dyDescent="0.35">
      <c r="A530" s="140" t="s">
        <v>2976</v>
      </c>
      <c r="B530" s="34" t="s">
        <v>2697</v>
      </c>
      <c r="C530" s="34"/>
      <c r="D530" s="34"/>
    </row>
    <row r="531" spans="1:4" x14ac:dyDescent="0.35">
      <c r="A531" s="140" t="s">
        <v>2978</v>
      </c>
      <c r="B531" s="34" t="s">
        <v>2697</v>
      </c>
      <c r="C531" s="34"/>
      <c r="D531" s="34"/>
    </row>
    <row r="532" spans="1:4" x14ac:dyDescent="0.35">
      <c r="A532" s="9" t="s">
        <v>673</v>
      </c>
      <c r="B532" s="9" t="s">
        <v>2697</v>
      </c>
      <c r="C532" s="74"/>
      <c r="D532" s="9" t="s">
        <v>1872</v>
      </c>
    </row>
    <row r="533" spans="1:4" x14ac:dyDescent="0.35">
      <c r="A533" s="9" t="s">
        <v>2980</v>
      </c>
      <c r="B533" s="9" t="s">
        <v>2697</v>
      </c>
      <c r="C533" s="74"/>
      <c r="D533" s="9" t="s">
        <v>1306</v>
      </c>
    </row>
    <row r="534" spans="1:4" x14ac:dyDescent="0.35">
      <c r="A534" s="140" t="s">
        <v>2984</v>
      </c>
      <c r="B534" s="34" t="s">
        <v>2697</v>
      </c>
      <c r="C534" s="34"/>
      <c r="D534" s="34"/>
    </row>
    <row r="535" spans="1:4" x14ac:dyDescent="0.35">
      <c r="A535" s="9" t="s">
        <v>836</v>
      </c>
      <c r="B535" s="9" t="s">
        <v>2697</v>
      </c>
      <c r="C535" s="74"/>
      <c r="D535" s="9" t="s">
        <v>1306</v>
      </c>
    </row>
    <row r="536" spans="1:4" x14ac:dyDescent="0.35">
      <c r="A536" s="140" t="s">
        <v>2989</v>
      </c>
      <c r="B536" s="34" t="s">
        <v>2697</v>
      </c>
      <c r="C536" s="34"/>
      <c r="D536" s="34"/>
    </row>
    <row r="537" spans="1:4" x14ac:dyDescent="0.35">
      <c r="A537" s="9" t="s">
        <v>2990</v>
      </c>
      <c r="B537" s="9" t="s">
        <v>2697</v>
      </c>
      <c r="C537" s="74"/>
      <c r="D537" s="9" t="s">
        <v>1306</v>
      </c>
    </row>
    <row r="538" spans="1:4" x14ac:dyDescent="0.35">
      <c r="A538" s="140" t="s">
        <v>2994</v>
      </c>
      <c r="B538" s="34" t="s">
        <v>2697</v>
      </c>
      <c r="C538" s="34"/>
      <c r="D538" s="34"/>
    </row>
    <row r="539" spans="1:4" x14ac:dyDescent="0.35">
      <c r="A539" s="9" t="s">
        <v>945</v>
      </c>
      <c r="B539" s="9" t="s">
        <v>2697</v>
      </c>
      <c r="C539" s="74"/>
      <c r="D539" s="9" t="s">
        <v>1872</v>
      </c>
    </row>
    <row r="540" spans="1:4" x14ac:dyDescent="0.35">
      <c r="A540" s="140" t="s">
        <v>2996</v>
      </c>
      <c r="B540" s="34" t="s">
        <v>2697</v>
      </c>
      <c r="C540" s="34"/>
      <c r="D540" s="34"/>
    </row>
    <row r="541" spans="1:4" x14ac:dyDescent="0.35">
      <c r="A541" s="140" t="s">
        <v>2998</v>
      </c>
      <c r="B541" s="34" t="s">
        <v>2697</v>
      </c>
      <c r="C541" s="34"/>
      <c r="D541" s="34"/>
    </row>
    <row r="542" spans="1:4" x14ac:dyDescent="0.35">
      <c r="A542" s="9" t="s">
        <v>3000</v>
      </c>
      <c r="B542" s="9" t="s">
        <v>2697</v>
      </c>
      <c r="C542" s="74"/>
      <c r="D542" s="9" t="s">
        <v>1306</v>
      </c>
    </row>
    <row r="543" spans="1:4" x14ac:dyDescent="0.35">
      <c r="A543" s="140" t="s">
        <v>3002</v>
      </c>
      <c r="B543" s="34" t="s">
        <v>2697</v>
      </c>
      <c r="C543" s="34"/>
      <c r="D543" s="34"/>
    </row>
    <row r="544" spans="1:4" x14ac:dyDescent="0.35">
      <c r="A544" s="140" t="s">
        <v>3003</v>
      </c>
      <c r="B544" s="34" t="s">
        <v>2697</v>
      </c>
      <c r="C544" s="34"/>
      <c r="D544" s="34"/>
    </row>
    <row r="545" spans="1:4" x14ac:dyDescent="0.35">
      <c r="A545" s="140" t="s">
        <v>3005</v>
      </c>
      <c r="B545" s="34" t="s">
        <v>2697</v>
      </c>
      <c r="C545" s="34"/>
      <c r="D545" s="34"/>
    </row>
    <row r="546" spans="1:4" x14ac:dyDescent="0.35">
      <c r="A546" s="39" t="s">
        <v>222</v>
      </c>
      <c r="B546" s="9" t="s">
        <v>2697</v>
      </c>
      <c r="C546" s="74"/>
      <c r="D546" s="9" t="s">
        <v>1143</v>
      </c>
    </row>
    <row r="547" spans="1:4" x14ac:dyDescent="0.35">
      <c r="A547" s="140" t="s">
        <v>3007</v>
      </c>
      <c r="B547" s="34" t="s">
        <v>2697</v>
      </c>
      <c r="C547" s="34"/>
      <c r="D547" s="34"/>
    </row>
    <row r="548" spans="1:4" x14ac:dyDescent="0.35">
      <c r="A548" s="140" t="s">
        <v>3009</v>
      </c>
      <c r="B548" s="34" t="s">
        <v>2697</v>
      </c>
      <c r="C548" s="34"/>
      <c r="D548" s="34"/>
    </row>
    <row r="549" spans="1:4" x14ac:dyDescent="0.35">
      <c r="A549" s="39" t="s">
        <v>1391</v>
      </c>
      <c r="B549" s="9" t="s">
        <v>2697</v>
      </c>
      <c r="C549" s="74"/>
      <c r="D549" s="9" t="s">
        <v>1143</v>
      </c>
    </row>
    <row r="550" spans="1:4" x14ac:dyDescent="0.35">
      <c r="A550" s="34" t="s">
        <v>3010</v>
      </c>
      <c r="B550" s="34" t="s">
        <v>2697</v>
      </c>
      <c r="C550" s="34"/>
      <c r="D550" s="34"/>
    </row>
    <row r="551" spans="1:4" x14ac:dyDescent="0.35">
      <c r="A551" s="140" t="s">
        <v>3012</v>
      </c>
      <c r="B551" s="34" t="s">
        <v>2697</v>
      </c>
      <c r="C551" s="34"/>
      <c r="D551" s="34"/>
    </row>
    <row r="552" spans="1:4" x14ac:dyDescent="0.35">
      <c r="A552" s="140" t="s">
        <v>3014</v>
      </c>
      <c r="B552" s="34" t="s">
        <v>2697</v>
      </c>
      <c r="C552" s="34"/>
      <c r="D552" s="34"/>
    </row>
    <row r="553" spans="1:4" x14ac:dyDescent="0.35">
      <c r="A553" s="140" t="s">
        <v>3016</v>
      </c>
      <c r="B553" s="34" t="s">
        <v>2697</v>
      </c>
      <c r="C553" s="34"/>
      <c r="D553" s="34"/>
    </row>
    <row r="554" spans="1:4" x14ac:dyDescent="0.35">
      <c r="A554" s="140" t="s">
        <v>3018</v>
      </c>
      <c r="B554" s="34" t="s">
        <v>2697</v>
      </c>
      <c r="C554" s="34"/>
      <c r="D554" s="34"/>
    </row>
    <row r="555" spans="1:4" x14ac:dyDescent="0.35">
      <c r="A555" s="140" t="s">
        <v>3020</v>
      </c>
      <c r="B555" s="34" t="s">
        <v>2697</v>
      </c>
      <c r="C555" s="34"/>
      <c r="D555" s="34"/>
    </row>
    <row r="556" spans="1:4" x14ac:dyDescent="0.35">
      <c r="A556" s="9" t="s">
        <v>3022</v>
      </c>
      <c r="B556" s="9" t="s">
        <v>2697</v>
      </c>
      <c r="C556" s="74"/>
      <c r="D556" s="9" t="s">
        <v>1875</v>
      </c>
    </row>
    <row r="557" spans="1:4" x14ac:dyDescent="0.35">
      <c r="A557" s="9" t="s">
        <v>2259</v>
      </c>
      <c r="B557" s="9" t="s">
        <v>2697</v>
      </c>
      <c r="C557" s="74"/>
      <c r="D557" s="9" t="s">
        <v>1872</v>
      </c>
    </row>
    <row r="558" spans="1:4" x14ac:dyDescent="0.35">
      <c r="A558" s="140" t="s">
        <v>3023</v>
      </c>
      <c r="B558" s="34" t="s">
        <v>2697</v>
      </c>
      <c r="C558" s="34"/>
      <c r="D558" s="34"/>
    </row>
    <row r="559" spans="1:4" x14ac:dyDescent="0.35">
      <c r="A559" s="140" t="s">
        <v>3026</v>
      </c>
      <c r="B559" s="34" t="s">
        <v>2697</v>
      </c>
      <c r="C559" s="34"/>
      <c r="D559" s="34"/>
    </row>
    <row r="560" spans="1:4" x14ac:dyDescent="0.35">
      <c r="A560" s="9" t="s">
        <v>3027</v>
      </c>
      <c r="B560" s="9" t="s">
        <v>2697</v>
      </c>
      <c r="C560" s="74"/>
      <c r="D560" s="9" t="s">
        <v>1306</v>
      </c>
    </row>
    <row r="561" spans="1:4" x14ac:dyDescent="0.35">
      <c r="A561" s="9" t="s">
        <v>3028</v>
      </c>
      <c r="B561" s="9" t="s">
        <v>2697</v>
      </c>
      <c r="C561" s="74"/>
      <c r="D561" s="9" t="s">
        <v>1874</v>
      </c>
    </row>
    <row r="562" spans="1:4" x14ac:dyDescent="0.35">
      <c r="A562" s="140" t="s">
        <v>3030</v>
      </c>
      <c r="B562" s="34" t="s">
        <v>2697</v>
      </c>
      <c r="C562" s="34"/>
      <c r="D562" s="34"/>
    </row>
    <row r="563" spans="1:4" x14ac:dyDescent="0.35">
      <c r="A563" s="39" t="s">
        <v>3031</v>
      </c>
      <c r="B563" s="9" t="s">
        <v>2697</v>
      </c>
      <c r="C563" s="74"/>
      <c r="D563" s="9" t="s">
        <v>1874</v>
      </c>
    </row>
    <row r="564" spans="1:4" x14ac:dyDescent="0.35">
      <c r="A564" s="140" t="s">
        <v>3033</v>
      </c>
      <c r="B564" s="34" t="s">
        <v>2697</v>
      </c>
      <c r="C564" s="34"/>
      <c r="D564" s="34"/>
    </row>
    <row r="565" spans="1:4" x14ac:dyDescent="0.35">
      <c r="A565" s="140" t="s">
        <v>3035</v>
      </c>
      <c r="B565" s="34" t="s">
        <v>2697</v>
      </c>
      <c r="C565" s="34"/>
      <c r="D565" s="34"/>
    </row>
    <row r="566" spans="1:4" x14ac:dyDescent="0.35">
      <c r="A566" s="9" t="s">
        <v>3036</v>
      </c>
      <c r="B566" s="9" t="s">
        <v>2697</v>
      </c>
      <c r="C566" s="74"/>
      <c r="D566" s="9" t="s">
        <v>1876</v>
      </c>
    </row>
    <row r="567" spans="1:4" x14ac:dyDescent="0.35">
      <c r="A567" s="39" t="s">
        <v>3038</v>
      </c>
      <c r="B567" s="9" t="s">
        <v>2697</v>
      </c>
      <c r="C567" s="74"/>
      <c r="D567" s="9" t="s">
        <v>1306</v>
      </c>
    </row>
    <row r="568" spans="1:4" x14ac:dyDescent="0.35">
      <c r="A568" s="140" t="s">
        <v>3040</v>
      </c>
      <c r="B568" s="34" t="s">
        <v>2697</v>
      </c>
      <c r="C568" s="34"/>
      <c r="D568" s="34"/>
    </row>
    <row r="569" spans="1:4" x14ac:dyDescent="0.35">
      <c r="A569" s="9" t="s">
        <v>3041</v>
      </c>
      <c r="B569" s="9" t="s">
        <v>2697</v>
      </c>
      <c r="C569" s="74"/>
      <c r="D569" s="9" t="s">
        <v>1875</v>
      </c>
    </row>
    <row r="570" spans="1:4" x14ac:dyDescent="0.35">
      <c r="A570" s="9" t="s">
        <v>2262</v>
      </c>
      <c r="B570" s="9" t="s">
        <v>2697</v>
      </c>
      <c r="C570" s="74"/>
      <c r="D570" s="9" t="s">
        <v>1874</v>
      </c>
    </row>
    <row r="571" spans="1:4" x14ac:dyDescent="0.35">
      <c r="A571" s="9" t="s">
        <v>2369</v>
      </c>
      <c r="B571" s="9" t="s">
        <v>2697</v>
      </c>
      <c r="C571" s="74"/>
      <c r="D571" s="9" t="s">
        <v>1306</v>
      </c>
    </row>
    <row r="572" spans="1:4" x14ac:dyDescent="0.35">
      <c r="A572" s="9" t="s">
        <v>662</v>
      </c>
      <c r="B572" s="9" t="s">
        <v>2697</v>
      </c>
      <c r="C572" s="74"/>
      <c r="D572" s="9" t="s">
        <v>1306</v>
      </c>
    </row>
    <row r="573" spans="1:4" x14ac:dyDescent="0.35">
      <c r="A573" s="9" t="s">
        <v>1000</v>
      </c>
      <c r="B573" s="9" t="s">
        <v>2697</v>
      </c>
      <c r="C573" s="74"/>
      <c r="D573" s="9" t="s">
        <v>1877</v>
      </c>
    </row>
    <row r="574" spans="1:4" x14ac:dyDescent="0.35">
      <c r="A574" s="9" t="s">
        <v>3048</v>
      </c>
      <c r="B574" s="9" t="s">
        <v>2697</v>
      </c>
      <c r="C574" s="74"/>
      <c r="D574" s="9" t="s">
        <v>1876</v>
      </c>
    </row>
    <row r="575" spans="1:4" x14ac:dyDescent="0.35">
      <c r="A575" s="39" t="s">
        <v>3049</v>
      </c>
      <c r="B575" s="9" t="s">
        <v>2697</v>
      </c>
      <c r="C575" s="74"/>
      <c r="D575" s="9" t="s">
        <v>1874</v>
      </c>
    </row>
    <row r="576" spans="1:4" x14ac:dyDescent="0.35">
      <c r="A576" s="140" t="s">
        <v>3051</v>
      </c>
      <c r="B576" s="34" t="s">
        <v>2697</v>
      </c>
      <c r="C576" s="34"/>
      <c r="D576" s="34"/>
    </row>
    <row r="577" spans="1:6" x14ac:dyDescent="0.35">
      <c r="A577" s="9" t="s">
        <v>3052</v>
      </c>
      <c r="B577" s="9" t="s">
        <v>2697</v>
      </c>
      <c r="C577" s="74"/>
      <c r="D577" s="9" t="s">
        <v>1875</v>
      </c>
    </row>
    <row r="578" spans="1:6" x14ac:dyDescent="0.35">
      <c r="A578" s="140" t="s">
        <v>3054</v>
      </c>
      <c r="B578" s="34" t="s">
        <v>2697</v>
      </c>
      <c r="C578" s="34"/>
      <c r="D578" s="34"/>
    </row>
    <row r="579" spans="1:6" s="72" customFormat="1" x14ac:dyDescent="0.35">
      <c r="A579" s="140" t="s">
        <v>3057</v>
      </c>
      <c r="B579" s="34" t="s">
        <v>2697</v>
      </c>
      <c r="C579" s="34"/>
      <c r="D579" s="34"/>
      <c r="E579"/>
      <c r="F579"/>
    </row>
    <row r="580" spans="1:6" x14ac:dyDescent="0.35">
      <c r="A580" s="9" t="s">
        <v>680</v>
      </c>
      <c r="B580" s="9" t="s">
        <v>2697</v>
      </c>
      <c r="C580" s="74"/>
      <c r="D580" s="9" t="s">
        <v>1872</v>
      </c>
    </row>
    <row r="581" spans="1:6" x14ac:dyDescent="0.35">
      <c r="A581" s="9" t="s">
        <v>377</v>
      </c>
      <c r="B581" s="9" t="s">
        <v>2697</v>
      </c>
      <c r="C581" s="74"/>
      <c r="D581" s="9" t="s">
        <v>1872</v>
      </c>
    </row>
    <row r="582" spans="1:6" x14ac:dyDescent="0.35">
      <c r="A582" s="140" t="s">
        <v>3059</v>
      </c>
      <c r="B582" s="34" t="s">
        <v>2697</v>
      </c>
      <c r="C582" s="34"/>
      <c r="D582" s="34"/>
    </row>
    <row r="583" spans="1:6" x14ac:dyDescent="0.35">
      <c r="A583" s="9" t="s">
        <v>896</v>
      </c>
      <c r="B583" s="9" t="s">
        <v>2697</v>
      </c>
      <c r="C583" s="74"/>
      <c r="D583" s="9" t="s">
        <v>1872</v>
      </c>
    </row>
    <row r="584" spans="1:6" x14ac:dyDescent="0.35">
      <c r="A584" s="140" t="s">
        <v>3061</v>
      </c>
      <c r="B584" s="34" t="s">
        <v>2697</v>
      </c>
      <c r="C584" s="34"/>
      <c r="D584" s="34"/>
    </row>
    <row r="585" spans="1:6" x14ac:dyDescent="0.35">
      <c r="A585" s="141" t="s">
        <v>3063</v>
      </c>
      <c r="B585" s="34" t="s">
        <v>2697</v>
      </c>
      <c r="C585" s="34"/>
      <c r="D585" s="34"/>
    </row>
    <row r="586" spans="1:6" x14ac:dyDescent="0.35">
      <c r="A586" s="9" t="s">
        <v>1304</v>
      </c>
      <c r="B586" s="9" t="s">
        <v>2697</v>
      </c>
      <c r="C586" s="74"/>
      <c r="D586" s="9" t="s">
        <v>1873</v>
      </c>
    </row>
    <row r="587" spans="1:6" x14ac:dyDescent="0.35">
      <c r="A587" s="39" t="s">
        <v>2226</v>
      </c>
      <c r="B587" s="9" t="s">
        <v>2697</v>
      </c>
      <c r="C587" s="74"/>
      <c r="D587" s="9" t="s">
        <v>1306</v>
      </c>
    </row>
    <row r="588" spans="1:6" x14ac:dyDescent="0.35">
      <c r="A588" s="9" t="s">
        <v>3065</v>
      </c>
      <c r="B588" s="9" t="s">
        <v>2697</v>
      </c>
      <c r="C588" s="74"/>
      <c r="D588" s="9" t="s">
        <v>1872</v>
      </c>
    </row>
    <row r="589" spans="1:6" x14ac:dyDescent="0.35">
      <c r="A589" s="9" t="s">
        <v>721</v>
      </c>
      <c r="B589" s="9" t="s">
        <v>2697</v>
      </c>
      <c r="C589" s="74"/>
      <c r="D589" s="9" t="s">
        <v>1877</v>
      </c>
    </row>
    <row r="590" spans="1:6" x14ac:dyDescent="0.35">
      <c r="A590" s="140" t="s">
        <v>3066</v>
      </c>
      <c r="B590" s="34" t="s">
        <v>2697</v>
      </c>
      <c r="C590" s="34"/>
      <c r="D590" s="34"/>
    </row>
    <row r="591" spans="1:6" x14ac:dyDescent="0.35">
      <c r="A591" s="9" t="s">
        <v>3068</v>
      </c>
      <c r="B591" s="9" t="s">
        <v>2697</v>
      </c>
      <c r="C591" s="74"/>
      <c r="D591" s="9" t="s">
        <v>1872</v>
      </c>
    </row>
    <row r="592" spans="1:6" x14ac:dyDescent="0.35">
      <c r="A592" s="140" t="s">
        <v>3069</v>
      </c>
      <c r="B592" s="34" t="s">
        <v>2697</v>
      </c>
      <c r="C592" s="34"/>
      <c r="D592" s="34"/>
    </row>
    <row r="593" spans="1:4" x14ac:dyDescent="0.35">
      <c r="A593" s="140" t="s">
        <v>3071</v>
      </c>
      <c r="B593" s="34" t="s">
        <v>2697</v>
      </c>
      <c r="C593" s="34"/>
      <c r="D593" s="34"/>
    </row>
    <row r="594" spans="1:4" x14ac:dyDescent="0.35">
      <c r="A594" s="140" t="s">
        <v>3073</v>
      </c>
      <c r="B594" s="34" t="s">
        <v>2697</v>
      </c>
      <c r="C594" s="34"/>
      <c r="D594" s="34"/>
    </row>
    <row r="595" spans="1:4" x14ac:dyDescent="0.35">
      <c r="A595" s="9" t="s">
        <v>542</v>
      </c>
      <c r="B595" s="9" t="s">
        <v>2697</v>
      </c>
      <c r="C595" s="74"/>
      <c r="D595" s="9" t="s">
        <v>1876</v>
      </c>
    </row>
    <row r="596" spans="1:4" x14ac:dyDescent="0.35">
      <c r="A596" s="140" t="s">
        <v>3075</v>
      </c>
      <c r="B596" s="34" t="s">
        <v>2697</v>
      </c>
      <c r="C596" s="34"/>
      <c r="D596" s="34"/>
    </row>
    <row r="597" spans="1:4" x14ac:dyDescent="0.35">
      <c r="A597" s="140" t="s">
        <v>3078</v>
      </c>
      <c r="B597" s="34" t="s">
        <v>2697</v>
      </c>
      <c r="C597" s="34"/>
      <c r="D597" s="34"/>
    </row>
    <row r="598" spans="1:4" x14ac:dyDescent="0.35">
      <c r="A598" s="9" t="s">
        <v>3080</v>
      </c>
      <c r="B598" s="9" t="s">
        <v>2697</v>
      </c>
      <c r="C598" s="74"/>
      <c r="D598" s="9" t="s">
        <v>1875</v>
      </c>
    </row>
    <row r="599" spans="1:4" x14ac:dyDescent="0.35">
      <c r="A599" s="9" t="s">
        <v>3081</v>
      </c>
      <c r="B599" s="9" t="s">
        <v>2697</v>
      </c>
      <c r="C599" s="74"/>
      <c r="D599" s="9" t="s">
        <v>1306</v>
      </c>
    </row>
    <row r="600" spans="1:4" x14ac:dyDescent="0.35">
      <c r="A600" s="9" t="s">
        <v>3083</v>
      </c>
      <c r="B600" s="9" t="s">
        <v>2697</v>
      </c>
      <c r="C600" s="74"/>
      <c r="D600" s="9" t="s">
        <v>1306</v>
      </c>
    </row>
    <row r="601" spans="1:4" x14ac:dyDescent="0.35">
      <c r="A601" s="140" t="s">
        <v>1312</v>
      </c>
      <c r="B601" s="34" t="s">
        <v>2697</v>
      </c>
      <c r="C601" s="34"/>
      <c r="D601" s="34"/>
    </row>
    <row r="602" spans="1:4" x14ac:dyDescent="0.35">
      <c r="A602" s="140" t="s">
        <v>3085</v>
      </c>
      <c r="B602" s="34" t="s">
        <v>2697</v>
      </c>
      <c r="C602" s="34"/>
      <c r="D602" s="34"/>
    </row>
    <row r="603" spans="1:4" x14ac:dyDescent="0.35">
      <c r="A603" s="140" t="s">
        <v>3087</v>
      </c>
      <c r="B603" s="34" t="s">
        <v>2697</v>
      </c>
      <c r="C603" s="34"/>
      <c r="D603" s="34"/>
    </row>
    <row r="604" spans="1:4" x14ac:dyDescent="0.35">
      <c r="A604" s="140" t="s">
        <v>3094</v>
      </c>
      <c r="B604" s="34" t="s">
        <v>2697</v>
      </c>
      <c r="C604" s="34"/>
      <c r="D604" s="34"/>
    </row>
    <row r="605" spans="1:4" x14ac:dyDescent="0.35">
      <c r="A605" s="9" t="s">
        <v>2760</v>
      </c>
      <c r="B605" s="9" t="s">
        <v>2697</v>
      </c>
      <c r="C605" s="74"/>
      <c r="D605" s="9" t="s">
        <v>1306</v>
      </c>
    </row>
    <row r="606" spans="1:4" x14ac:dyDescent="0.35">
      <c r="A606" s="39" t="s">
        <v>2347</v>
      </c>
      <c r="B606" s="9" t="s">
        <v>2697</v>
      </c>
      <c r="C606" s="74"/>
      <c r="D606" s="9" t="s">
        <v>1306</v>
      </c>
    </row>
    <row r="607" spans="1:4" x14ac:dyDescent="0.35">
      <c r="A607" s="39" t="s">
        <v>3097</v>
      </c>
      <c r="B607" s="9" t="s">
        <v>2697</v>
      </c>
      <c r="C607" s="74"/>
      <c r="D607" s="9"/>
    </row>
    <row r="608" spans="1:4" x14ac:dyDescent="0.35">
      <c r="A608" s="140" t="s">
        <v>3098</v>
      </c>
      <c r="B608" s="34" t="s">
        <v>2697</v>
      </c>
      <c r="C608" s="34"/>
      <c r="D608" s="34"/>
    </row>
    <row r="609" spans="1:4" x14ac:dyDescent="0.35">
      <c r="A609" s="9" t="s">
        <v>1400</v>
      </c>
      <c r="B609" s="9" t="s">
        <v>2697</v>
      </c>
      <c r="C609" s="74"/>
      <c r="D609" s="9" t="s">
        <v>1878</v>
      </c>
    </row>
    <row r="610" spans="1:4" x14ac:dyDescent="0.35">
      <c r="A610" s="140" t="s">
        <v>3100</v>
      </c>
      <c r="B610" s="34" t="s">
        <v>2697</v>
      </c>
      <c r="C610" s="34"/>
      <c r="D610" s="34"/>
    </row>
    <row r="611" spans="1:4" x14ac:dyDescent="0.35">
      <c r="A611" s="140" t="s">
        <v>3102</v>
      </c>
      <c r="B611" s="34" t="s">
        <v>2697</v>
      </c>
      <c r="C611" s="34"/>
      <c r="D611" s="34"/>
    </row>
    <row r="612" spans="1:4" x14ac:dyDescent="0.35">
      <c r="A612" s="140" t="s">
        <v>3104</v>
      </c>
      <c r="B612" s="34" t="s">
        <v>2697</v>
      </c>
      <c r="C612" s="34"/>
      <c r="D612" s="34"/>
    </row>
    <row r="613" spans="1:4" x14ac:dyDescent="0.35">
      <c r="A613" s="9" t="s">
        <v>1038</v>
      </c>
      <c r="B613" s="9" t="s">
        <v>2697</v>
      </c>
      <c r="C613" s="74"/>
      <c r="D613" s="9" t="s">
        <v>1876</v>
      </c>
    </row>
    <row r="614" spans="1:4" x14ac:dyDescent="0.35">
      <c r="A614" s="9" t="s">
        <v>3108</v>
      </c>
      <c r="B614" s="9" t="s">
        <v>2697</v>
      </c>
      <c r="C614" s="74"/>
      <c r="D614" s="9" t="s">
        <v>1306</v>
      </c>
    </row>
    <row r="615" spans="1:4" x14ac:dyDescent="0.35">
      <c r="A615" s="140" t="s">
        <v>3110</v>
      </c>
      <c r="B615" s="34" t="s">
        <v>2697</v>
      </c>
      <c r="C615" s="34"/>
      <c r="D615" s="34"/>
    </row>
    <row r="616" spans="1:4" x14ac:dyDescent="0.35">
      <c r="A616" s="140" t="s">
        <v>3112</v>
      </c>
      <c r="B616" s="34" t="s">
        <v>2697</v>
      </c>
      <c r="C616" s="34"/>
      <c r="D616" s="34"/>
    </row>
    <row r="617" spans="1:4" x14ac:dyDescent="0.35">
      <c r="A617" s="140" t="s">
        <v>3114</v>
      </c>
      <c r="B617" s="34" t="s">
        <v>2697</v>
      </c>
      <c r="C617" s="34"/>
      <c r="D617" s="34"/>
    </row>
    <row r="618" spans="1:4" x14ac:dyDescent="0.35">
      <c r="A618" s="140" t="s">
        <v>3116</v>
      </c>
      <c r="B618" s="34" t="s">
        <v>2697</v>
      </c>
      <c r="C618" s="34"/>
      <c r="D618" s="34"/>
    </row>
    <row r="619" spans="1:4" x14ac:dyDescent="0.35">
      <c r="A619" s="9" t="s">
        <v>3118</v>
      </c>
      <c r="B619" s="9" t="s">
        <v>2697</v>
      </c>
      <c r="C619" s="74"/>
      <c r="D619" s="9" t="s">
        <v>1875</v>
      </c>
    </row>
    <row r="620" spans="1:4" x14ac:dyDescent="0.35">
      <c r="A620" s="9" t="s">
        <v>3120</v>
      </c>
      <c r="B620" s="9" t="s">
        <v>2697</v>
      </c>
      <c r="C620" s="74"/>
      <c r="D620" s="9" t="s">
        <v>1876</v>
      </c>
    </row>
    <row r="621" spans="1:4" x14ac:dyDescent="0.35">
      <c r="A621" s="140" t="s">
        <v>3121</v>
      </c>
      <c r="B621" s="34" t="s">
        <v>2697</v>
      </c>
      <c r="C621" s="34"/>
      <c r="D621" s="34"/>
    </row>
    <row r="622" spans="1:4" x14ac:dyDescent="0.35">
      <c r="A622" s="39" t="s">
        <v>3123</v>
      </c>
      <c r="B622" s="9" t="s">
        <v>2697</v>
      </c>
      <c r="C622" s="74"/>
      <c r="D622" s="9" t="s">
        <v>1876</v>
      </c>
    </row>
    <row r="623" spans="1:4" x14ac:dyDescent="0.35">
      <c r="A623" s="140" t="s">
        <v>3125</v>
      </c>
      <c r="B623" s="34" t="s">
        <v>2697</v>
      </c>
      <c r="C623" s="34"/>
      <c r="D623" s="34"/>
    </row>
    <row r="624" spans="1:4" x14ac:dyDescent="0.35">
      <c r="A624" s="9" t="s">
        <v>3127</v>
      </c>
      <c r="B624" s="9" t="s">
        <v>2697</v>
      </c>
      <c r="C624" s="74"/>
      <c r="D624" s="9" t="s">
        <v>1878</v>
      </c>
    </row>
    <row r="625" spans="1:4" x14ac:dyDescent="0.35">
      <c r="A625" s="140" t="s">
        <v>3129</v>
      </c>
      <c r="B625" s="34" t="s">
        <v>2697</v>
      </c>
      <c r="C625" s="34"/>
      <c r="D625" s="34"/>
    </row>
    <row r="626" spans="1:4" x14ac:dyDescent="0.35">
      <c r="A626" s="140" t="s">
        <v>3133</v>
      </c>
      <c r="B626" s="34" t="s">
        <v>2697</v>
      </c>
      <c r="C626" s="34"/>
      <c r="D626" s="34"/>
    </row>
    <row r="627" spans="1:4" x14ac:dyDescent="0.35">
      <c r="A627" s="140" t="s">
        <v>1320</v>
      </c>
      <c r="B627" s="34" t="s">
        <v>2697</v>
      </c>
      <c r="C627" s="34"/>
      <c r="D627" s="34"/>
    </row>
    <row r="628" spans="1:4" x14ac:dyDescent="0.35">
      <c r="A628" s="39" t="s">
        <v>2291</v>
      </c>
      <c r="B628" s="9" t="s">
        <v>2697</v>
      </c>
      <c r="C628" s="74"/>
      <c r="D628" s="9" t="s">
        <v>1143</v>
      </c>
    </row>
    <row r="629" spans="1:4" x14ac:dyDescent="0.35">
      <c r="A629" s="9" t="s">
        <v>3137</v>
      </c>
      <c r="B629" s="9" t="s">
        <v>2697</v>
      </c>
      <c r="C629" s="74" t="s">
        <v>1875</v>
      </c>
      <c r="D629" s="9"/>
    </row>
    <row r="630" spans="1:4" x14ac:dyDescent="0.35">
      <c r="A630" s="39" t="s">
        <v>822</v>
      </c>
      <c r="B630" s="9" t="s">
        <v>2697</v>
      </c>
      <c r="C630" s="74"/>
      <c r="D630" s="9" t="s">
        <v>1143</v>
      </c>
    </row>
    <row r="631" spans="1:4" x14ac:dyDescent="0.35">
      <c r="A631" s="9" t="s">
        <v>2304</v>
      </c>
      <c r="B631" s="9" t="s">
        <v>2697</v>
      </c>
      <c r="C631" s="74"/>
      <c r="D631" s="9" t="s">
        <v>1874</v>
      </c>
    </row>
    <row r="632" spans="1:4" x14ac:dyDescent="0.35">
      <c r="A632" s="140" t="s">
        <v>3140</v>
      </c>
      <c r="B632" s="34" t="s">
        <v>2697</v>
      </c>
      <c r="C632" s="34"/>
      <c r="D632" s="34"/>
    </row>
    <row r="633" spans="1:4" x14ac:dyDescent="0.35">
      <c r="A633" s="9" t="s">
        <v>3141</v>
      </c>
      <c r="B633" s="9" t="s">
        <v>2697</v>
      </c>
      <c r="C633" s="74"/>
      <c r="D633" s="9" t="s">
        <v>1876</v>
      </c>
    </row>
    <row r="634" spans="1:4" x14ac:dyDescent="0.35">
      <c r="A634" s="39" t="s">
        <v>2396</v>
      </c>
      <c r="B634" s="9" t="s">
        <v>2697</v>
      </c>
      <c r="C634" s="74"/>
      <c r="D634" s="9" t="s">
        <v>1143</v>
      </c>
    </row>
    <row r="635" spans="1:4" x14ac:dyDescent="0.35">
      <c r="A635" s="140" t="s">
        <v>3142</v>
      </c>
      <c r="B635" s="34" t="s">
        <v>2697</v>
      </c>
      <c r="C635" s="34"/>
      <c r="D635" s="34"/>
    </row>
    <row r="636" spans="1:4" x14ac:dyDescent="0.35">
      <c r="A636" s="39" t="s">
        <v>1106</v>
      </c>
      <c r="B636" s="9" t="s">
        <v>2697</v>
      </c>
      <c r="C636" s="74"/>
      <c r="D636" s="9" t="s">
        <v>1306</v>
      </c>
    </row>
    <row r="637" spans="1:4" x14ac:dyDescent="0.35">
      <c r="A637" s="140" t="s">
        <v>3144</v>
      </c>
      <c r="B637" s="34" t="s">
        <v>2697</v>
      </c>
      <c r="C637" s="34"/>
      <c r="D637" s="34"/>
    </row>
    <row r="638" spans="1:4" x14ac:dyDescent="0.35">
      <c r="A638" s="140" t="s">
        <v>3146</v>
      </c>
      <c r="B638" s="34" t="s">
        <v>2697</v>
      </c>
      <c r="C638" s="34"/>
      <c r="D638" s="34"/>
    </row>
    <row r="639" spans="1:4" x14ac:dyDescent="0.35">
      <c r="A639" s="140" t="s">
        <v>3149</v>
      </c>
      <c r="B639" s="34" t="s">
        <v>2697</v>
      </c>
      <c r="C639" s="34"/>
      <c r="D639" s="34"/>
    </row>
    <row r="640" spans="1:4" x14ac:dyDescent="0.35">
      <c r="A640" s="140" t="s">
        <v>3151</v>
      </c>
      <c r="B640" s="34" t="s">
        <v>2697</v>
      </c>
      <c r="C640" s="34"/>
      <c r="D640" s="34"/>
    </row>
    <row r="641" spans="1:4" x14ac:dyDescent="0.35">
      <c r="A641" s="140" t="s">
        <v>3154</v>
      </c>
      <c r="B641" s="34" t="s">
        <v>2697</v>
      </c>
      <c r="C641" s="34"/>
      <c r="D641" s="34"/>
    </row>
    <row r="642" spans="1:4" x14ac:dyDescent="0.35">
      <c r="A642" s="141" t="s">
        <v>3156</v>
      </c>
      <c r="B642" s="34" t="s">
        <v>2697</v>
      </c>
      <c r="C642" s="34"/>
      <c r="D642" s="34"/>
    </row>
    <row r="643" spans="1:4" x14ac:dyDescent="0.35">
      <c r="A643" s="9" t="s">
        <v>3158</v>
      </c>
      <c r="B643" s="9" t="s">
        <v>2697</v>
      </c>
      <c r="C643" s="74" t="s">
        <v>1877</v>
      </c>
      <c r="D643" s="9"/>
    </row>
    <row r="644" spans="1:4" x14ac:dyDescent="0.35">
      <c r="A644" s="9" t="s">
        <v>1046</v>
      </c>
      <c r="B644" s="9" t="s">
        <v>2697</v>
      </c>
      <c r="C644" s="74"/>
      <c r="D644" s="9" t="s">
        <v>1876</v>
      </c>
    </row>
    <row r="645" spans="1:4" x14ac:dyDescent="0.35">
      <c r="A645" s="140" t="s">
        <v>3161</v>
      </c>
      <c r="B645" s="34" t="s">
        <v>2697</v>
      </c>
      <c r="C645" s="34"/>
      <c r="D645" s="34"/>
    </row>
    <row r="646" spans="1:4" x14ac:dyDescent="0.35">
      <c r="A646" s="9" t="s">
        <v>3162</v>
      </c>
      <c r="B646" s="9" t="s">
        <v>2697</v>
      </c>
      <c r="C646" s="74"/>
      <c r="D646" s="9" t="s">
        <v>1306</v>
      </c>
    </row>
    <row r="647" spans="1:4" x14ac:dyDescent="0.35">
      <c r="A647" s="140" t="s">
        <v>3164</v>
      </c>
      <c r="B647" s="34" t="s">
        <v>2697</v>
      </c>
      <c r="C647" s="34"/>
      <c r="D647" s="34"/>
    </row>
    <row r="648" spans="1:4" x14ac:dyDescent="0.35">
      <c r="A648" s="9" t="s">
        <v>657</v>
      </c>
      <c r="B648" s="9" t="s">
        <v>2697</v>
      </c>
      <c r="C648" s="74"/>
      <c r="D648" s="9" t="s">
        <v>1872</v>
      </c>
    </row>
    <row r="649" spans="1:4" x14ac:dyDescent="0.35">
      <c r="A649" s="140" t="s">
        <v>3168</v>
      </c>
      <c r="B649" s="34" t="s">
        <v>2697</v>
      </c>
      <c r="C649" s="34"/>
      <c r="D649" s="34"/>
    </row>
    <row r="650" spans="1:4" x14ac:dyDescent="0.35">
      <c r="A650" s="9" t="s">
        <v>1407</v>
      </c>
      <c r="B650" s="9" t="s">
        <v>2697</v>
      </c>
      <c r="C650" s="74"/>
      <c r="D650" s="9" t="s">
        <v>1873</v>
      </c>
    </row>
    <row r="651" spans="1:4" x14ac:dyDescent="0.35">
      <c r="A651" s="140" t="s">
        <v>3170</v>
      </c>
      <c r="B651" s="34" t="s">
        <v>2697</v>
      </c>
      <c r="C651" s="34"/>
      <c r="D651" s="34"/>
    </row>
    <row r="652" spans="1:4" x14ac:dyDescent="0.35">
      <c r="A652" s="140" t="s">
        <v>3174</v>
      </c>
      <c r="B652" s="34" t="s">
        <v>2697</v>
      </c>
      <c r="C652" s="34"/>
      <c r="D652" s="34"/>
    </row>
    <row r="653" spans="1:4" x14ac:dyDescent="0.35">
      <c r="A653" s="140" t="s">
        <v>3176</v>
      </c>
      <c r="B653" s="34" t="s">
        <v>2697</v>
      </c>
      <c r="C653" s="34"/>
      <c r="D653" s="34"/>
    </row>
    <row r="654" spans="1:4" x14ac:dyDescent="0.35">
      <c r="A654" s="142" t="s">
        <v>2705</v>
      </c>
      <c r="B654" s="103" t="s">
        <v>2698</v>
      </c>
      <c r="C654" s="103" t="s">
        <v>2706</v>
      </c>
      <c r="D654" s="103"/>
    </row>
    <row r="655" spans="1:4" x14ac:dyDescent="0.35">
      <c r="A655" s="50" t="s">
        <v>108</v>
      </c>
      <c r="B655" s="50" t="s">
        <v>2698</v>
      </c>
      <c r="C655" s="80" t="s">
        <v>2707</v>
      </c>
      <c r="D655" s="50" t="s">
        <v>1870</v>
      </c>
    </row>
    <row r="656" spans="1:4" x14ac:dyDescent="0.35">
      <c r="A656" s="50" t="s">
        <v>479</v>
      </c>
      <c r="B656" s="50" t="s">
        <v>2698</v>
      </c>
      <c r="C656" s="80" t="s">
        <v>1873</v>
      </c>
      <c r="D656" s="50" t="s">
        <v>1872</v>
      </c>
    </row>
    <row r="657" spans="1:4" x14ac:dyDescent="0.35">
      <c r="A657" s="50" t="s">
        <v>748</v>
      </c>
      <c r="B657" s="50" t="s">
        <v>2698</v>
      </c>
      <c r="C657" s="80" t="s">
        <v>1306</v>
      </c>
      <c r="D657" s="50" t="s">
        <v>1143</v>
      </c>
    </row>
    <row r="658" spans="1:4" x14ac:dyDescent="0.35">
      <c r="A658" s="50" t="s">
        <v>2708</v>
      </c>
      <c r="B658" s="50" t="s">
        <v>2698</v>
      </c>
      <c r="C658" s="80" t="s">
        <v>1143</v>
      </c>
      <c r="D658" s="50" t="s">
        <v>1870</v>
      </c>
    </row>
    <row r="659" spans="1:4" x14ac:dyDescent="0.35">
      <c r="A659" s="50" t="s">
        <v>2709</v>
      </c>
      <c r="B659" s="50" t="s">
        <v>2698</v>
      </c>
      <c r="C659" s="80" t="s">
        <v>1143</v>
      </c>
      <c r="D659" s="50" t="s">
        <v>1876</v>
      </c>
    </row>
    <row r="660" spans="1:4" x14ac:dyDescent="0.35">
      <c r="A660" s="50" t="s">
        <v>531</v>
      </c>
      <c r="B660" s="50" t="s">
        <v>2698</v>
      </c>
      <c r="C660" s="80" t="s">
        <v>1143</v>
      </c>
      <c r="D660" s="50" t="s">
        <v>1143</v>
      </c>
    </row>
    <row r="661" spans="1:4" x14ac:dyDescent="0.35">
      <c r="A661" s="50" t="s">
        <v>2389</v>
      </c>
      <c r="B661" s="50" t="s">
        <v>2698</v>
      </c>
      <c r="C661" s="80" t="s">
        <v>1872</v>
      </c>
      <c r="D661" s="50"/>
    </row>
    <row r="662" spans="1:4" x14ac:dyDescent="0.35">
      <c r="A662" s="50" t="s">
        <v>2710</v>
      </c>
      <c r="B662" s="50" t="s">
        <v>2698</v>
      </c>
      <c r="C662" s="80" t="s">
        <v>1876</v>
      </c>
      <c r="D662" s="50" t="s">
        <v>1873</v>
      </c>
    </row>
    <row r="663" spans="1:4" x14ac:dyDescent="0.35">
      <c r="A663" s="50" t="s">
        <v>1709</v>
      </c>
      <c r="B663" s="50" t="s">
        <v>2698</v>
      </c>
      <c r="C663" s="80" t="s">
        <v>1876</v>
      </c>
      <c r="D663" s="50" t="s">
        <v>1874</v>
      </c>
    </row>
    <row r="664" spans="1:4" x14ac:dyDescent="0.35">
      <c r="A664" s="50" t="s">
        <v>774</v>
      </c>
      <c r="B664" s="50" t="s">
        <v>2698</v>
      </c>
      <c r="C664" s="80" t="s">
        <v>1143</v>
      </c>
      <c r="D664" s="50" t="s">
        <v>1306</v>
      </c>
    </row>
    <row r="665" spans="1:4" x14ac:dyDescent="0.35">
      <c r="A665" s="50" t="s">
        <v>2365</v>
      </c>
      <c r="B665" s="50" t="s">
        <v>2698</v>
      </c>
      <c r="C665" s="80" t="s">
        <v>1143</v>
      </c>
      <c r="D665" s="50" t="s">
        <v>1870</v>
      </c>
    </row>
    <row r="666" spans="1:4" x14ac:dyDescent="0.35">
      <c r="A666" s="50" t="s">
        <v>137</v>
      </c>
      <c r="B666" s="50" t="s">
        <v>2698</v>
      </c>
      <c r="C666" s="80" t="s">
        <v>1872</v>
      </c>
      <c r="D666" s="80" t="s">
        <v>2717</v>
      </c>
    </row>
    <row r="667" spans="1:4" x14ac:dyDescent="0.35">
      <c r="A667" s="50" t="s">
        <v>2719</v>
      </c>
      <c r="B667" s="50" t="s">
        <v>2698</v>
      </c>
      <c r="C667" s="80" t="s">
        <v>1872</v>
      </c>
      <c r="D667" s="50" t="s">
        <v>1876</v>
      </c>
    </row>
    <row r="668" spans="1:4" x14ac:dyDescent="0.35">
      <c r="A668" s="50" t="s">
        <v>265</v>
      </c>
      <c r="B668" s="50" t="s">
        <v>2698</v>
      </c>
      <c r="C668" s="80" t="s">
        <v>1872</v>
      </c>
      <c r="D668" s="50" t="s">
        <v>1870</v>
      </c>
    </row>
    <row r="669" spans="1:4" x14ac:dyDescent="0.35">
      <c r="A669" s="50" t="s">
        <v>338</v>
      </c>
      <c r="B669" s="50" t="s">
        <v>2698</v>
      </c>
      <c r="C669" s="80" t="s">
        <v>1872</v>
      </c>
      <c r="D669" s="50" t="s">
        <v>1870</v>
      </c>
    </row>
    <row r="670" spans="1:4" x14ac:dyDescent="0.35">
      <c r="A670" s="50" t="s">
        <v>151</v>
      </c>
      <c r="B670" s="50" t="s">
        <v>2698</v>
      </c>
      <c r="C670" s="80" t="s">
        <v>1872</v>
      </c>
      <c r="D670" s="50" t="s">
        <v>1143</v>
      </c>
    </row>
    <row r="671" spans="1:4" x14ac:dyDescent="0.35">
      <c r="A671" s="50" t="s">
        <v>1353</v>
      </c>
      <c r="B671" s="50" t="s">
        <v>2698</v>
      </c>
      <c r="C671" s="80" t="s">
        <v>2721</v>
      </c>
      <c r="D671" s="50" t="s">
        <v>1880</v>
      </c>
    </row>
    <row r="672" spans="1:4" x14ac:dyDescent="0.35">
      <c r="A672" s="50" t="s">
        <v>165</v>
      </c>
      <c r="B672" s="50" t="s">
        <v>2698</v>
      </c>
      <c r="C672" s="80" t="s">
        <v>2707</v>
      </c>
      <c r="D672" s="50" t="s">
        <v>1870</v>
      </c>
    </row>
    <row r="673" spans="1:4" x14ac:dyDescent="0.35">
      <c r="A673" s="50" t="s">
        <v>175</v>
      </c>
      <c r="B673" s="50" t="s">
        <v>2698</v>
      </c>
      <c r="C673" s="80" t="s">
        <v>1872</v>
      </c>
      <c r="D673" s="50" t="s">
        <v>1872</v>
      </c>
    </row>
    <row r="674" spans="1:4" x14ac:dyDescent="0.35">
      <c r="A674" s="50" t="s">
        <v>1273</v>
      </c>
      <c r="B674" s="50" t="s">
        <v>2698</v>
      </c>
      <c r="C674" s="80" t="s">
        <v>1872</v>
      </c>
      <c r="D674" s="50" t="s">
        <v>1872</v>
      </c>
    </row>
    <row r="675" spans="1:4" x14ac:dyDescent="0.35">
      <c r="A675" s="89" t="s">
        <v>198</v>
      </c>
      <c r="B675" s="50" t="s">
        <v>2698</v>
      </c>
      <c r="C675" s="80" t="s">
        <v>1870</v>
      </c>
      <c r="D675" s="50"/>
    </row>
    <row r="676" spans="1:4" x14ac:dyDescent="0.35">
      <c r="A676" s="50" t="s">
        <v>199</v>
      </c>
      <c r="B676" s="50" t="s">
        <v>2698</v>
      </c>
      <c r="C676" s="80" t="s">
        <v>1872</v>
      </c>
      <c r="D676" s="50" t="s">
        <v>1870</v>
      </c>
    </row>
    <row r="677" spans="1:4" x14ac:dyDescent="0.35">
      <c r="A677" s="89" t="s">
        <v>2234</v>
      </c>
      <c r="B677" s="50" t="s">
        <v>2698</v>
      </c>
      <c r="C677" s="80" t="s">
        <v>1143</v>
      </c>
      <c r="D677" s="50" t="s">
        <v>1873</v>
      </c>
    </row>
    <row r="678" spans="1:4" x14ac:dyDescent="0.35">
      <c r="A678" s="50" t="s">
        <v>171</v>
      </c>
      <c r="B678" s="50" t="s">
        <v>2698</v>
      </c>
      <c r="C678" s="80" t="s">
        <v>1872</v>
      </c>
      <c r="D678" s="50" t="s">
        <v>1872</v>
      </c>
    </row>
    <row r="679" spans="1:4" x14ac:dyDescent="0.35">
      <c r="A679" s="50" t="s">
        <v>2730</v>
      </c>
      <c r="B679" s="50" t="s">
        <v>2698</v>
      </c>
      <c r="C679" s="111" t="s">
        <v>1143</v>
      </c>
      <c r="D679" s="103"/>
    </row>
    <row r="680" spans="1:4" x14ac:dyDescent="0.35">
      <c r="A680" s="50" t="s">
        <v>255</v>
      </c>
      <c r="B680" s="50" t="s">
        <v>2698</v>
      </c>
      <c r="C680" s="80" t="s">
        <v>1872</v>
      </c>
      <c r="D680" s="50" t="s">
        <v>1870</v>
      </c>
    </row>
    <row r="681" spans="1:4" x14ac:dyDescent="0.35">
      <c r="A681" s="89" t="s">
        <v>259</v>
      </c>
      <c r="B681" s="50" t="s">
        <v>2698</v>
      </c>
      <c r="C681" s="80" t="s">
        <v>1872</v>
      </c>
      <c r="D681" s="50" t="s">
        <v>1870</v>
      </c>
    </row>
    <row r="682" spans="1:4" x14ac:dyDescent="0.35">
      <c r="A682" s="89" t="s">
        <v>2124</v>
      </c>
      <c r="B682" s="50" t="s">
        <v>2698</v>
      </c>
      <c r="C682" s="80" t="s">
        <v>1875</v>
      </c>
      <c r="D682" s="50" t="s">
        <v>1873</v>
      </c>
    </row>
    <row r="683" spans="1:4" x14ac:dyDescent="0.35">
      <c r="A683" s="89" t="s">
        <v>2731</v>
      </c>
      <c r="B683" s="50" t="s">
        <v>2698</v>
      </c>
      <c r="C683" s="80" t="s">
        <v>1874</v>
      </c>
      <c r="D683" s="50"/>
    </row>
    <row r="684" spans="1:4" x14ac:dyDescent="0.35">
      <c r="A684" s="50" t="s">
        <v>273</v>
      </c>
      <c r="B684" s="50" t="s">
        <v>2698</v>
      </c>
      <c r="C684" s="80" t="s">
        <v>2707</v>
      </c>
      <c r="D684" s="80" t="s">
        <v>2717</v>
      </c>
    </row>
    <row r="685" spans="1:4" x14ac:dyDescent="0.35">
      <c r="A685" s="50" t="s">
        <v>285</v>
      </c>
      <c r="B685" s="50" t="s">
        <v>2698</v>
      </c>
      <c r="C685" s="80" t="s">
        <v>2707</v>
      </c>
      <c r="D685" s="50" t="s">
        <v>1870</v>
      </c>
    </row>
    <row r="686" spans="1:4" x14ac:dyDescent="0.35">
      <c r="A686" s="50" t="s">
        <v>2733</v>
      </c>
      <c r="B686" s="50" t="s">
        <v>2698</v>
      </c>
      <c r="C686" s="80" t="s">
        <v>1872</v>
      </c>
      <c r="D686" s="50" t="s">
        <v>1872</v>
      </c>
    </row>
    <row r="687" spans="1:4" x14ac:dyDescent="0.35">
      <c r="A687" s="50" t="s">
        <v>313</v>
      </c>
      <c r="B687" s="50" t="s">
        <v>2698</v>
      </c>
      <c r="C687" s="80" t="s">
        <v>2721</v>
      </c>
      <c r="D687" s="80" t="s">
        <v>2717</v>
      </c>
    </row>
    <row r="688" spans="1:4" x14ac:dyDescent="0.35">
      <c r="A688" s="50" t="s">
        <v>406</v>
      </c>
      <c r="B688" s="50" t="s">
        <v>2698</v>
      </c>
      <c r="C688" s="80" t="s">
        <v>1872</v>
      </c>
      <c r="D688" s="50" t="s">
        <v>1874</v>
      </c>
    </row>
    <row r="689" spans="1:4" x14ac:dyDescent="0.35">
      <c r="A689" s="103" t="s">
        <v>2734</v>
      </c>
      <c r="B689" s="103" t="s">
        <v>2698</v>
      </c>
      <c r="C689" s="103" t="s">
        <v>1873</v>
      </c>
      <c r="D689" s="103"/>
    </row>
    <row r="690" spans="1:4" x14ac:dyDescent="0.35">
      <c r="A690" s="89" t="s">
        <v>323</v>
      </c>
      <c r="B690" s="50" t="s">
        <v>2698</v>
      </c>
      <c r="C690" s="80" t="s">
        <v>1872</v>
      </c>
      <c r="D690" s="50"/>
    </row>
    <row r="691" spans="1:4" x14ac:dyDescent="0.35">
      <c r="A691" s="50" t="s">
        <v>329</v>
      </c>
      <c r="B691" s="50" t="s">
        <v>2698</v>
      </c>
      <c r="C691" s="80" t="s">
        <v>1872</v>
      </c>
      <c r="D691" s="50" t="s">
        <v>1872</v>
      </c>
    </row>
    <row r="692" spans="1:4" x14ac:dyDescent="0.35">
      <c r="A692" s="144" t="s">
        <v>2740</v>
      </c>
      <c r="B692" s="103" t="s">
        <v>2698</v>
      </c>
      <c r="C692" s="103"/>
      <c r="D692" s="103"/>
    </row>
    <row r="693" spans="1:4" x14ac:dyDescent="0.35">
      <c r="A693" s="89" t="s">
        <v>341</v>
      </c>
      <c r="B693" s="50" t="s">
        <v>2698</v>
      </c>
      <c r="C693" s="80" t="s">
        <v>1872</v>
      </c>
      <c r="D693" s="50" t="s">
        <v>1872</v>
      </c>
    </row>
    <row r="694" spans="1:4" x14ac:dyDescent="0.35">
      <c r="A694" s="50" t="s">
        <v>2476</v>
      </c>
      <c r="B694" s="50" t="s">
        <v>2698</v>
      </c>
      <c r="C694" s="80" t="s">
        <v>2707</v>
      </c>
      <c r="D694" s="50"/>
    </row>
    <row r="695" spans="1:4" x14ac:dyDescent="0.35">
      <c r="A695" s="50" t="s">
        <v>2741</v>
      </c>
      <c r="B695" s="50" t="s">
        <v>2698</v>
      </c>
      <c r="C695" s="80" t="s">
        <v>1872</v>
      </c>
      <c r="D695" s="50" t="s">
        <v>1143</v>
      </c>
    </row>
    <row r="696" spans="1:4" x14ac:dyDescent="0.35">
      <c r="A696" s="50" t="s">
        <v>152</v>
      </c>
      <c r="B696" s="50" t="s">
        <v>2698</v>
      </c>
      <c r="C696" s="80" t="s">
        <v>1872</v>
      </c>
      <c r="D696" s="50" t="s">
        <v>1870</v>
      </c>
    </row>
    <row r="697" spans="1:4" x14ac:dyDescent="0.35">
      <c r="A697" s="50" t="s">
        <v>1384</v>
      </c>
      <c r="B697" s="50" t="s">
        <v>2698</v>
      </c>
      <c r="C697" s="80" t="s">
        <v>1875</v>
      </c>
      <c r="D697" s="50" t="s">
        <v>1876</v>
      </c>
    </row>
    <row r="698" spans="1:4" x14ac:dyDescent="0.35">
      <c r="A698" s="89" t="s">
        <v>2743</v>
      </c>
      <c r="B698" s="50" t="s">
        <v>2698</v>
      </c>
      <c r="C698" s="80" t="s">
        <v>2721</v>
      </c>
      <c r="D698" s="50"/>
    </row>
    <row r="699" spans="1:4" x14ac:dyDescent="0.35">
      <c r="A699" s="50" t="s">
        <v>363</v>
      </c>
      <c r="B699" s="50" t="s">
        <v>2698</v>
      </c>
      <c r="C699" s="80" t="s">
        <v>1872</v>
      </c>
      <c r="D699" s="50" t="s">
        <v>1870</v>
      </c>
    </row>
    <row r="700" spans="1:4" x14ac:dyDescent="0.35">
      <c r="A700" s="50" t="s">
        <v>1845</v>
      </c>
      <c r="B700" s="50" t="s">
        <v>2698</v>
      </c>
      <c r="C700" s="80" t="s">
        <v>1306</v>
      </c>
      <c r="D700" s="50" t="s">
        <v>1143</v>
      </c>
    </row>
    <row r="701" spans="1:4" x14ac:dyDescent="0.35">
      <c r="A701" s="50" t="s">
        <v>601</v>
      </c>
      <c r="B701" s="50" t="s">
        <v>2698</v>
      </c>
      <c r="C701" s="80" t="s">
        <v>1143</v>
      </c>
      <c r="D701" s="50" t="s">
        <v>1143</v>
      </c>
    </row>
    <row r="702" spans="1:4" x14ac:dyDescent="0.35">
      <c r="A702" s="144" t="s">
        <v>2747</v>
      </c>
      <c r="B702" s="103" t="s">
        <v>2698</v>
      </c>
      <c r="C702" s="103" t="s">
        <v>1143</v>
      </c>
      <c r="D702" s="103"/>
    </row>
    <row r="703" spans="1:4" x14ac:dyDescent="0.35">
      <c r="A703" s="50" t="s">
        <v>2748</v>
      </c>
      <c r="B703" s="50" t="s">
        <v>2698</v>
      </c>
      <c r="C703" s="187" t="s">
        <v>1143</v>
      </c>
      <c r="D703" s="50" t="s">
        <v>1874</v>
      </c>
    </row>
    <row r="704" spans="1:4" x14ac:dyDescent="0.35">
      <c r="A704" s="50" t="s">
        <v>1207</v>
      </c>
      <c r="B704" s="50" t="s">
        <v>2698</v>
      </c>
      <c r="C704" s="80" t="s">
        <v>1143</v>
      </c>
      <c r="D704" s="50" t="s">
        <v>1143</v>
      </c>
    </row>
    <row r="705" spans="1:4" x14ac:dyDescent="0.35">
      <c r="A705" s="142" t="s">
        <v>912</v>
      </c>
      <c r="B705" s="103" t="s">
        <v>2698</v>
      </c>
      <c r="C705" s="103" t="s">
        <v>1875</v>
      </c>
      <c r="D705" s="103"/>
    </row>
    <row r="706" spans="1:4" x14ac:dyDescent="0.35">
      <c r="A706" s="50" t="s">
        <v>679</v>
      </c>
      <c r="B706" s="50" t="s">
        <v>2698</v>
      </c>
      <c r="C706" s="80" t="s">
        <v>1143</v>
      </c>
      <c r="D706" s="50" t="s">
        <v>1870</v>
      </c>
    </row>
    <row r="707" spans="1:4" x14ac:dyDescent="0.35">
      <c r="A707" s="50" t="s">
        <v>1210</v>
      </c>
      <c r="B707" s="50" t="s">
        <v>2698</v>
      </c>
      <c r="C707" s="80" t="s">
        <v>1143</v>
      </c>
      <c r="D707" s="50" t="s">
        <v>1306</v>
      </c>
    </row>
    <row r="708" spans="1:4" x14ac:dyDescent="0.35">
      <c r="A708" s="89" t="s">
        <v>2382</v>
      </c>
      <c r="B708" s="50" t="s">
        <v>2698</v>
      </c>
      <c r="C708" s="80" t="s">
        <v>1872</v>
      </c>
      <c r="D708" s="50" t="s">
        <v>1872</v>
      </c>
    </row>
    <row r="709" spans="1:4" x14ac:dyDescent="0.35">
      <c r="A709" s="50" t="s">
        <v>541</v>
      </c>
      <c r="B709" s="50" t="s">
        <v>2698</v>
      </c>
      <c r="C709" s="80" t="s">
        <v>1143</v>
      </c>
      <c r="D709" s="50" t="s">
        <v>1306</v>
      </c>
    </row>
    <row r="710" spans="1:4" x14ac:dyDescent="0.35">
      <c r="A710" s="50" t="s">
        <v>2751</v>
      </c>
      <c r="B710" s="50" t="s">
        <v>2698</v>
      </c>
      <c r="C710" s="80" t="s">
        <v>1873</v>
      </c>
      <c r="D710" s="50" t="s">
        <v>1872</v>
      </c>
    </row>
    <row r="711" spans="1:4" ht="29" x14ac:dyDescent="0.35">
      <c r="A711" s="89" t="s">
        <v>1214</v>
      </c>
      <c r="B711" s="50" t="s">
        <v>2698</v>
      </c>
      <c r="C711" s="80" t="s">
        <v>1143</v>
      </c>
      <c r="D711" s="50" t="s">
        <v>1143</v>
      </c>
    </row>
    <row r="712" spans="1:4" x14ac:dyDescent="0.35">
      <c r="A712" s="50" t="s">
        <v>537</v>
      </c>
      <c r="B712" s="50" t="s">
        <v>2698</v>
      </c>
      <c r="C712" s="80" t="s">
        <v>1143</v>
      </c>
      <c r="D712" s="50" t="s">
        <v>2756</v>
      </c>
    </row>
    <row r="713" spans="1:4" x14ac:dyDescent="0.35">
      <c r="A713" s="50" t="s">
        <v>544</v>
      </c>
      <c r="B713" s="50" t="s">
        <v>2698</v>
      </c>
      <c r="C713" s="80" t="s">
        <v>1143</v>
      </c>
      <c r="D713" s="50" t="s">
        <v>1872</v>
      </c>
    </row>
    <row r="714" spans="1:4" x14ac:dyDescent="0.35">
      <c r="A714" s="50" t="s">
        <v>549</v>
      </c>
      <c r="B714" s="50" t="s">
        <v>2698</v>
      </c>
      <c r="C714" s="80" t="s">
        <v>1143</v>
      </c>
      <c r="D714" s="50" t="s">
        <v>1872</v>
      </c>
    </row>
    <row r="715" spans="1:4" x14ac:dyDescent="0.35">
      <c r="A715" s="142" t="s">
        <v>2762</v>
      </c>
      <c r="B715" s="103" t="s">
        <v>2698</v>
      </c>
      <c r="C715" s="103" t="s">
        <v>1306</v>
      </c>
      <c r="D715" s="103"/>
    </row>
    <row r="716" spans="1:4" x14ac:dyDescent="0.35">
      <c r="A716" s="50" t="s">
        <v>350</v>
      </c>
      <c r="B716" s="50" t="s">
        <v>2698</v>
      </c>
      <c r="C716" s="80" t="s">
        <v>1872</v>
      </c>
      <c r="D716" s="50" t="s">
        <v>1870</v>
      </c>
    </row>
    <row r="717" spans="1:4" x14ac:dyDescent="0.35">
      <c r="A717" s="89" t="s">
        <v>1854</v>
      </c>
      <c r="B717" s="50" t="s">
        <v>2698</v>
      </c>
      <c r="C717" s="80" t="s">
        <v>1143</v>
      </c>
      <c r="D717" s="50" t="s">
        <v>1870</v>
      </c>
    </row>
    <row r="718" spans="1:4" x14ac:dyDescent="0.35">
      <c r="A718" s="50" t="s">
        <v>789</v>
      </c>
      <c r="B718" s="50" t="s">
        <v>2698</v>
      </c>
      <c r="C718" s="80" t="s">
        <v>1873</v>
      </c>
      <c r="D718" s="50"/>
    </row>
    <row r="719" spans="1:4" x14ac:dyDescent="0.35">
      <c r="A719" s="89" t="s">
        <v>2763</v>
      </c>
      <c r="B719" s="50" t="s">
        <v>2698</v>
      </c>
      <c r="C719" s="80" t="s">
        <v>1872</v>
      </c>
      <c r="D719" s="50" t="s">
        <v>1872</v>
      </c>
    </row>
    <row r="720" spans="1:4" x14ac:dyDescent="0.35">
      <c r="A720" s="144" t="s">
        <v>2764</v>
      </c>
      <c r="B720" s="103" t="s">
        <v>2698</v>
      </c>
      <c r="C720" s="103" t="s">
        <v>1873</v>
      </c>
      <c r="D720" s="103"/>
    </row>
    <row r="721" spans="1:4" x14ac:dyDescent="0.35">
      <c r="A721" s="89" t="s">
        <v>702</v>
      </c>
      <c r="B721" s="50" t="s">
        <v>2698</v>
      </c>
      <c r="C721" s="80" t="s">
        <v>1872</v>
      </c>
      <c r="D721" s="50" t="s">
        <v>1306</v>
      </c>
    </row>
    <row r="722" spans="1:4" x14ac:dyDescent="0.35">
      <c r="A722" s="144" t="s">
        <v>2767</v>
      </c>
      <c r="B722" s="103" t="s">
        <v>2698</v>
      </c>
      <c r="C722" s="103"/>
      <c r="D722" s="103" t="s">
        <v>1880</v>
      </c>
    </row>
    <row r="723" spans="1:4" x14ac:dyDescent="0.35">
      <c r="A723" s="50" t="s">
        <v>166</v>
      </c>
      <c r="B723" s="50" t="s">
        <v>2698</v>
      </c>
      <c r="C723" s="80" t="s">
        <v>1872</v>
      </c>
      <c r="D723" s="50" t="s">
        <v>1872</v>
      </c>
    </row>
    <row r="724" spans="1:4" x14ac:dyDescent="0.35">
      <c r="A724" s="142" t="s">
        <v>2768</v>
      </c>
      <c r="B724" s="103" t="s">
        <v>2698</v>
      </c>
      <c r="C724" s="103" t="s">
        <v>1143</v>
      </c>
      <c r="D724" s="103"/>
    </row>
    <row r="725" spans="1:4" x14ac:dyDescent="0.35">
      <c r="A725" s="50" t="s">
        <v>2769</v>
      </c>
      <c r="B725" s="50" t="s">
        <v>2698</v>
      </c>
      <c r="C725" s="80" t="s">
        <v>1143</v>
      </c>
      <c r="D725" s="50" t="s">
        <v>1143</v>
      </c>
    </row>
    <row r="726" spans="1:4" x14ac:dyDescent="0.35">
      <c r="A726" s="89" t="s">
        <v>1396</v>
      </c>
      <c r="B726" s="50" t="s">
        <v>2698</v>
      </c>
      <c r="C726" s="80" t="s">
        <v>1143</v>
      </c>
      <c r="D726" s="50" t="s">
        <v>1873</v>
      </c>
    </row>
    <row r="727" spans="1:4" x14ac:dyDescent="0.35">
      <c r="A727" s="50" t="s">
        <v>1229</v>
      </c>
      <c r="B727" s="50" t="s">
        <v>2698</v>
      </c>
      <c r="C727" s="80" t="s">
        <v>2707</v>
      </c>
      <c r="D727" s="50" t="s">
        <v>1870</v>
      </c>
    </row>
    <row r="728" spans="1:4" x14ac:dyDescent="0.35">
      <c r="A728" s="89" t="s">
        <v>1863</v>
      </c>
      <c r="B728" s="50" t="s">
        <v>2698</v>
      </c>
      <c r="C728" s="80" t="s">
        <v>1872</v>
      </c>
      <c r="D728" s="50"/>
    </row>
    <row r="729" spans="1:4" x14ac:dyDescent="0.35">
      <c r="A729" s="142" t="s">
        <v>2772</v>
      </c>
      <c r="B729" s="103" t="s">
        <v>2698</v>
      </c>
      <c r="C729" s="103" t="s">
        <v>1872</v>
      </c>
      <c r="D729" s="103"/>
    </row>
    <row r="730" spans="1:4" x14ac:dyDescent="0.35">
      <c r="A730" s="9" t="s">
        <v>2778</v>
      </c>
      <c r="B730" s="9" t="s">
        <v>2698</v>
      </c>
      <c r="C730" s="74"/>
      <c r="D730" s="9" t="s">
        <v>2779</v>
      </c>
    </row>
    <row r="731" spans="1:4" x14ac:dyDescent="0.35">
      <c r="A731" s="34" t="s">
        <v>2794</v>
      </c>
      <c r="B731" s="34" t="s">
        <v>2698</v>
      </c>
      <c r="C731" s="34"/>
      <c r="D731" s="34"/>
    </row>
    <row r="732" spans="1:4" x14ac:dyDescent="0.35">
      <c r="A732" s="9" t="s">
        <v>2839</v>
      </c>
      <c r="B732" s="9" t="s">
        <v>2698</v>
      </c>
      <c r="C732" s="74"/>
      <c r="D732" s="9" t="s">
        <v>1874</v>
      </c>
    </row>
    <row r="733" spans="1:4" x14ac:dyDescent="0.35">
      <c r="A733" s="9" t="s">
        <v>2858</v>
      </c>
      <c r="B733" s="9" t="s">
        <v>2698</v>
      </c>
      <c r="C733" s="74"/>
      <c r="D733" s="9" t="s">
        <v>1876</v>
      </c>
    </row>
    <row r="734" spans="1:4" ht="29" x14ac:dyDescent="0.35">
      <c r="A734" s="9" t="s">
        <v>2167</v>
      </c>
      <c r="B734" s="9" t="s">
        <v>2698</v>
      </c>
      <c r="C734" s="74"/>
      <c r="D734" s="9"/>
    </row>
    <row r="735" spans="1:4" x14ac:dyDescent="0.35">
      <c r="A735" s="9" t="s">
        <v>2918</v>
      </c>
      <c r="B735" s="9" t="s">
        <v>2698</v>
      </c>
      <c r="C735" s="74"/>
      <c r="D735" s="9" t="s">
        <v>1143</v>
      </c>
    </row>
    <row r="736" spans="1:4" x14ac:dyDescent="0.35">
      <c r="A736" s="9" t="s">
        <v>2931</v>
      </c>
      <c r="B736" s="9" t="s">
        <v>2698</v>
      </c>
      <c r="C736" s="74"/>
      <c r="D736" s="9" t="s">
        <v>1143</v>
      </c>
    </row>
    <row r="737" spans="1:4" x14ac:dyDescent="0.35">
      <c r="A737" s="9" t="s">
        <v>2934</v>
      </c>
      <c r="B737" s="9" t="s">
        <v>2698</v>
      </c>
      <c r="C737" s="74"/>
      <c r="D737" s="9" t="s">
        <v>1876</v>
      </c>
    </row>
    <row r="738" spans="1:4" x14ac:dyDescent="0.35">
      <c r="A738" s="9" t="s">
        <v>2935</v>
      </c>
      <c r="B738" s="9" t="s">
        <v>2698</v>
      </c>
      <c r="C738" s="74"/>
      <c r="D738" s="9"/>
    </row>
    <row r="739" spans="1:4" x14ac:dyDescent="0.35">
      <c r="A739" s="9" t="s">
        <v>2948</v>
      </c>
      <c r="B739" s="9" t="s">
        <v>2698</v>
      </c>
      <c r="C739" s="74"/>
      <c r="D739" s="9" t="s">
        <v>1876</v>
      </c>
    </row>
    <row r="740" spans="1:4" x14ac:dyDescent="0.35">
      <c r="A740" s="9" t="s">
        <v>2962</v>
      </c>
      <c r="B740" s="9" t="s">
        <v>2698</v>
      </c>
      <c r="C740" s="74"/>
      <c r="D740" s="9" t="s">
        <v>1877</v>
      </c>
    </row>
    <row r="741" spans="1:4" x14ac:dyDescent="0.35">
      <c r="A741" s="9" t="s">
        <v>2964</v>
      </c>
      <c r="B741" s="9" t="s">
        <v>2698</v>
      </c>
      <c r="C741" s="74"/>
      <c r="D741" s="9" t="s">
        <v>1876</v>
      </c>
    </row>
    <row r="742" spans="1:4" x14ac:dyDescent="0.35">
      <c r="A742" s="9" t="s">
        <v>2254</v>
      </c>
      <c r="B742" s="9" t="s">
        <v>2698</v>
      </c>
      <c r="C742" s="74"/>
      <c r="D742" s="9" t="s">
        <v>1874</v>
      </c>
    </row>
    <row r="743" spans="1:4" x14ac:dyDescent="0.35">
      <c r="A743" s="34" t="s">
        <v>2988</v>
      </c>
      <c r="B743" s="34" t="s">
        <v>2698</v>
      </c>
      <c r="C743" s="34"/>
      <c r="D743" s="34"/>
    </row>
    <row r="744" spans="1:4" x14ac:dyDescent="0.35">
      <c r="A744" s="9" t="s">
        <v>1192</v>
      </c>
      <c r="B744" s="9" t="s">
        <v>2698</v>
      </c>
      <c r="C744" s="74"/>
      <c r="D744" s="9" t="s">
        <v>1873</v>
      </c>
    </row>
    <row r="745" spans="1:4" x14ac:dyDescent="0.35">
      <c r="A745" s="34" t="s">
        <v>3004</v>
      </c>
      <c r="B745" s="34" t="s">
        <v>2698</v>
      </c>
      <c r="C745" s="34"/>
      <c r="D745" s="34"/>
    </row>
    <row r="746" spans="1:4" x14ac:dyDescent="0.35">
      <c r="A746" s="9" t="s">
        <v>3042</v>
      </c>
      <c r="B746" s="9" t="s">
        <v>2698</v>
      </c>
      <c r="C746" s="74"/>
      <c r="D746" s="9" t="s">
        <v>1872</v>
      </c>
    </row>
    <row r="747" spans="1:4" x14ac:dyDescent="0.35">
      <c r="A747" s="9" t="s">
        <v>3044</v>
      </c>
      <c r="B747" s="9" t="s">
        <v>2698</v>
      </c>
      <c r="C747" s="74"/>
      <c r="D747" s="9" t="s">
        <v>1143</v>
      </c>
    </row>
    <row r="748" spans="1:4" x14ac:dyDescent="0.35">
      <c r="A748" s="140" t="s">
        <v>3047</v>
      </c>
      <c r="B748" s="34" t="s">
        <v>2698</v>
      </c>
      <c r="C748" s="34"/>
      <c r="D748" s="34"/>
    </row>
    <row r="749" spans="1:4" x14ac:dyDescent="0.35">
      <c r="A749" s="34" t="s">
        <v>3056</v>
      </c>
      <c r="B749" s="34" t="s">
        <v>2698</v>
      </c>
      <c r="C749" s="34"/>
      <c r="D749" s="34"/>
    </row>
    <row r="750" spans="1:4" x14ac:dyDescent="0.35">
      <c r="A750" s="140" t="s">
        <v>899</v>
      </c>
      <c r="B750" s="34" t="s">
        <v>2698</v>
      </c>
      <c r="C750" s="34"/>
      <c r="D750" s="34"/>
    </row>
    <row r="751" spans="1:4" x14ac:dyDescent="0.35">
      <c r="A751" s="140" t="s">
        <v>3089</v>
      </c>
      <c r="B751" s="34" t="s">
        <v>2698</v>
      </c>
      <c r="C751" s="34"/>
      <c r="D751" s="34"/>
    </row>
    <row r="752" spans="1:4" x14ac:dyDescent="0.35">
      <c r="A752" s="39" t="s">
        <v>1040</v>
      </c>
      <c r="B752" s="9" t="s">
        <v>2698</v>
      </c>
      <c r="C752" s="74"/>
      <c r="D752" s="9"/>
    </row>
    <row r="753" spans="1:4" x14ac:dyDescent="0.35">
      <c r="A753" s="9" t="s">
        <v>1313</v>
      </c>
      <c r="B753" s="9" t="s">
        <v>2698</v>
      </c>
      <c r="C753" s="74"/>
      <c r="D753" s="9" t="s">
        <v>1873</v>
      </c>
    </row>
    <row r="754" spans="1:4" x14ac:dyDescent="0.35">
      <c r="A754" s="34" t="s">
        <v>1514</v>
      </c>
      <c r="B754" s="34" t="s">
        <v>2698</v>
      </c>
      <c r="C754" s="34"/>
      <c r="D754" s="34"/>
    </row>
    <row r="755" spans="1:4" x14ac:dyDescent="0.35">
      <c r="A755" s="34" t="s">
        <v>3147</v>
      </c>
      <c r="B755" s="34" t="s">
        <v>2698</v>
      </c>
      <c r="C755" s="34"/>
      <c r="D755" s="34"/>
    </row>
    <row r="756" spans="1:4" x14ac:dyDescent="0.35">
      <c r="A756" s="9" t="s">
        <v>3150</v>
      </c>
      <c r="B756" s="9" t="s">
        <v>2698</v>
      </c>
      <c r="C756" s="74"/>
      <c r="D756" s="9" t="s">
        <v>1876</v>
      </c>
    </row>
    <row r="757" spans="1:4" x14ac:dyDescent="0.35">
      <c r="A757" s="9" t="s">
        <v>584</v>
      </c>
      <c r="B757" s="9" t="s">
        <v>2698</v>
      </c>
      <c r="C757" s="74"/>
      <c r="D757" s="9" t="s">
        <v>1872</v>
      </c>
    </row>
    <row r="758" spans="1:4" x14ac:dyDescent="0.35">
      <c r="A758" s="34" t="s">
        <v>3152</v>
      </c>
      <c r="B758" s="34" t="s">
        <v>2698</v>
      </c>
      <c r="C758" s="34"/>
      <c r="D758" s="34"/>
    </row>
    <row r="759" spans="1:4" x14ac:dyDescent="0.35">
      <c r="A759" s="140" t="s">
        <v>3166</v>
      </c>
      <c r="B759" s="34" t="s">
        <v>2698</v>
      </c>
      <c r="C759" s="34"/>
      <c r="D759" s="34"/>
    </row>
    <row r="760" spans="1:4" x14ac:dyDescent="0.35">
      <c r="A760" s="286" t="s">
        <v>3172</v>
      </c>
      <c r="B760" s="269" t="s">
        <v>2698</v>
      </c>
      <c r="C760" s="287"/>
      <c r="D760" s="287"/>
    </row>
    <row r="761" spans="1:4" x14ac:dyDescent="0.35">
      <c r="A761" s="72"/>
    </row>
    <row r="762" spans="1:4" x14ac:dyDescent="0.35">
      <c r="A762" s="72"/>
    </row>
    <row r="763" spans="1:4" x14ac:dyDescent="0.35">
      <c r="A763" s="72"/>
    </row>
    <row r="764" spans="1:4" x14ac:dyDescent="0.35">
      <c r="A764" s="72"/>
    </row>
    <row r="765" spans="1:4" x14ac:dyDescent="0.35">
      <c r="A765" s="72"/>
    </row>
    <row r="766" spans="1:4" x14ac:dyDescent="0.35">
      <c r="A766" s="72"/>
    </row>
    <row r="767" spans="1:4" x14ac:dyDescent="0.35">
      <c r="A767" s="72"/>
    </row>
    <row r="768" spans="1:4" x14ac:dyDescent="0.35">
      <c r="A768" s="72"/>
    </row>
  </sheetData>
  <sortState xmlns:xlrd2="http://schemas.microsoft.com/office/spreadsheetml/2017/richdata2" ref="A2:F769">
    <sortCondition ref="B2:B769"/>
  </sortState>
  <pageMargins left="0.7" right="0.7" top="0.75" bottom="0.75" header="0.3" footer="0.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375F-335F-49C9-95B1-7B5E44A353EB}">
  <dimension ref="A1:AI322"/>
  <sheetViews>
    <sheetView workbookViewId="0">
      <selection sqref="A1:AI221"/>
    </sheetView>
  </sheetViews>
  <sheetFormatPr defaultColWidth="9.1796875" defaultRowHeight="14.5" x14ac:dyDescent="0.35"/>
  <cols>
    <col min="1" max="1" width="47.26953125" style="5" bestFit="1" customWidth="1"/>
    <col min="2" max="2" width="23.81640625" style="114" hidden="1" customWidth="1"/>
    <col min="3" max="3" width="17.453125" style="114" hidden="1" customWidth="1"/>
    <col min="4" max="4" width="21.54296875" style="114" hidden="1" customWidth="1"/>
    <col min="5" max="5" width="15.453125" style="114" hidden="1" customWidth="1"/>
    <col min="6" max="6" width="23.81640625" style="114" hidden="1" customWidth="1"/>
    <col min="7" max="7" width="23.26953125" style="114" hidden="1" customWidth="1"/>
    <col min="8" max="8" width="22.1796875" style="114" hidden="1" customWidth="1"/>
    <col min="9" max="9" width="22" style="114" hidden="1" customWidth="1"/>
    <col min="10" max="10" width="17.453125" style="114" hidden="1" customWidth="1"/>
    <col min="11" max="11" width="10.453125" style="114" hidden="1" customWidth="1"/>
    <col min="12" max="12" width="27.7265625" style="114" hidden="1" customWidth="1"/>
    <col min="13" max="13" width="12.81640625" style="114" hidden="1" customWidth="1"/>
    <col min="14" max="14" width="10.1796875" style="114" hidden="1" customWidth="1"/>
    <col min="15" max="15" width="22.7265625" style="114" hidden="1" customWidth="1"/>
    <col min="16" max="16" width="22.1796875" style="114" hidden="1" customWidth="1"/>
    <col min="17" max="17" width="21.54296875" style="114" hidden="1" customWidth="1"/>
    <col min="18" max="18" width="11.7265625" style="114" hidden="1" customWidth="1"/>
    <col min="19" max="19" width="17.81640625" style="114" hidden="1" customWidth="1"/>
    <col min="20" max="20" width="16.54296875" style="114" hidden="1" customWidth="1"/>
    <col min="21" max="21" width="18.81640625" style="114" hidden="1" customWidth="1"/>
    <col min="22" max="22" width="0" style="114" hidden="1" customWidth="1"/>
    <col min="23" max="23" width="18.7265625" style="114" hidden="1" customWidth="1"/>
    <col min="24" max="24" width="8" style="114" hidden="1" customWidth="1"/>
    <col min="25" max="25" width="16.54296875" style="114" hidden="1" customWidth="1"/>
    <col min="26" max="26" width="10.1796875" style="114" hidden="1" customWidth="1"/>
    <col min="27" max="27" width="13.453125" style="114" hidden="1" customWidth="1"/>
    <col min="28" max="28" width="16.7265625" style="114" hidden="1" customWidth="1"/>
    <col min="29" max="29" width="27" style="114" hidden="1" customWidth="1"/>
    <col min="30" max="30" width="20.54296875" style="114" hidden="1" customWidth="1"/>
    <col min="31" max="31" width="0" style="252" hidden="1" customWidth="1"/>
    <col min="32" max="32" width="11.1796875" style="252" hidden="1" customWidth="1"/>
    <col min="33" max="33" width="10.1796875" style="252" hidden="1" customWidth="1"/>
    <col min="34" max="34" width="11.1796875" style="114" hidden="1" customWidth="1"/>
    <col min="35" max="35" width="11.1796875" style="114" bestFit="1" customWidth="1"/>
    <col min="36" max="16384" width="9.1796875" style="5"/>
  </cols>
  <sheetData>
    <row r="1" spans="1:35" x14ac:dyDescent="0.35">
      <c r="A1" s="246" t="s">
        <v>132</v>
      </c>
      <c r="B1" s="247">
        <v>0</v>
      </c>
      <c r="C1" s="247">
        <v>0</v>
      </c>
      <c r="D1" s="247">
        <v>350</v>
      </c>
      <c r="E1" s="247">
        <v>0</v>
      </c>
      <c r="F1" s="247">
        <v>350</v>
      </c>
      <c r="G1" s="247">
        <v>0</v>
      </c>
      <c r="H1" s="247">
        <v>0</v>
      </c>
      <c r="I1" s="247">
        <v>0</v>
      </c>
      <c r="J1" s="247">
        <v>0</v>
      </c>
      <c r="K1" s="247">
        <v>0</v>
      </c>
      <c r="L1" s="247">
        <v>0</v>
      </c>
      <c r="M1" s="247">
        <v>1795</v>
      </c>
      <c r="N1" s="247">
        <v>0</v>
      </c>
      <c r="O1" s="247">
        <v>0</v>
      </c>
      <c r="P1" s="247">
        <v>0</v>
      </c>
      <c r="Q1" s="247"/>
      <c r="R1" s="247">
        <v>0</v>
      </c>
      <c r="S1" s="247">
        <v>0</v>
      </c>
      <c r="T1" s="247">
        <v>0</v>
      </c>
      <c r="U1" s="247">
        <v>0</v>
      </c>
      <c r="V1" s="247">
        <v>0</v>
      </c>
      <c r="W1" s="247">
        <v>0</v>
      </c>
      <c r="X1" s="247">
        <v>0</v>
      </c>
      <c r="Y1" s="247">
        <v>0</v>
      </c>
      <c r="Z1" s="247">
        <v>0</v>
      </c>
      <c r="AA1" s="247">
        <v>0</v>
      </c>
      <c r="AB1" s="247">
        <v>0</v>
      </c>
      <c r="AC1" s="247">
        <v>0</v>
      </c>
      <c r="AD1" s="247">
        <v>0</v>
      </c>
      <c r="AE1" s="248">
        <v>0</v>
      </c>
      <c r="AF1" s="248">
        <v>0</v>
      </c>
      <c r="AG1" s="248">
        <v>4260</v>
      </c>
      <c r="AH1" s="248">
        <v>0</v>
      </c>
      <c r="AI1" s="247">
        <f t="shared" ref="AI1:AI64" si="0">SUM(B1:AH1)</f>
        <v>6755</v>
      </c>
    </row>
    <row r="2" spans="1:35" x14ac:dyDescent="0.35">
      <c r="A2" s="5" t="s">
        <v>200</v>
      </c>
      <c r="B2" s="250">
        <v>0</v>
      </c>
      <c r="C2" s="250">
        <v>4000</v>
      </c>
      <c r="D2" s="250">
        <v>0</v>
      </c>
      <c r="E2" s="250">
        <v>0</v>
      </c>
      <c r="F2" s="250">
        <v>0</v>
      </c>
      <c r="G2" s="250">
        <v>0</v>
      </c>
      <c r="H2" s="250">
        <v>0</v>
      </c>
      <c r="I2" s="250">
        <v>0</v>
      </c>
      <c r="J2" s="250">
        <v>0</v>
      </c>
      <c r="K2" s="250">
        <v>0</v>
      </c>
      <c r="L2" s="250">
        <v>0</v>
      </c>
      <c r="M2" s="250">
        <v>0</v>
      </c>
      <c r="N2" s="250">
        <v>0</v>
      </c>
      <c r="O2" s="250">
        <v>0</v>
      </c>
      <c r="P2" s="250">
        <v>0</v>
      </c>
      <c r="Q2" s="250">
        <v>0</v>
      </c>
      <c r="R2" s="250">
        <v>0</v>
      </c>
      <c r="S2" s="250">
        <v>0</v>
      </c>
      <c r="T2" s="250">
        <v>0</v>
      </c>
      <c r="U2" s="250">
        <v>0</v>
      </c>
      <c r="V2" s="250">
        <v>0</v>
      </c>
      <c r="W2" s="250">
        <v>0</v>
      </c>
      <c r="X2" s="250">
        <v>0</v>
      </c>
      <c r="Y2" s="250">
        <v>0</v>
      </c>
      <c r="Z2" s="250">
        <v>0</v>
      </c>
      <c r="AA2" s="250">
        <v>0</v>
      </c>
      <c r="AB2" s="250">
        <v>0</v>
      </c>
      <c r="AC2" s="250">
        <v>0</v>
      </c>
      <c r="AD2" s="250">
        <v>0</v>
      </c>
      <c r="AE2" s="251">
        <v>750</v>
      </c>
      <c r="AF2" s="251">
        <v>1500</v>
      </c>
      <c r="AG2" s="251">
        <v>350</v>
      </c>
      <c r="AH2" s="251">
        <v>0</v>
      </c>
      <c r="AI2" s="250">
        <f t="shared" si="0"/>
        <v>6600</v>
      </c>
    </row>
    <row r="3" spans="1:35" x14ac:dyDescent="0.35">
      <c r="A3" s="5" t="s">
        <v>521</v>
      </c>
      <c r="B3" s="250">
        <v>0</v>
      </c>
      <c r="C3" s="250">
        <v>0</v>
      </c>
      <c r="D3" s="250">
        <v>1800</v>
      </c>
      <c r="E3" s="250">
        <v>0</v>
      </c>
      <c r="F3" s="250">
        <v>0</v>
      </c>
      <c r="G3" s="250">
        <v>3500</v>
      </c>
      <c r="H3" s="250">
        <v>0</v>
      </c>
      <c r="I3" s="250">
        <v>0</v>
      </c>
      <c r="J3" s="250">
        <v>0</v>
      </c>
      <c r="K3" s="250">
        <v>0</v>
      </c>
      <c r="L3" s="250">
        <v>0</v>
      </c>
      <c r="M3" s="250">
        <v>0</v>
      </c>
      <c r="N3" s="250">
        <v>0</v>
      </c>
      <c r="O3" s="250">
        <v>0</v>
      </c>
      <c r="P3" s="250">
        <v>0</v>
      </c>
      <c r="Q3" s="250">
        <v>0</v>
      </c>
      <c r="R3" s="250">
        <v>0</v>
      </c>
      <c r="S3" s="250">
        <v>0</v>
      </c>
      <c r="T3" s="250">
        <v>0</v>
      </c>
      <c r="U3" s="250">
        <v>0</v>
      </c>
      <c r="V3" s="250">
        <v>0</v>
      </c>
      <c r="W3" s="250">
        <v>0</v>
      </c>
      <c r="X3" s="250">
        <v>0</v>
      </c>
      <c r="Y3" s="250">
        <v>0</v>
      </c>
      <c r="Z3" s="250">
        <v>0</v>
      </c>
      <c r="AA3" s="250">
        <v>0</v>
      </c>
      <c r="AB3" s="250">
        <v>0</v>
      </c>
      <c r="AC3" s="250">
        <v>0</v>
      </c>
      <c r="AD3" s="250">
        <v>0</v>
      </c>
      <c r="AE3" s="251">
        <v>0</v>
      </c>
      <c r="AF3" s="251">
        <v>0</v>
      </c>
      <c r="AG3" s="251">
        <v>1150</v>
      </c>
      <c r="AH3" s="251">
        <v>0</v>
      </c>
      <c r="AI3" s="250">
        <f t="shared" si="0"/>
        <v>6450</v>
      </c>
    </row>
    <row r="4" spans="1:35" x14ac:dyDescent="0.35">
      <c r="A4" s="5" t="s">
        <v>561</v>
      </c>
      <c r="B4" s="250">
        <v>0</v>
      </c>
      <c r="C4" s="250">
        <v>0</v>
      </c>
      <c r="D4" s="250">
        <v>350</v>
      </c>
      <c r="E4" s="250">
        <v>0</v>
      </c>
      <c r="F4" s="250">
        <v>0</v>
      </c>
      <c r="G4" s="250">
        <v>0</v>
      </c>
      <c r="H4" s="250">
        <v>0</v>
      </c>
      <c r="I4" s="250">
        <v>0</v>
      </c>
      <c r="J4" s="250">
        <v>0</v>
      </c>
      <c r="K4" s="250">
        <v>0</v>
      </c>
      <c r="L4" s="250">
        <v>0</v>
      </c>
      <c r="M4" s="250">
        <v>0</v>
      </c>
      <c r="N4" s="250">
        <v>0</v>
      </c>
      <c r="O4" s="250">
        <v>0</v>
      </c>
      <c r="P4" s="250">
        <v>0</v>
      </c>
      <c r="Q4" s="250">
        <v>0</v>
      </c>
      <c r="R4" s="250">
        <v>5000</v>
      </c>
      <c r="S4" s="250">
        <v>0</v>
      </c>
      <c r="T4" s="250">
        <v>0</v>
      </c>
      <c r="U4" s="250">
        <v>0</v>
      </c>
      <c r="V4" s="250">
        <v>500</v>
      </c>
      <c r="W4" s="250">
        <v>0</v>
      </c>
      <c r="X4" s="250">
        <v>0</v>
      </c>
      <c r="Y4" s="250">
        <v>0</v>
      </c>
      <c r="Z4" s="250">
        <v>0</v>
      </c>
      <c r="AA4" s="250">
        <v>0</v>
      </c>
      <c r="AB4" s="250">
        <v>0</v>
      </c>
      <c r="AC4" s="250">
        <v>0</v>
      </c>
      <c r="AD4" s="250">
        <v>0</v>
      </c>
      <c r="AE4" s="251">
        <v>250</v>
      </c>
      <c r="AF4" s="251">
        <v>0</v>
      </c>
      <c r="AG4" s="251">
        <v>250</v>
      </c>
      <c r="AH4" s="251">
        <v>0</v>
      </c>
      <c r="AI4" s="250">
        <f t="shared" si="0"/>
        <v>6350</v>
      </c>
    </row>
    <row r="5" spans="1:35" x14ac:dyDescent="0.35">
      <c r="A5" s="246" t="s">
        <v>137</v>
      </c>
      <c r="B5" s="247">
        <v>0</v>
      </c>
      <c r="C5" s="247">
        <v>1500</v>
      </c>
      <c r="D5" s="247">
        <v>350</v>
      </c>
      <c r="E5" s="247">
        <v>0</v>
      </c>
      <c r="F5" s="247">
        <v>0</v>
      </c>
      <c r="G5" s="247">
        <v>0</v>
      </c>
      <c r="H5" s="247">
        <v>0</v>
      </c>
      <c r="I5" s="247">
        <v>0</v>
      </c>
      <c r="J5" s="247">
        <v>0</v>
      </c>
      <c r="K5" s="247">
        <v>0</v>
      </c>
      <c r="L5" s="247">
        <v>0</v>
      </c>
      <c r="M5" s="247">
        <v>0</v>
      </c>
      <c r="N5" s="247">
        <v>0</v>
      </c>
      <c r="O5" s="247">
        <v>1500</v>
      </c>
      <c r="P5" s="247">
        <v>0</v>
      </c>
      <c r="Q5" s="247">
        <v>0</v>
      </c>
      <c r="R5" s="247">
        <v>0</v>
      </c>
      <c r="S5" s="247">
        <v>0</v>
      </c>
      <c r="T5" s="247">
        <v>0</v>
      </c>
      <c r="U5" s="247">
        <v>0</v>
      </c>
      <c r="V5" s="247">
        <v>0</v>
      </c>
      <c r="W5" s="247">
        <v>0</v>
      </c>
      <c r="X5" s="247">
        <v>0</v>
      </c>
      <c r="Y5" s="247">
        <v>0</v>
      </c>
      <c r="Z5" s="247">
        <v>0</v>
      </c>
      <c r="AA5" s="247">
        <v>0</v>
      </c>
      <c r="AB5" s="247">
        <v>0</v>
      </c>
      <c r="AC5" s="247">
        <v>0</v>
      </c>
      <c r="AD5" s="247">
        <v>0</v>
      </c>
      <c r="AE5" s="248">
        <v>250</v>
      </c>
      <c r="AF5" s="248">
        <v>1500</v>
      </c>
      <c r="AG5" s="248">
        <v>1000</v>
      </c>
      <c r="AH5" s="248">
        <v>0</v>
      </c>
      <c r="AI5" s="247">
        <f t="shared" si="0"/>
        <v>6100</v>
      </c>
    </row>
    <row r="6" spans="1:35" x14ac:dyDescent="0.35">
      <c r="A6" s="5" t="s">
        <v>775</v>
      </c>
      <c r="B6" s="250">
        <v>0</v>
      </c>
      <c r="C6" s="250">
        <v>0</v>
      </c>
      <c r="D6" s="250">
        <v>0</v>
      </c>
      <c r="E6" s="250">
        <v>0</v>
      </c>
      <c r="F6" s="250">
        <v>0</v>
      </c>
      <c r="G6" s="250">
        <v>1000</v>
      </c>
      <c r="H6" s="250">
        <v>0</v>
      </c>
      <c r="I6" s="250">
        <v>0</v>
      </c>
      <c r="J6" s="250">
        <v>0</v>
      </c>
      <c r="K6" s="250">
        <v>0</v>
      </c>
      <c r="L6" s="250">
        <v>0</v>
      </c>
      <c r="M6" s="250">
        <v>0</v>
      </c>
      <c r="N6" s="250">
        <v>0</v>
      </c>
      <c r="O6" s="250">
        <v>1000</v>
      </c>
      <c r="P6" s="250">
        <v>0</v>
      </c>
      <c r="Q6" s="250">
        <v>0</v>
      </c>
      <c r="R6" s="250">
        <v>0</v>
      </c>
      <c r="S6" s="250">
        <v>0</v>
      </c>
      <c r="T6" s="250">
        <v>0</v>
      </c>
      <c r="U6" s="250">
        <v>0</v>
      </c>
      <c r="V6" s="250">
        <v>500</v>
      </c>
      <c r="W6" s="250">
        <v>0</v>
      </c>
      <c r="X6" s="250">
        <v>0</v>
      </c>
      <c r="Y6" s="250">
        <v>0</v>
      </c>
      <c r="Z6" s="250">
        <v>2000</v>
      </c>
      <c r="AA6" s="250">
        <v>0</v>
      </c>
      <c r="AB6" s="250">
        <v>0</v>
      </c>
      <c r="AC6" s="250">
        <v>0</v>
      </c>
      <c r="AD6" s="250">
        <v>1250</v>
      </c>
      <c r="AE6" s="251">
        <v>0</v>
      </c>
      <c r="AF6" s="251">
        <v>0</v>
      </c>
      <c r="AG6" s="251">
        <v>350</v>
      </c>
      <c r="AH6" s="251">
        <v>0</v>
      </c>
      <c r="AI6" s="250">
        <f t="shared" si="0"/>
        <v>6100</v>
      </c>
    </row>
    <row r="7" spans="1:35" x14ac:dyDescent="0.35">
      <c r="A7" s="5" t="s">
        <v>2291</v>
      </c>
      <c r="B7" s="250">
        <v>0</v>
      </c>
      <c r="C7" s="250">
        <v>0</v>
      </c>
      <c r="D7" s="250">
        <v>0</v>
      </c>
      <c r="E7" s="250">
        <v>0</v>
      </c>
      <c r="F7" s="250">
        <v>0</v>
      </c>
      <c r="G7" s="250">
        <v>0</v>
      </c>
      <c r="H7" s="250">
        <v>0</v>
      </c>
      <c r="I7" s="250">
        <v>0</v>
      </c>
      <c r="J7" s="250">
        <v>0</v>
      </c>
      <c r="K7" s="250">
        <v>0</v>
      </c>
      <c r="L7" s="250">
        <v>0</v>
      </c>
      <c r="M7" s="250">
        <v>0</v>
      </c>
      <c r="N7" s="250">
        <v>0</v>
      </c>
      <c r="O7" s="250">
        <v>0</v>
      </c>
      <c r="P7" s="250">
        <v>0</v>
      </c>
      <c r="Q7" s="250">
        <v>0</v>
      </c>
      <c r="R7" s="250">
        <v>0</v>
      </c>
      <c r="S7" s="250">
        <v>0</v>
      </c>
      <c r="T7" s="250">
        <v>0</v>
      </c>
      <c r="U7" s="250">
        <v>0</v>
      </c>
      <c r="V7" s="250">
        <v>0</v>
      </c>
      <c r="W7" s="250">
        <v>0</v>
      </c>
      <c r="X7" s="250">
        <v>0</v>
      </c>
      <c r="Y7" s="250">
        <v>0</v>
      </c>
      <c r="Z7" s="250">
        <v>0</v>
      </c>
      <c r="AA7" s="250">
        <v>450</v>
      </c>
      <c r="AB7" s="250">
        <v>5000</v>
      </c>
      <c r="AC7" s="250">
        <v>0</v>
      </c>
      <c r="AD7" s="250">
        <v>0</v>
      </c>
      <c r="AE7" s="251">
        <v>0</v>
      </c>
      <c r="AF7" s="251">
        <v>0</v>
      </c>
      <c r="AG7" s="251">
        <v>480</v>
      </c>
      <c r="AH7" s="251">
        <v>0</v>
      </c>
      <c r="AI7" s="250">
        <f t="shared" si="0"/>
        <v>5930</v>
      </c>
    </row>
    <row r="8" spans="1:35" x14ac:dyDescent="0.35">
      <c r="A8" s="5" t="s">
        <v>764</v>
      </c>
      <c r="B8" s="250">
        <v>0</v>
      </c>
      <c r="C8" s="250">
        <v>0</v>
      </c>
      <c r="D8" s="250">
        <v>0</v>
      </c>
      <c r="E8" s="250">
        <v>0</v>
      </c>
      <c r="F8" s="250">
        <v>0</v>
      </c>
      <c r="G8" s="250">
        <v>1000</v>
      </c>
      <c r="H8" s="250">
        <v>0</v>
      </c>
      <c r="I8" s="250">
        <v>0</v>
      </c>
      <c r="J8" s="250">
        <v>0</v>
      </c>
      <c r="K8" s="250">
        <v>1495</v>
      </c>
      <c r="L8" s="250">
        <v>0</v>
      </c>
      <c r="M8" s="250">
        <v>0</v>
      </c>
      <c r="N8" s="250">
        <v>0</v>
      </c>
      <c r="O8" s="250">
        <v>0</v>
      </c>
      <c r="P8" s="250">
        <v>0</v>
      </c>
      <c r="Q8" s="250">
        <v>1000</v>
      </c>
      <c r="R8" s="250">
        <v>1000</v>
      </c>
      <c r="S8" s="250">
        <v>0</v>
      </c>
      <c r="T8" s="250">
        <v>0</v>
      </c>
      <c r="U8" s="250">
        <v>0</v>
      </c>
      <c r="V8" s="250">
        <v>0</v>
      </c>
      <c r="W8" s="250">
        <v>0</v>
      </c>
      <c r="X8" s="250">
        <v>0</v>
      </c>
      <c r="Y8" s="250">
        <v>0</v>
      </c>
      <c r="Z8" s="250">
        <v>0</v>
      </c>
      <c r="AA8" s="250">
        <v>1000</v>
      </c>
      <c r="AB8" s="250">
        <v>0</v>
      </c>
      <c r="AC8" s="250">
        <v>0</v>
      </c>
      <c r="AD8" s="250">
        <v>0</v>
      </c>
      <c r="AE8" s="251">
        <v>0</v>
      </c>
      <c r="AF8" s="251">
        <v>0</v>
      </c>
      <c r="AG8" s="251">
        <v>350</v>
      </c>
      <c r="AH8" s="251">
        <v>0</v>
      </c>
      <c r="AI8" s="250">
        <f t="shared" si="0"/>
        <v>5845</v>
      </c>
    </row>
    <row r="9" spans="1:35" x14ac:dyDescent="0.35">
      <c r="A9" s="5" t="s">
        <v>182</v>
      </c>
      <c r="B9" s="250">
        <v>0</v>
      </c>
      <c r="C9" s="250">
        <v>5000</v>
      </c>
      <c r="D9" s="250">
        <v>0</v>
      </c>
      <c r="E9" s="250">
        <v>0</v>
      </c>
      <c r="F9" s="250">
        <v>0</v>
      </c>
      <c r="G9" s="250">
        <v>0</v>
      </c>
      <c r="H9" s="250">
        <v>0</v>
      </c>
      <c r="I9" s="250">
        <v>0</v>
      </c>
      <c r="J9" s="250">
        <v>0</v>
      </c>
      <c r="K9" s="250">
        <v>0</v>
      </c>
      <c r="L9" s="250">
        <v>0</v>
      </c>
      <c r="M9" s="250">
        <v>0</v>
      </c>
      <c r="N9" s="250">
        <v>0</v>
      </c>
      <c r="O9" s="250">
        <v>0</v>
      </c>
      <c r="P9" s="250">
        <v>0</v>
      </c>
      <c r="Q9" s="250">
        <v>0</v>
      </c>
      <c r="R9" s="250">
        <v>0</v>
      </c>
      <c r="S9" s="250">
        <v>0</v>
      </c>
      <c r="T9" s="250">
        <v>0</v>
      </c>
      <c r="U9" s="250">
        <v>0</v>
      </c>
      <c r="V9" s="250">
        <v>0</v>
      </c>
      <c r="W9" s="250">
        <v>0</v>
      </c>
      <c r="X9" s="250">
        <v>0</v>
      </c>
      <c r="Y9" s="250">
        <v>0</v>
      </c>
      <c r="Z9" s="250">
        <v>0</v>
      </c>
      <c r="AA9" s="250">
        <v>450</v>
      </c>
      <c r="AB9" s="250">
        <v>0</v>
      </c>
      <c r="AC9" s="250">
        <v>0</v>
      </c>
      <c r="AD9" s="250">
        <v>0</v>
      </c>
      <c r="AE9" s="251">
        <v>0</v>
      </c>
      <c r="AF9" s="251">
        <v>0</v>
      </c>
      <c r="AG9" s="251">
        <v>350</v>
      </c>
      <c r="AH9" s="251">
        <v>0</v>
      </c>
      <c r="AI9" s="250">
        <f t="shared" si="0"/>
        <v>5800</v>
      </c>
    </row>
    <row r="10" spans="1:35" x14ac:dyDescent="0.35">
      <c r="A10" s="5" t="s">
        <v>1436</v>
      </c>
      <c r="B10" s="250">
        <v>0</v>
      </c>
      <c r="C10" s="250">
        <v>0</v>
      </c>
      <c r="D10" s="250">
        <v>0</v>
      </c>
      <c r="E10" s="250">
        <v>0</v>
      </c>
      <c r="F10" s="250">
        <v>0</v>
      </c>
      <c r="G10" s="250">
        <v>0</v>
      </c>
      <c r="H10" s="250">
        <v>0</v>
      </c>
      <c r="I10" s="250">
        <v>0</v>
      </c>
      <c r="J10" s="250">
        <v>0</v>
      </c>
      <c r="K10" s="250">
        <v>0</v>
      </c>
      <c r="L10" s="250">
        <v>5000</v>
      </c>
      <c r="M10" s="250">
        <v>0</v>
      </c>
      <c r="N10" s="250">
        <v>0</v>
      </c>
      <c r="O10" s="250">
        <v>0</v>
      </c>
      <c r="P10" s="250">
        <v>0</v>
      </c>
      <c r="Q10" s="250">
        <v>0</v>
      </c>
      <c r="R10" s="250">
        <v>0</v>
      </c>
      <c r="S10" s="250">
        <v>0</v>
      </c>
      <c r="T10" s="250">
        <v>0</v>
      </c>
      <c r="U10" s="250">
        <v>0</v>
      </c>
      <c r="V10" s="250">
        <v>0</v>
      </c>
      <c r="W10" s="250">
        <v>0</v>
      </c>
      <c r="X10" s="250">
        <v>0</v>
      </c>
      <c r="Y10" s="250">
        <v>0</v>
      </c>
      <c r="Z10" s="250">
        <v>0</v>
      </c>
      <c r="AA10" s="250">
        <v>0</v>
      </c>
      <c r="AB10" s="250">
        <v>0</v>
      </c>
      <c r="AC10" s="250">
        <v>0</v>
      </c>
      <c r="AD10" s="250">
        <v>0</v>
      </c>
      <c r="AE10" s="251">
        <v>0</v>
      </c>
      <c r="AF10" s="251">
        <v>0</v>
      </c>
      <c r="AG10" s="251">
        <v>775</v>
      </c>
      <c r="AH10" s="251">
        <v>0</v>
      </c>
      <c r="AI10" s="250">
        <f t="shared" si="0"/>
        <v>5775</v>
      </c>
    </row>
    <row r="11" spans="1:35" x14ac:dyDescent="0.35">
      <c r="A11" s="5" t="s">
        <v>537</v>
      </c>
      <c r="B11" s="250">
        <v>0</v>
      </c>
      <c r="C11" s="250">
        <v>0</v>
      </c>
      <c r="D11" s="250">
        <v>0</v>
      </c>
      <c r="E11" s="250">
        <v>0</v>
      </c>
      <c r="F11" s="250">
        <v>0</v>
      </c>
      <c r="G11" s="250">
        <v>300</v>
      </c>
      <c r="H11" s="250">
        <v>0</v>
      </c>
      <c r="I11" s="250">
        <v>0</v>
      </c>
      <c r="J11" s="250">
        <v>0</v>
      </c>
      <c r="K11" s="250">
        <v>0</v>
      </c>
      <c r="L11" s="250">
        <v>0</v>
      </c>
      <c r="M11" s="250">
        <v>0</v>
      </c>
      <c r="N11" s="250">
        <v>0</v>
      </c>
      <c r="O11" s="250">
        <v>0</v>
      </c>
      <c r="P11" s="250">
        <v>0</v>
      </c>
      <c r="Q11" s="250">
        <v>0</v>
      </c>
      <c r="R11" s="250">
        <v>0</v>
      </c>
      <c r="S11" s="250">
        <v>0</v>
      </c>
      <c r="T11" s="250">
        <v>0</v>
      </c>
      <c r="U11" s="250">
        <v>0</v>
      </c>
      <c r="V11" s="250">
        <v>0</v>
      </c>
      <c r="W11" s="250">
        <v>0</v>
      </c>
      <c r="X11" s="250">
        <v>0</v>
      </c>
      <c r="Y11" s="250">
        <v>0</v>
      </c>
      <c r="Z11" s="250">
        <v>0</v>
      </c>
      <c r="AA11" s="250">
        <v>0</v>
      </c>
      <c r="AB11" s="250">
        <v>0</v>
      </c>
      <c r="AC11" s="250">
        <v>0</v>
      </c>
      <c r="AD11" s="250">
        <v>5000</v>
      </c>
      <c r="AE11" s="251">
        <v>0</v>
      </c>
      <c r="AF11" s="251">
        <v>0</v>
      </c>
      <c r="AG11" s="251">
        <v>350</v>
      </c>
      <c r="AH11" s="251">
        <v>0</v>
      </c>
      <c r="AI11" s="250">
        <f t="shared" si="0"/>
        <v>5650</v>
      </c>
    </row>
    <row r="12" spans="1:35" x14ac:dyDescent="0.35">
      <c r="A12" s="5" t="s">
        <v>2170</v>
      </c>
      <c r="B12" s="250">
        <v>0</v>
      </c>
      <c r="C12" s="250">
        <v>0</v>
      </c>
      <c r="D12" s="250">
        <v>0</v>
      </c>
      <c r="E12" s="250">
        <v>0</v>
      </c>
      <c r="F12" s="250">
        <v>0</v>
      </c>
      <c r="G12" s="250">
        <v>750</v>
      </c>
      <c r="H12" s="250">
        <v>0</v>
      </c>
      <c r="I12" s="250">
        <v>0</v>
      </c>
      <c r="J12" s="250">
        <v>0</v>
      </c>
      <c r="K12" s="250">
        <v>0</v>
      </c>
      <c r="L12" s="250">
        <v>0</v>
      </c>
      <c r="M12" s="250">
        <v>0</v>
      </c>
      <c r="N12" s="250">
        <v>0</v>
      </c>
      <c r="O12" s="250">
        <v>0</v>
      </c>
      <c r="P12" s="250">
        <v>0</v>
      </c>
      <c r="Q12" s="250">
        <v>0</v>
      </c>
      <c r="R12" s="250">
        <v>0</v>
      </c>
      <c r="S12" s="250">
        <v>0</v>
      </c>
      <c r="T12" s="250">
        <v>1000</v>
      </c>
      <c r="U12" s="250">
        <v>0</v>
      </c>
      <c r="V12" s="250">
        <v>0</v>
      </c>
      <c r="W12" s="250">
        <v>0</v>
      </c>
      <c r="X12" s="250">
        <v>0</v>
      </c>
      <c r="Y12" s="247">
        <v>1000</v>
      </c>
      <c r="Z12" s="250">
        <v>2500</v>
      </c>
      <c r="AA12" s="250">
        <v>0</v>
      </c>
      <c r="AB12" s="250">
        <v>0</v>
      </c>
      <c r="AC12" s="250">
        <v>0</v>
      </c>
      <c r="AD12" s="250">
        <v>0</v>
      </c>
      <c r="AE12" s="251">
        <v>0</v>
      </c>
      <c r="AF12" s="251">
        <v>0</v>
      </c>
      <c r="AG12" s="251">
        <v>350</v>
      </c>
      <c r="AH12" s="251">
        <v>0</v>
      </c>
      <c r="AI12" s="250">
        <f t="shared" si="0"/>
        <v>5600</v>
      </c>
    </row>
    <row r="13" spans="1:35" x14ac:dyDescent="0.35">
      <c r="A13" s="5" t="s">
        <v>815</v>
      </c>
      <c r="B13" s="250">
        <v>0</v>
      </c>
      <c r="C13" s="250">
        <v>0</v>
      </c>
      <c r="D13" s="250">
        <v>0</v>
      </c>
      <c r="E13" s="250">
        <v>0</v>
      </c>
      <c r="F13" s="250">
        <v>0</v>
      </c>
      <c r="G13" s="250">
        <v>750</v>
      </c>
      <c r="H13" s="250">
        <v>0</v>
      </c>
      <c r="I13" s="250">
        <v>0</v>
      </c>
      <c r="J13" s="250">
        <v>0</v>
      </c>
      <c r="K13" s="250">
        <v>0</v>
      </c>
      <c r="L13" s="250">
        <v>0</v>
      </c>
      <c r="M13" s="250">
        <v>0</v>
      </c>
      <c r="N13" s="250">
        <v>0</v>
      </c>
      <c r="O13" s="250">
        <v>0</v>
      </c>
      <c r="P13" s="250">
        <v>0</v>
      </c>
      <c r="Q13" s="250">
        <v>0</v>
      </c>
      <c r="R13" s="250">
        <v>0</v>
      </c>
      <c r="S13" s="250">
        <v>0</v>
      </c>
      <c r="T13" s="250">
        <v>0</v>
      </c>
      <c r="U13" s="250">
        <v>0</v>
      </c>
      <c r="V13" s="250">
        <v>0</v>
      </c>
      <c r="W13" s="250">
        <v>0</v>
      </c>
      <c r="X13" s="250">
        <v>0</v>
      </c>
      <c r="Y13" s="250">
        <v>0</v>
      </c>
      <c r="Z13" s="250">
        <v>0</v>
      </c>
      <c r="AA13" s="250">
        <v>650</v>
      </c>
      <c r="AB13" s="250">
        <v>3500</v>
      </c>
      <c r="AC13" s="250">
        <v>0</v>
      </c>
      <c r="AD13" s="250">
        <v>0</v>
      </c>
      <c r="AE13" s="251">
        <v>0</v>
      </c>
      <c r="AF13" s="251">
        <v>0</v>
      </c>
      <c r="AG13" s="251">
        <v>650</v>
      </c>
      <c r="AH13" s="251">
        <v>0</v>
      </c>
      <c r="AI13" s="250">
        <f t="shared" si="0"/>
        <v>5550</v>
      </c>
    </row>
    <row r="14" spans="1:35" x14ac:dyDescent="0.35">
      <c r="A14" s="5" t="s">
        <v>2454</v>
      </c>
      <c r="B14" s="250">
        <v>0</v>
      </c>
      <c r="C14" s="250">
        <v>0</v>
      </c>
      <c r="D14" s="250">
        <v>0</v>
      </c>
      <c r="E14" s="250">
        <v>0</v>
      </c>
      <c r="F14" s="250">
        <v>0</v>
      </c>
      <c r="G14" s="250">
        <v>0</v>
      </c>
      <c r="H14" s="250">
        <v>0</v>
      </c>
      <c r="I14" s="250">
        <v>0</v>
      </c>
      <c r="J14" s="250">
        <v>0</v>
      </c>
      <c r="K14" s="250">
        <v>0</v>
      </c>
      <c r="L14" s="250">
        <v>0</v>
      </c>
      <c r="M14" s="250">
        <v>0</v>
      </c>
      <c r="N14" s="250">
        <v>0</v>
      </c>
      <c r="O14" s="250">
        <v>0</v>
      </c>
      <c r="P14" s="250">
        <v>0</v>
      </c>
      <c r="Q14" s="250">
        <v>0</v>
      </c>
      <c r="R14" s="250">
        <v>0</v>
      </c>
      <c r="S14" s="250">
        <v>0</v>
      </c>
      <c r="T14" s="250">
        <v>0</v>
      </c>
      <c r="U14" s="250">
        <v>0</v>
      </c>
      <c r="V14" s="250">
        <v>0</v>
      </c>
      <c r="W14" s="250">
        <v>0</v>
      </c>
      <c r="X14" s="250">
        <v>0</v>
      </c>
      <c r="Y14" s="250">
        <v>0</v>
      </c>
      <c r="Z14" s="250">
        <v>0</v>
      </c>
      <c r="AA14" s="250">
        <v>0</v>
      </c>
      <c r="AB14" s="250">
        <v>5000</v>
      </c>
      <c r="AC14" s="250">
        <v>0</v>
      </c>
      <c r="AD14" s="250">
        <v>0</v>
      </c>
      <c r="AE14" s="251">
        <v>0</v>
      </c>
      <c r="AF14" s="251">
        <v>0</v>
      </c>
      <c r="AG14" s="251">
        <v>430</v>
      </c>
      <c r="AH14" s="251">
        <v>0</v>
      </c>
      <c r="AI14" s="250">
        <f t="shared" si="0"/>
        <v>5430</v>
      </c>
    </row>
    <row r="15" spans="1:35" x14ac:dyDescent="0.35">
      <c r="A15" s="5" t="s">
        <v>350</v>
      </c>
      <c r="B15" s="250">
        <v>0</v>
      </c>
      <c r="C15" s="250">
        <v>1500</v>
      </c>
      <c r="D15" s="250">
        <v>0</v>
      </c>
      <c r="E15" s="250">
        <v>0</v>
      </c>
      <c r="F15" s="250">
        <v>0</v>
      </c>
      <c r="G15" s="250">
        <v>0</v>
      </c>
      <c r="H15" s="250">
        <v>0</v>
      </c>
      <c r="I15" s="250">
        <v>0</v>
      </c>
      <c r="J15" s="250">
        <v>0</v>
      </c>
      <c r="K15" s="250">
        <v>0</v>
      </c>
      <c r="L15" s="250">
        <v>0</v>
      </c>
      <c r="M15" s="250">
        <v>0</v>
      </c>
      <c r="N15" s="250">
        <v>0</v>
      </c>
      <c r="O15" s="250">
        <v>0</v>
      </c>
      <c r="P15" s="250">
        <v>0</v>
      </c>
      <c r="Q15" s="250">
        <v>0</v>
      </c>
      <c r="R15" s="250">
        <v>0</v>
      </c>
      <c r="S15" s="250">
        <v>0</v>
      </c>
      <c r="T15" s="250">
        <v>0</v>
      </c>
      <c r="U15" s="250">
        <v>0</v>
      </c>
      <c r="V15" s="250">
        <v>0</v>
      </c>
      <c r="W15" s="250">
        <v>0</v>
      </c>
      <c r="X15" s="250">
        <v>0</v>
      </c>
      <c r="Y15" s="250">
        <v>0</v>
      </c>
      <c r="Z15" s="250">
        <v>0</v>
      </c>
      <c r="AA15" s="250">
        <v>0</v>
      </c>
      <c r="AB15" s="250">
        <v>0</v>
      </c>
      <c r="AC15" s="250">
        <v>0</v>
      </c>
      <c r="AD15" s="250">
        <v>3500</v>
      </c>
      <c r="AE15" s="251">
        <v>0</v>
      </c>
      <c r="AF15" s="251">
        <v>0</v>
      </c>
      <c r="AG15" s="251">
        <v>430</v>
      </c>
      <c r="AH15" s="251">
        <v>0</v>
      </c>
      <c r="AI15" s="250">
        <f t="shared" si="0"/>
        <v>5430</v>
      </c>
    </row>
    <row r="16" spans="1:35" x14ac:dyDescent="0.35">
      <c r="A16" s="246" t="s">
        <v>1625</v>
      </c>
      <c r="B16" s="247">
        <v>0</v>
      </c>
      <c r="C16" s="247">
        <v>0</v>
      </c>
      <c r="D16" s="247">
        <v>0</v>
      </c>
      <c r="E16" s="247">
        <v>0</v>
      </c>
      <c r="F16" s="247">
        <v>0</v>
      </c>
      <c r="G16" s="247">
        <v>0</v>
      </c>
      <c r="H16" s="247">
        <v>0</v>
      </c>
      <c r="I16" s="247">
        <v>0</v>
      </c>
      <c r="J16" s="247">
        <v>0</v>
      </c>
      <c r="K16" s="247">
        <v>0</v>
      </c>
      <c r="L16" s="247">
        <v>0</v>
      </c>
      <c r="M16" s="247">
        <v>0</v>
      </c>
      <c r="N16" s="247">
        <v>0</v>
      </c>
      <c r="O16" s="247">
        <v>0</v>
      </c>
      <c r="P16" s="247">
        <v>0</v>
      </c>
      <c r="Q16" s="247">
        <v>1000</v>
      </c>
      <c r="R16" s="247">
        <v>0</v>
      </c>
      <c r="S16" s="247">
        <v>0</v>
      </c>
      <c r="T16" s="247">
        <v>0</v>
      </c>
      <c r="U16" s="247">
        <v>0</v>
      </c>
      <c r="V16" s="247">
        <v>0</v>
      </c>
      <c r="W16" s="247">
        <v>4000</v>
      </c>
      <c r="X16" s="247">
        <v>0</v>
      </c>
      <c r="Y16" s="247">
        <v>0</v>
      </c>
      <c r="Z16" s="247">
        <v>0</v>
      </c>
      <c r="AA16" s="247">
        <v>0</v>
      </c>
      <c r="AB16" s="247">
        <v>0</v>
      </c>
      <c r="AC16" s="247">
        <v>0</v>
      </c>
      <c r="AD16" s="247">
        <v>0</v>
      </c>
      <c r="AE16" s="248">
        <v>0</v>
      </c>
      <c r="AF16" s="248">
        <v>0</v>
      </c>
      <c r="AG16" s="248">
        <v>350</v>
      </c>
      <c r="AH16" s="248">
        <v>0</v>
      </c>
      <c r="AI16" s="247">
        <f t="shared" si="0"/>
        <v>5350</v>
      </c>
    </row>
    <row r="17" spans="1:35" x14ac:dyDescent="0.35">
      <c r="A17" s="5" t="s">
        <v>1670</v>
      </c>
      <c r="B17" s="250">
        <v>0</v>
      </c>
      <c r="C17" s="250">
        <v>0</v>
      </c>
      <c r="D17" s="250">
        <v>0</v>
      </c>
      <c r="E17" s="250">
        <v>0</v>
      </c>
      <c r="F17" s="250">
        <v>0</v>
      </c>
      <c r="G17" s="250">
        <v>0</v>
      </c>
      <c r="H17" s="250">
        <v>0</v>
      </c>
      <c r="I17" s="250">
        <v>0</v>
      </c>
      <c r="J17" s="250">
        <v>0</v>
      </c>
      <c r="K17" s="250">
        <v>0</v>
      </c>
      <c r="L17" s="250">
        <v>0</v>
      </c>
      <c r="M17" s="250">
        <v>0</v>
      </c>
      <c r="N17" s="250">
        <v>0</v>
      </c>
      <c r="O17" s="250">
        <v>0</v>
      </c>
      <c r="P17" s="250">
        <v>0</v>
      </c>
      <c r="Q17" s="250">
        <v>0</v>
      </c>
      <c r="R17" s="250">
        <v>5000</v>
      </c>
      <c r="S17" s="250">
        <v>0</v>
      </c>
      <c r="T17" s="250">
        <v>0</v>
      </c>
      <c r="U17" s="250">
        <v>0</v>
      </c>
      <c r="V17" s="250">
        <v>0</v>
      </c>
      <c r="W17" s="250">
        <v>0</v>
      </c>
      <c r="X17" s="250">
        <v>0</v>
      </c>
      <c r="Y17" s="250">
        <v>0</v>
      </c>
      <c r="Z17" s="250">
        <v>0</v>
      </c>
      <c r="AA17" s="250">
        <v>0</v>
      </c>
      <c r="AB17" s="250">
        <v>0</v>
      </c>
      <c r="AC17" s="250">
        <v>0</v>
      </c>
      <c r="AD17" s="250">
        <v>0</v>
      </c>
      <c r="AE17" s="251">
        <v>0</v>
      </c>
      <c r="AF17" s="251">
        <v>0</v>
      </c>
      <c r="AG17" s="251">
        <v>350</v>
      </c>
      <c r="AH17" s="251">
        <v>0</v>
      </c>
      <c r="AI17" s="250">
        <f t="shared" si="0"/>
        <v>5350</v>
      </c>
    </row>
    <row r="18" spans="1:35" x14ac:dyDescent="0.35">
      <c r="A18" s="5" t="s">
        <v>1693</v>
      </c>
      <c r="B18" s="250">
        <v>0</v>
      </c>
      <c r="C18" s="250">
        <v>0</v>
      </c>
      <c r="D18" s="250">
        <v>0</v>
      </c>
      <c r="E18" s="250">
        <v>0</v>
      </c>
      <c r="F18" s="250">
        <v>0</v>
      </c>
      <c r="G18" s="250">
        <v>0</v>
      </c>
      <c r="H18" s="250">
        <v>0</v>
      </c>
      <c r="I18" s="250">
        <v>0</v>
      </c>
      <c r="J18" s="250">
        <v>0</v>
      </c>
      <c r="K18" s="250">
        <v>0</v>
      </c>
      <c r="L18" s="250">
        <v>0</v>
      </c>
      <c r="M18" s="250">
        <v>0</v>
      </c>
      <c r="N18" s="250">
        <v>0</v>
      </c>
      <c r="O18" s="250">
        <v>0</v>
      </c>
      <c r="P18" s="250">
        <v>0</v>
      </c>
      <c r="Q18" s="250">
        <v>0</v>
      </c>
      <c r="R18" s="250">
        <v>2500</v>
      </c>
      <c r="S18" s="250">
        <v>0</v>
      </c>
      <c r="T18" s="250">
        <v>0</v>
      </c>
      <c r="U18" s="250">
        <v>0</v>
      </c>
      <c r="V18" s="250">
        <v>0</v>
      </c>
      <c r="W18" s="250">
        <v>0</v>
      </c>
      <c r="X18" s="250">
        <v>0</v>
      </c>
      <c r="Y18" s="250">
        <v>0</v>
      </c>
      <c r="Z18" s="250">
        <v>0</v>
      </c>
      <c r="AA18" s="250">
        <v>0</v>
      </c>
      <c r="AB18" s="250">
        <v>2000</v>
      </c>
      <c r="AC18" s="250">
        <v>0</v>
      </c>
      <c r="AD18" s="250">
        <v>0</v>
      </c>
      <c r="AE18" s="251">
        <v>0</v>
      </c>
      <c r="AF18" s="251">
        <v>0</v>
      </c>
      <c r="AG18" s="251">
        <v>650</v>
      </c>
      <c r="AH18" s="251">
        <v>0</v>
      </c>
      <c r="AI18" s="250">
        <f t="shared" si="0"/>
        <v>5150</v>
      </c>
    </row>
    <row r="19" spans="1:35" x14ac:dyDescent="0.35">
      <c r="A19" s="246" t="s">
        <v>157</v>
      </c>
      <c r="B19" s="247">
        <v>0</v>
      </c>
      <c r="C19" s="247">
        <v>1500</v>
      </c>
      <c r="D19" s="247">
        <v>600</v>
      </c>
      <c r="E19" s="247">
        <v>0</v>
      </c>
      <c r="F19" s="247">
        <v>600</v>
      </c>
      <c r="G19" s="247">
        <v>500</v>
      </c>
      <c r="H19" s="247">
        <v>385</v>
      </c>
      <c r="I19" s="247">
        <v>0</v>
      </c>
      <c r="J19" s="247">
        <v>0</v>
      </c>
      <c r="K19" s="247">
        <v>0</v>
      </c>
      <c r="L19" s="247">
        <v>0</v>
      </c>
      <c r="M19" s="247">
        <v>0</v>
      </c>
      <c r="N19" s="247">
        <v>0</v>
      </c>
      <c r="O19" s="247">
        <v>0</v>
      </c>
      <c r="P19" s="247">
        <v>0</v>
      </c>
      <c r="Q19" s="247">
        <v>0</v>
      </c>
      <c r="R19" s="247">
        <v>0</v>
      </c>
      <c r="S19" s="247">
        <v>0</v>
      </c>
      <c r="T19" s="247">
        <v>0</v>
      </c>
      <c r="U19" s="247">
        <v>0</v>
      </c>
      <c r="V19" s="247">
        <v>0</v>
      </c>
      <c r="W19" s="247">
        <v>0</v>
      </c>
      <c r="X19" s="247">
        <v>0</v>
      </c>
      <c r="Y19" s="247">
        <v>0</v>
      </c>
      <c r="Z19" s="247">
        <v>0</v>
      </c>
      <c r="AA19" s="247">
        <v>450</v>
      </c>
      <c r="AB19" s="247">
        <v>0</v>
      </c>
      <c r="AC19" s="247">
        <v>0</v>
      </c>
      <c r="AD19" s="247">
        <v>0</v>
      </c>
      <c r="AE19" s="248">
        <v>0</v>
      </c>
      <c r="AF19" s="248">
        <v>0</v>
      </c>
      <c r="AG19" s="248">
        <v>1010</v>
      </c>
      <c r="AH19" s="248">
        <v>0</v>
      </c>
      <c r="AI19" s="250">
        <f t="shared" si="0"/>
        <v>5045</v>
      </c>
    </row>
    <row r="20" spans="1:35" x14ac:dyDescent="0.35">
      <c r="A20" s="246" t="s">
        <v>1739</v>
      </c>
      <c r="B20" s="247">
        <v>0</v>
      </c>
      <c r="C20" s="247">
        <v>0</v>
      </c>
      <c r="D20" s="247">
        <v>0</v>
      </c>
      <c r="E20" s="247">
        <v>0</v>
      </c>
      <c r="F20" s="247">
        <v>0</v>
      </c>
      <c r="G20" s="247">
        <v>0</v>
      </c>
      <c r="H20" s="247">
        <v>0</v>
      </c>
      <c r="I20" s="247">
        <v>0</v>
      </c>
      <c r="J20" s="247">
        <v>0</v>
      </c>
      <c r="K20" s="247">
        <v>0</v>
      </c>
      <c r="L20" s="247">
        <v>0</v>
      </c>
      <c r="M20" s="247">
        <v>0</v>
      </c>
      <c r="N20" s="247">
        <v>0</v>
      </c>
      <c r="O20" s="247">
        <v>0</v>
      </c>
      <c r="P20" s="247">
        <v>0</v>
      </c>
      <c r="Q20" s="247">
        <v>0</v>
      </c>
      <c r="R20" s="247">
        <v>0</v>
      </c>
      <c r="S20" s="247">
        <v>0</v>
      </c>
      <c r="T20" s="247">
        <v>5000</v>
      </c>
      <c r="U20" s="247">
        <v>0</v>
      </c>
      <c r="V20" s="247">
        <v>0</v>
      </c>
      <c r="W20" s="247">
        <v>0</v>
      </c>
      <c r="X20" s="247">
        <v>0</v>
      </c>
      <c r="Y20" s="247">
        <v>0</v>
      </c>
      <c r="Z20" s="247">
        <v>0</v>
      </c>
      <c r="AA20" s="247">
        <v>0</v>
      </c>
      <c r="AB20" s="247">
        <v>0</v>
      </c>
      <c r="AC20" s="247">
        <v>0</v>
      </c>
      <c r="AD20" s="247">
        <v>0</v>
      </c>
      <c r="AE20" s="248">
        <v>0</v>
      </c>
      <c r="AF20" s="248">
        <v>0</v>
      </c>
      <c r="AG20" s="248">
        <v>0</v>
      </c>
      <c r="AH20" s="248">
        <v>0</v>
      </c>
      <c r="AI20" s="247">
        <f t="shared" si="0"/>
        <v>5000</v>
      </c>
    </row>
    <row r="21" spans="1:35" x14ac:dyDescent="0.35">
      <c r="A21" s="246" t="s">
        <v>1157</v>
      </c>
      <c r="B21" s="250">
        <v>0</v>
      </c>
      <c r="C21" s="250">
        <v>0</v>
      </c>
      <c r="D21" s="250">
        <v>0</v>
      </c>
      <c r="E21" s="250">
        <v>0</v>
      </c>
      <c r="F21" s="250">
        <v>0</v>
      </c>
      <c r="G21" s="250">
        <v>0</v>
      </c>
      <c r="H21" s="250">
        <v>0</v>
      </c>
      <c r="I21" s="250">
        <v>0</v>
      </c>
      <c r="J21" s="250">
        <v>0</v>
      </c>
      <c r="K21" s="250">
        <v>0</v>
      </c>
      <c r="L21" s="250">
        <v>0</v>
      </c>
      <c r="M21" s="250">
        <v>0</v>
      </c>
      <c r="N21" s="250">
        <v>0</v>
      </c>
      <c r="O21" s="250">
        <v>0</v>
      </c>
      <c r="P21" s="250">
        <v>0</v>
      </c>
      <c r="Q21" s="250">
        <v>0</v>
      </c>
      <c r="R21" s="250">
        <v>0</v>
      </c>
      <c r="S21" s="250">
        <v>0</v>
      </c>
      <c r="T21" s="250">
        <v>0</v>
      </c>
      <c r="U21" s="250">
        <v>0</v>
      </c>
      <c r="V21" s="250">
        <v>0</v>
      </c>
      <c r="W21" s="250">
        <v>3000</v>
      </c>
      <c r="X21" s="250">
        <v>0</v>
      </c>
      <c r="Y21" s="250">
        <v>0</v>
      </c>
      <c r="Z21" s="250">
        <v>0</v>
      </c>
      <c r="AA21" s="250">
        <v>0</v>
      </c>
      <c r="AB21" s="250">
        <v>0</v>
      </c>
      <c r="AC21" s="250">
        <v>0</v>
      </c>
      <c r="AD21" s="250">
        <v>0</v>
      </c>
      <c r="AE21" s="251">
        <v>0</v>
      </c>
      <c r="AF21" s="251">
        <v>1500</v>
      </c>
      <c r="AG21" s="251">
        <v>500</v>
      </c>
      <c r="AH21" s="251">
        <v>0</v>
      </c>
      <c r="AI21" s="250">
        <f t="shared" si="0"/>
        <v>5000</v>
      </c>
    </row>
    <row r="22" spans="1:35" x14ac:dyDescent="0.35">
      <c r="A22" s="5" t="s">
        <v>2367</v>
      </c>
      <c r="B22" s="250">
        <v>0</v>
      </c>
      <c r="C22" s="250">
        <v>0</v>
      </c>
      <c r="D22" s="250">
        <v>0</v>
      </c>
      <c r="E22" s="250">
        <v>0</v>
      </c>
      <c r="F22" s="250">
        <v>0</v>
      </c>
      <c r="G22" s="250">
        <v>0</v>
      </c>
      <c r="H22" s="250">
        <v>0</v>
      </c>
      <c r="I22" s="250">
        <v>0</v>
      </c>
      <c r="J22" s="250">
        <v>0</v>
      </c>
      <c r="K22" s="250">
        <v>0</v>
      </c>
      <c r="L22" s="250">
        <v>0</v>
      </c>
      <c r="M22" s="250">
        <v>0</v>
      </c>
      <c r="N22" s="250">
        <v>0</v>
      </c>
      <c r="O22" s="250">
        <v>0</v>
      </c>
      <c r="P22" s="250">
        <v>0</v>
      </c>
      <c r="Q22" s="250">
        <v>0</v>
      </c>
      <c r="R22" s="250">
        <v>0</v>
      </c>
      <c r="S22" s="250">
        <v>0</v>
      </c>
      <c r="T22" s="250">
        <v>0</v>
      </c>
      <c r="U22" s="250">
        <v>0</v>
      </c>
      <c r="V22" s="250">
        <v>0</v>
      </c>
      <c r="W22" s="250">
        <v>0</v>
      </c>
      <c r="X22" s="250">
        <v>0</v>
      </c>
      <c r="Y22" s="250">
        <v>0</v>
      </c>
      <c r="Z22" s="250">
        <v>0</v>
      </c>
      <c r="AA22" s="250">
        <v>0</v>
      </c>
      <c r="AB22" s="250">
        <v>5000</v>
      </c>
      <c r="AC22" s="250">
        <v>0</v>
      </c>
      <c r="AD22" s="250">
        <v>0</v>
      </c>
      <c r="AE22" s="251">
        <v>0</v>
      </c>
      <c r="AF22" s="251">
        <v>0</v>
      </c>
      <c r="AG22" s="251">
        <v>0</v>
      </c>
      <c r="AH22" s="251">
        <v>0</v>
      </c>
      <c r="AI22" s="250">
        <f t="shared" si="0"/>
        <v>5000</v>
      </c>
    </row>
    <row r="23" spans="1:35" x14ac:dyDescent="0.35">
      <c r="A23" s="5" t="s">
        <v>1249</v>
      </c>
      <c r="B23" s="250">
        <v>0</v>
      </c>
      <c r="C23" s="250">
        <v>0</v>
      </c>
      <c r="D23" s="250">
        <v>0</v>
      </c>
      <c r="E23" s="250">
        <v>0</v>
      </c>
      <c r="F23" s="250">
        <v>0</v>
      </c>
      <c r="G23" s="250">
        <v>0</v>
      </c>
      <c r="H23" s="250">
        <v>0</v>
      </c>
      <c r="I23" s="250">
        <v>5000</v>
      </c>
      <c r="J23" s="250">
        <v>0</v>
      </c>
      <c r="K23" s="250">
        <v>0</v>
      </c>
      <c r="L23" s="250">
        <v>0</v>
      </c>
      <c r="M23" s="250">
        <v>0</v>
      </c>
      <c r="N23" s="250">
        <v>0</v>
      </c>
      <c r="O23" s="250">
        <v>0</v>
      </c>
      <c r="P23" s="250">
        <v>0</v>
      </c>
      <c r="Q23" s="250">
        <v>0</v>
      </c>
      <c r="R23" s="250">
        <v>0</v>
      </c>
      <c r="S23" s="250">
        <v>0</v>
      </c>
      <c r="T23" s="250">
        <v>0</v>
      </c>
      <c r="U23" s="250">
        <v>0</v>
      </c>
      <c r="V23" s="250">
        <v>0</v>
      </c>
      <c r="W23" s="250">
        <v>0</v>
      </c>
      <c r="X23" s="250">
        <v>0</v>
      </c>
      <c r="Y23" s="247">
        <v>0</v>
      </c>
      <c r="Z23" s="250">
        <v>0</v>
      </c>
      <c r="AA23" s="250">
        <v>0</v>
      </c>
      <c r="AB23" s="250">
        <v>0</v>
      </c>
      <c r="AC23" s="250">
        <v>0</v>
      </c>
      <c r="AD23" s="250">
        <v>0</v>
      </c>
      <c r="AE23" s="251">
        <v>0</v>
      </c>
      <c r="AF23" s="251">
        <v>0</v>
      </c>
      <c r="AG23" s="251">
        <v>0</v>
      </c>
      <c r="AH23" s="251">
        <v>0</v>
      </c>
      <c r="AI23" s="250">
        <f t="shared" si="0"/>
        <v>5000</v>
      </c>
    </row>
    <row r="24" spans="1:35" x14ac:dyDescent="0.35">
      <c r="A24" s="246" t="s">
        <v>1273</v>
      </c>
      <c r="B24" s="250">
        <v>0</v>
      </c>
      <c r="C24" s="250">
        <v>0</v>
      </c>
      <c r="D24" s="250">
        <v>0</v>
      </c>
      <c r="E24" s="250">
        <v>0</v>
      </c>
      <c r="F24" s="250">
        <v>0</v>
      </c>
      <c r="G24" s="250">
        <v>0</v>
      </c>
      <c r="H24" s="250">
        <v>0</v>
      </c>
      <c r="I24" s="250">
        <v>0</v>
      </c>
      <c r="J24" s="250">
        <v>4500</v>
      </c>
      <c r="K24" s="250">
        <v>0</v>
      </c>
      <c r="L24" s="250">
        <v>0</v>
      </c>
      <c r="M24" s="250">
        <v>0</v>
      </c>
      <c r="N24" s="250">
        <v>0</v>
      </c>
      <c r="O24" s="250">
        <v>0</v>
      </c>
      <c r="P24" s="250">
        <v>0</v>
      </c>
      <c r="Q24" s="250">
        <v>0</v>
      </c>
      <c r="R24" s="250">
        <v>0</v>
      </c>
      <c r="S24" s="250">
        <v>0</v>
      </c>
      <c r="T24" s="250">
        <v>0</v>
      </c>
      <c r="U24" s="250">
        <v>0</v>
      </c>
      <c r="V24" s="250">
        <v>0</v>
      </c>
      <c r="W24" s="250">
        <v>0</v>
      </c>
      <c r="X24" s="250">
        <v>0</v>
      </c>
      <c r="Y24" s="250">
        <v>0</v>
      </c>
      <c r="Z24" s="250">
        <v>0</v>
      </c>
      <c r="AA24" s="250">
        <v>0</v>
      </c>
      <c r="AB24" s="250">
        <v>0</v>
      </c>
      <c r="AC24" s="250">
        <v>0</v>
      </c>
      <c r="AD24" s="250">
        <v>0</v>
      </c>
      <c r="AE24" s="251">
        <v>0</v>
      </c>
      <c r="AF24" s="251">
        <v>0</v>
      </c>
      <c r="AG24" s="251">
        <v>350</v>
      </c>
      <c r="AH24" s="251">
        <v>0</v>
      </c>
      <c r="AI24" s="250">
        <f t="shared" si="0"/>
        <v>4850</v>
      </c>
    </row>
    <row r="25" spans="1:35" x14ac:dyDescent="0.35">
      <c r="A25" s="5" t="s">
        <v>702</v>
      </c>
      <c r="B25" s="250">
        <v>0</v>
      </c>
      <c r="C25" s="250">
        <v>0</v>
      </c>
      <c r="D25" s="250">
        <v>0</v>
      </c>
      <c r="E25" s="250">
        <v>0</v>
      </c>
      <c r="F25" s="250">
        <v>0</v>
      </c>
      <c r="G25" s="250">
        <v>0</v>
      </c>
      <c r="H25" s="250">
        <v>0</v>
      </c>
      <c r="I25" s="250">
        <v>0</v>
      </c>
      <c r="J25" s="250">
        <v>0</v>
      </c>
      <c r="K25" s="250">
        <v>0</v>
      </c>
      <c r="L25" s="250">
        <v>0</v>
      </c>
      <c r="M25" s="250">
        <v>0</v>
      </c>
      <c r="N25" s="250">
        <v>0</v>
      </c>
      <c r="O25" s="250">
        <v>0</v>
      </c>
      <c r="P25" s="250">
        <v>0</v>
      </c>
      <c r="Q25" s="250">
        <v>0</v>
      </c>
      <c r="R25" s="250">
        <v>0</v>
      </c>
      <c r="S25" s="250">
        <v>1000</v>
      </c>
      <c r="T25" s="250">
        <v>0</v>
      </c>
      <c r="U25" s="250">
        <v>0</v>
      </c>
      <c r="V25" s="250">
        <v>0</v>
      </c>
      <c r="W25" s="250">
        <v>750</v>
      </c>
      <c r="X25" s="250">
        <v>0</v>
      </c>
      <c r="Y25" s="250">
        <v>0</v>
      </c>
      <c r="Z25" s="250">
        <v>0</v>
      </c>
      <c r="AA25" s="250">
        <v>0</v>
      </c>
      <c r="AB25" s="250">
        <v>0</v>
      </c>
      <c r="AC25" s="250">
        <v>0</v>
      </c>
      <c r="AD25" s="250">
        <v>0</v>
      </c>
      <c r="AE25" s="251">
        <v>0</v>
      </c>
      <c r="AF25" s="251">
        <v>1500</v>
      </c>
      <c r="AG25" s="251">
        <v>1600</v>
      </c>
      <c r="AH25" s="251">
        <v>0</v>
      </c>
      <c r="AI25" s="250">
        <f t="shared" si="0"/>
        <v>4850</v>
      </c>
    </row>
    <row r="26" spans="1:35" x14ac:dyDescent="0.35">
      <c r="A26" s="246" t="s">
        <v>265</v>
      </c>
      <c r="B26" s="247">
        <v>0</v>
      </c>
      <c r="C26" s="247">
        <v>2850</v>
      </c>
      <c r="D26" s="247">
        <v>0</v>
      </c>
      <c r="E26" s="247">
        <v>0</v>
      </c>
      <c r="F26" s="247">
        <v>0</v>
      </c>
      <c r="G26" s="247">
        <v>0</v>
      </c>
      <c r="H26" s="247">
        <v>0</v>
      </c>
      <c r="I26" s="247">
        <v>0</v>
      </c>
      <c r="J26" s="247">
        <v>0</v>
      </c>
      <c r="K26" s="247">
        <v>0</v>
      </c>
      <c r="L26" s="247">
        <v>0</v>
      </c>
      <c r="M26" s="247">
        <v>0</v>
      </c>
      <c r="N26" s="247">
        <v>0</v>
      </c>
      <c r="O26" s="247">
        <v>0</v>
      </c>
      <c r="P26" s="247">
        <v>0</v>
      </c>
      <c r="Q26" s="247">
        <v>0</v>
      </c>
      <c r="R26" s="247">
        <v>0</v>
      </c>
      <c r="S26" s="247">
        <v>0</v>
      </c>
      <c r="T26" s="247">
        <v>0</v>
      </c>
      <c r="U26" s="247">
        <v>0</v>
      </c>
      <c r="V26" s="247">
        <v>0</v>
      </c>
      <c r="W26" s="247">
        <v>0</v>
      </c>
      <c r="X26" s="247">
        <v>0</v>
      </c>
      <c r="Y26" s="247">
        <v>0</v>
      </c>
      <c r="Z26" s="247">
        <v>0</v>
      </c>
      <c r="AA26" s="247">
        <v>0</v>
      </c>
      <c r="AB26" s="247">
        <v>0</v>
      </c>
      <c r="AC26" s="247">
        <v>0</v>
      </c>
      <c r="AD26" s="247">
        <v>0</v>
      </c>
      <c r="AE26" s="248">
        <v>0</v>
      </c>
      <c r="AF26" s="248">
        <v>1500</v>
      </c>
      <c r="AG26" s="248">
        <v>480</v>
      </c>
      <c r="AH26" s="248">
        <v>0</v>
      </c>
      <c r="AI26" s="250">
        <f t="shared" si="0"/>
        <v>4830</v>
      </c>
    </row>
    <row r="27" spans="1:35" x14ac:dyDescent="0.35">
      <c r="A27" s="5" t="s">
        <v>705</v>
      </c>
      <c r="B27" s="250">
        <v>0</v>
      </c>
      <c r="C27" s="250">
        <v>0</v>
      </c>
      <c r="D27" s="250">
        <v>0</v>
      </c>
      <c r="E27" s="250">
        <v>0</v>
      </c>
      <c r="F27" s="250">
        <v>350</v>
      </c>
      <c r="G27" s="250">
        <v>0</v>
      </c>
      <c r="H27" s="250">
        <v>0</v>
      </c>
      <c r="I27" s="250">
        <v>0</v>
      </c>
      <c r="J27" s="250">
        <v>0</v>
      </c>
      <c r="K27" s="250">
        <v>0</v>
      </c>
      <c r="L27" s="250">
        <v>0</v>
      </c>
      <c r="M27" s="250">
        <v>0</v>
      </c>
      <c r="N27" s="250">
        <v>0</v>
      </c>
      <c r="O27" s="250">
        <v>0</v>
      </c>
      <c r="P27" s="250">
        <v>0</v>
      </c>
      <c r="Q27" s="250">
        <v>0</v>
      </c>
      <c r="R27" s="250">
        <v>0</v>
      </c>
      <c r="S27" s="250">
        <v>0</v>
      </c>
      <c r="T27" s="250">
        <v>0</v>
      </c>
      <c r="U27" s="250">
        <v>0</v>
      </c>
      <c r="V27" s="250">
        <v>0</v>
      </c>
      <c r="W27" s="250">
        <v>0</v>
      </c>
      <c r="X27" s="250">
        <v>0</v>
      </c>
      <c r="Y27" s="250">
        <v>0</v>
      </c>
      <c r="Z27" s="250">
        <v>0</v>
      </c>
      <c r="AA27" s="250">
        <v>0</v>
      </c>
      <c r="AB27" s="250">
        <v>3500</v>
      </c>
      <c r="AC27" s="250">
        <v>0</v>
      </c>
      <c r="AD27" s="250">
        <v>0</v>
      </c>
      <c r="AE27" s="251">
        <v>0</v>
      </c>
      <c r="AF27" s="251">
        <v>0</v>
      </c>
      <c r="AG27" s="251">
        <v>775</v>
      </c>
      <c r="AH27" s="251">
        <v>0</v>
      </c>
      <c r="AI27" s="250">
        <f t="shared" si="0"/>
        <v>4625</v>
      </c>
    </row>
    <row r="28" spans="1:35" x14ac:dyDescent="0.35">
      <c r="A28" s="5" t="s">
        <v>1384</v>
      </c>
      <c r="B28" s="250">
        <v>0</v>
      </c>
      <c r="C28" s="250">
        <v>0</v>
      </c>
      <c r="D28" s="250">
        <v>0</v>
      </c>
      <c r="E28" s="250">
        <v>0</v>
      </c>
      <c r="F28" s="250">
        <v>0</v>
      </c>
      <c r="G28" s="250">
        <v>0</v>
      </c>
      <c r="H28" s="250">
        <v>0</v>
      </c>
      <c r="I28" s="250">
        <v>0</v>
      </c>
      <c r="J28" s="250">
        <v>0</v>
      </c>
      <c r="K28" s="250">
        <v>0</v>
      </c>
      <c r="L28" s="250">
        <v>0</v>
      </c>
      <c r="M28" s="250">
        <v>0</v>
      </c>
      <c r="N28" s="250">
        <v>0</v>
      </c>
      <c r="O28" s="250">
        <v>0</v>
      </c>
      <c r="P28" s="250">
        <v>0</v>
      </c>
      <c r="Q28" s="250">
        <v>0</v>
      </c>
      <c r="R28" s="250">
        <v>0</v>
      </c>
      <c r="S28" s="250">
        <v>0</v>
      </c>
      <c r="T28" s="250">
        <v>0</v>
      </c>
      <c r="U28" s="250">
        <v>0</v>
      </c>
      <c r="V28" s="250">
        <v>0</v>
      </c>
      <c r="W28" s="250">
        <v>2500</v>
      </c>
      <c r="X28" s="250">
        <v>0</v>
      </c>
      <c r="Y28" s="250">
        <v>0</v>
      </c>
      <c r="Z28" s="250">
        <v>0</v>
      </c>
      <c r="AA28" s="250">
        <v>0</v>
      </c>
      <c r="AB28" s="250">
        <v>0</v>
      </c>
      <c r="AC28" s="250">
        <v>0</v>
      </c>
      <c r="AD28" s="250">
        <v>0</v>
      </c>
      <c r="AE28" s="251">
        <v>250</v>
      </c>
      <c r="AF28" s="251">
        <v>1500</v>
      </c>
      <c r="AG28" s="251">
        <v>350</v>
      </c>
      <c r="AH28" s="251">
        <v>0</v>
      </c>
      <c r="AI28" s="250">
        <f t="shared" si="0"/>
        <v>4600</v>
      </c>
    </row>
    <row r="29" spans="1:35" x14ac:dyDescent="0.35">
      <c r="A29" s="5" t="s">
        <v>822</v>
      </c>
      <c r="B29" s="250">
        <v>0</v>
      </c>
      <c r="C29" s="250">
        <v>0</v>
      </c>
      <c r="D29" s="250">
        <v>0</v>
      </c>
      <c r="E29" s="250">
        <v>0</v>
      </c>
      <c r="F29" s="250">
        <v>0</v>
      </c>
      <c r="G29" s="250">
        <v>750</v>
      </c>
      <c r="H29" s="250">
        <v>1000</v>
      </c>
      <c r="I29" s="250">
        <v>0</v>
      </c>
      <c r="J29" s="250">
        <v>0</v>
      </c>
      <c r="K29" s="250">
        <v>0</v>
      </c>
      <c r="L29" s="250">
        <v>0</v>
      </c>
      <c r="M29" s="250">
        <v>0</v>
      </c>
      <c r="N29" s="250">
        <v>0</v>
      </c>
      <c r="O29" s="250">
        <v>0</v>
      </c>
      <c r="P29" s="250">
        <v>0</v>
      </c>
      <c r="Q29" s="250">
        <v>0</v>
      </c>
      <c r="R29" s="250">
        <v>0</v>
      </c>
      <c r="S29" s="250">
        <v>0</v>
      </c>
      <c r="T29" s="250">
        <v>0</v>
      </c>
      <c r="U29" s="250">
        <v>0</v>
      </c>
      <c r="V29" s="250">
        <v>1500</v>
      </c>
      <c r="W29" s="250">
        <v>0</v>
      </c>
      <c r="X29" s="250">
        <v>0</v>
      </c>
      <c r="Y29" s="250">
        <v>0</v>
      </c>
      <c r="Z29" s="250">
        <v>0</v>
      </c>
      <c r="AA29" s="250">
        <v>1000</v>
      </c>
      <c r="AB29" s="250">
        <v>0</v>
      </c>
      <c r="AC29" s="250">
        <v>0</v>
      </c>
      <c r="AD29" s="250">
        <v>0</v>
      </c>
      <c r="AE29" s="251">
        <v>0</v>
      </c>
      <c r="AF29" s="251">
        <v>0</v>
      </c>
      <c r="AG29" s="251">
        <v>350</v>
      </c>
      <c r="AH29" s="251">
        <v>0</v>
      </c>
      <c r="AI29" s="250">
        <f t="shared" si="0"/>
        <v>4600</v>
      </c>
    </row>
    <row r="30" spans="1:35" x14ac:dyDescent="0.35">
      <c r="A30" s="5" t="s">
        <v>323</v>
      </c>
      <c r="B30" s="250">
        <v>0</v>
      </c>
      <c r="C30" s="250">
        <v>1500</v>
      </c>
      <c r="D30" s="250">
        <v>0</v>
      </c>
      <c r="E30" s="250">
        <v>0</v>
      </c>
      <c r="F30" s="250">
        <v>0</v>
      </c>
      <c r="G30" s="250">
        <v>0</v>
      </c>
      <c r="H30" s="250">
        <v>0</v>
      </c>
      <c r="I30" s="250">
        <v>0</v>
      </c>
      <c r="J30" s="250">
        <v>0</v>
      </c>
      <c r="K30" s="250">
        <v>0</v>
      </c>
      <c r="L30" s="250">
        <v>0</v>
      </c>
      <c r="M30" s="250">
        <v>0</v>
      </c>
      <c r="N30" s="250">
        <v>0</v>
      </c>
      <c r="O30" s="250">
        <v>0</v>
      </c>
      <c r="P30" s="250">
        <v>0</v>
      </c>
      <c r="Q30" s="250">
        <v>1000</v>
      </c>
      <c r="R30" s="250">
        <v>0</v>
      </c>
      <c r="S30" s="250">
        <v>0</v>
      </c>
      <c r="T30" s="250">
        <v>0</v>
      </c>
      <c r="U30" s="250">
        <v>0</v>
      </c>
      <c r="V30" s="250">
        <v>0</v>
      </c>
      <c r="W30" s="250">
        <v>0</v>
      </c>
      <c r="X30" s="250">
        <v>0</v>
      </c>
      <c r="Y30" s="250">
        <v>0</v>
      </c>
      <c r="Z30" s="250">
        <v>0</v>
      </c>
      <c r="AA30" s="250">
        <v>0</v>
      </c>
      <c r="AB30" s="250">
        <v>0</v>
      </c>
      <c r="AC30" s="250">
        <v>0</v>
      </c>
      <c r="AD30" s="250">
        <v>0</v>
      </c>
      <c r="AE30" s="251">
        <v>0</v>
      </c>
      <c r="AF30" s="251">
        <v>1500</v>
      </c>
      <c r="AG30" s="251">
        <v>550</v>
      </c>
      <c r="AH30" s="251">
        <v>0</v>
      </c>
      <c r="AI30" s="250">
        <f t="shared" si="0"/>
        <v>4550</v>
      </c>
    </row>
    <row r="31" spans="1:35" x14ac:dyDescent="0.35">
      <c r="A31" s="246" t="s">
        <v>640</v>
      </c>
      <c r="B31" s="250">
        <v>0</v>
      </c>
      <c r="C31" s="250">
        <v>0</v>
      </c>
      <c r="D31" s="250">
        <v>0</v>
      </c>
      <c r="E31" s="250">
        <v>0</v>
      </c>
      <c r="F31" s="250">
        <v>1000</v>
      </c>
      <c r="G31" s="250">
        <v>0</v>
      </c>
      <c r="H31" s="250">
        <v>0</v>
      </c>
      <c r="I31" s="250">
        <v>0</v>
      </c>
      <c r="J31" s="250">
        <v>0</v>
      </c>
      <c r="K31" s="250">
        <v>0</v>
      </c>
      <c r="L31" s="250">
        <v>0</v>
      </c>
      <c r="M31" s="250">
        <v>0</v>
      </c>
      <c r="N31" s="250">
        <v>0</v>
      </c>
      <c r="O31" s="250">
        <v>0</v>
      </c>
      <c r="P31" s="250">
        <v>0</v>
      </c>
      <c r="Q31" s="250">
        <v>0</v>
      </c>
      <c r="R31" s="250">
        <v>3000</v>
      </c>
      <c r="S31" s="250">
        <v>0</v>
      </c>
      <c r="T31" s="250">
        <v>0</v>
      </c>
      <c r="U31" s="250">
        <v>0</v>
      </c>
      <c r="V31" s="250">
        <v>0</v>
      </c>
      <c r="W31" s="250">
        <v>0</v>
      </c>
      <c r="X31" s="250">
        <v>0</v>
      </c>
      <c r="Y31" s="250">
        <v>0</v>
      </c>
      <c r="Z31" s="250">
        <v>0</v>
      </c>
      <c r="AA31" s="250">
        <v>0</v>
      </c>
      <c r="AB31" s="250">
        <v>0</v>
      </c>
      <c r="AC31" s="250">
        <v>0</v>
      </c>
      <c r="AD31" s="250">
        <v>0</v>
      </c>
      <c r="AE31" s="251">
        <v>0</v>
      </c>
      <c r="AF31" s="251">
        <v>0</v>
      </c>
      <c r="AG31" s="251">
        <v>430</v>
      </c>
      <c r="AH31" s="251">
        <v>0</v>
      </c>
      <c r="AI31" s="250">
        <f t="shared" si="0"/>
        <v>4430</v>
      </c>
    </row>
    <row r="32" spans="1:35" x14ac:dyDescent="0.35">
      <c r="A32" s="246" t="s">
        <v>490</v>
      </c>
      <c r="B32" s="247">
        <v>0</v>
      </c>
      <c r="C32" s="247">
        <v>0</v>
      </c>
      <c r="D32" s="247">
        <v>600</v>
      </c>
      <c r="E32" s="247">
        <v>0</v>
      </c>
      <c r="F32" s="247">
        <v>600</v>
      </c>
      <c r="G32" s="247">
        <v>750</v>
      </c>
      <c r="H32" s="247">
        <v>0</v>
      </c>
      <c r="I32" s="247">
        <v>0</v>
      </c>
      <c r="J32" s="247">
        <v>60</v>
      </c>
      <c r="K32" s="247">
        <v>0</v>
      </c>
      <c r="L32" s="247">
        <v>0</v>
      </c>
      <c r="M32" s="247">
        <v>0</v>
      </c>
      <c r="N32" s="247">
        <v>0</v>
      </c>
      <c r="O32" s="247">
        <v>0</v>
      </c>
      <c r="P32" s="247">
        <v>0</v>
      </c>
      <c r="Q32" s="247">
        <v>0</v>
      </c>
      <c r="R32" s="247">
        <v>0</v>
      </c>
      <c r="S32" s="247">
        <v>0</v>
      </c>
      <c r="T32" s="247">
        <v>0</v>
      </c>
      <c r="U32" s="247">
        <v>0</v>
      </c>
      <c r="V32" s="247">
        <v>0</v>
      </c>
      <c r="W32" s="247">
        <v>0</v>
      </c>
      <c r="X32" s="247">
        <v>0</v>
      </c>
      <c r="Y32" s="247">
        <v>0</v>
      </c>
      <c r="Z32" s="247">
        <v>0</v>
      </c>
      <c r="AA32" s="247">
        <v>650</v>
      </c>
      <c r="AB32" s="247">
        <v>0</v>
      </c>
      <c r="AC32" s="247">
        <v>0</v>
      </c>
      <c r="AD32" s="247">
        <v>1300</v>
      </c>
      <c r="AE32" s="248">
        <v>0</v>
      </c>
      <c r="AF32" s="248">
        <v>0</v>
      </c>
      <c r="AG32" s="248">
        <v>455</v>
      </c>
      <c r="AH32" s="248">
        <v>0</v>
      </c>
      <c r="AI32" s="247">
        <f t="shared" si="0"/>
        <v>4415</v>
      </c>
    </row>
    <row r="33" spans="1:35" x14ac:dyDescent="0.35">
      <c r="A33" s="5" t="s">
        <v>662</v>
      </c>
      <c r="B33" s="250">
        <v>0</v>
      </c>
      <c r="C33" s="250">
        <v>0</v>
      </c>
      <c r="D33" s="250">
        <v>0</v>
      </c>
      <c r="E33" s="250">
        <v>0</v>
      </c>
      <c r="F33" s="250">
        <v>600</v>
      </c>
      <c r="G33" s="250">
        <v>0</v>
      </c>
      <c r="H33" s="250">
        <v>0</v>
      </c>
      <c r="I33" s="250">
        <v>0</v>
      </c>
      <c r="J33" s="250">
        <v>0</v>
      </c>
      <c r="K33" s="250">
        <v>0</v>
      </c>
      <c r="L33" s="250">
        <v>0</v>
      </c>
      <c r="M33" s="250">
        <v>0</v>
      </c>
      <c r="N33" s="250">
        <v>0</v>
      </c>
      <c r="O33" s="250">
        <v>0</v>
      </c>
      <c r="P33" s="250">
        <v>0</v>
      </c>
      <c r="Q33" s="250">
        <v>0</v>
      </c>
      <c r="R33" s="250">
        <v>0</v>
      </c>
      <c r="S33" s="250">
        <v>1500</v>
      </c>
      <c r="T33" s="250">
        <v>0</v>
      </c>
      <c r="U33" s="250">
        <v>0</v>
      </c>
      <c r="V33" s="250">
        <v>0</v>
      </c>
      <c r="W33" s="250">
        <v>0</v>
      </c>
      <c r="X33" s="250">
        <v>0</v>
      </c>
      <c r="Y33" s="250">
        <v>0</v>
      </c>
      <c r="Z33" s="250">
        <v>0</v>
      </c>
      <c r="AA33" s="250">
        <v>0</v>
      </c>
      <c r="AB33" s="250">
        <v>0</v>
      </c>
      <c r="AC33" s="250">
        <v>0</v>
      </c>
      <c r="AD33" s="250">
        <v>0</v>
      </c>
      <c r="AE33" s="251">
        <v>0</v>
      </c>
      <c r="AF33" s="251">
        <v>1500</v>
      </c>
      <c r="AG33" s="251">
        <v>775</v>
      </c>
      <c r="AH33" s="251">
        <v>0</v>
      </c>
      <c r="AI33" s="250">
        <f t="shared" si="0"/>
        <v>4375</v>
      </c>
    </row>
    <row r="34" spans="1:35" x14ac:dyDescent="0.35">
      <c r="A34" s="5" t="s">
        <v>406</v>
      </c>
      <c r="B34" s="250">
        <v>0</v>
      </c>
      <c r="C34" s="250">
        <v>1500</v>
      </c>
      <c r="D34" s="250">
        <v>0</v>
      </c>
      <c r="E34" s="250">
        <v>0</v>
      </c>
      <c r="F34" s="250">
        <v>350</v>
      </c>
      <c r="G34" s="250">
        <v>0</v>
      </c>
      <c r="H34" s="250">
        <v>0</v>
      </c>
      <c r="I34" s="250">
        <v>0</v>
      </c>
      <c r="J34" s="250">
        <v>0</v>
      </c>
      <c r="K34" s="250">
        <v>0</v>
      </c>
      <c r="L34" s="250">
        <v>0</v>
      </c>
      <c r="M34" s="250">
        <v>0</v>
      </c>
      <c r="N34" s="250">
        <v>0</v>
      </c>
      <c r="O34" s="250">
        <v>0</v>
      </c>
      <c r="P34" s="250">
        <v>0</v>
      </c>
      <c r="Q34" s="250">
        <v>0</v>
      </c>
      <c r="R34" s="250">
        <v>0</v>
      </c>
      <c r="S34" s="250">
        <v>0</v>
      </c>
      <c r="T34" s="250">
        <v>0</v>
      </c>
      <c r="U34" s="250">
        <v>0</v>
      </c>
      <c r="V34" s="250">
        <v>0</v>
      </c>
      <c r="W34" s="250">
        <v>0</v>
      </c>
      <c r="X34" s="250">
        <v>0</v>
      </c>
      <c r="Y34" s="250">
        <v>0</v>
      </c>
      <c r="Z34" s="250">
        <v>0</v>
      </c>
      <c r="AA34" s="250">
        <v>0</v>
      </c>
      <c r="AB34" s="250">
        <v>0</v>
      </c>
      <c r="AC34" s="250">
        <v>0</v>
      </c>
      <c r="AD34" s="250">
        <v>0</v>
      </c>
      <c r="AE34" s="251">
        <v>500</v>
      </c>
      <c r="AF34" s="251">
        <v>1500</v>
      </c>
      <c r="AG34" s="251">
        <v>480</v>
      </c>
      <c r="AH34" s="251">
        <v>0</v>
      </c>
      <c r="AI34" s="250">
        <f t="shared" si="0"/>
        <v>4330</v>
      </c>
    </row>
    <row r="35" spans="1:35" x14ac:dyDescent="0.35">
      <c r="A35" s="5" t="s">
        <v>501</v>
      </c>
      <c r="B35" s="250">
        <v>0</v>
      </c>
      <c r="C35" s="250">
        <v>0</v>
      </c>
      <c r="D35" s="250">
        <v>1000</v>
      </c>
      <c r="E35" s="250">
        <v>0</v>
      </c>
      <c r="F35" s="250">
        <v>600</v>
      </c>
      <c r="G35" s="250">
        <v>500</v>
      </c>
      <c r="H35" s="250">
        <v>0</v>
      </c>
      <c r="I35" s="250">
        <v>0</v>
      </c>
      <c r="J35" s="250">
        <v>0</v>
      </c>
      <c r="K35" s="250">
        <v>0</v>
      </c>
      <c r="L35" s="250">
        <v>0</v>
      </c>
      <c r="M35" s="250">
        <v>0</v>
      </c>
      <c r="N35" s="250">
        <v>0</v>
      </c>
      <c r="O35" s="250">
        <v>0</v>
      </c>
      <c r="P35" s="250">
        <v>0</v>
      </c>
      <c r="Q35" s="250">
        <v>0</v>
      </c>
      <c r="R35" s="250">
        <v>0</v>
      </c>
      <c r="S35" s="250">
        <v>0</v>
      </c>
      <c r="T35" s="250">
        <v>0</v>
      </c>
      <c r="U35" s="250">
        <v>0</v>
      </c>
      <c r="V35" s="250">
        <v>1500</v>
      </c>
      <c r="W35" s="250">
        <v>0</v>
      </c>
      <c r="X35" s="250">
        <v>0</v>
      </c>
      <c r="Y35" s="250">
        <v>0</v>
      </c>
      <c r="Z35" s="250">
        <v>0</v>
      </c>
      <c r="AA35" s="250">
        <v>0</v>
      </c>
      <c r="AB35" s="250">
        <v>0</v>
      </c>
      <c r="AC35" s="250">
        <v>0</v>
      </c>
      <c r="AD35" s="250">
        <v>0</v>
      </c>
      <c r="AE35" s="251">
        <v>0</v>
      </c>
      <c r="AF35" s="251">
        <v>0</v>
      </c>
      <c r="AG35" s="251">
        <v>0</v>
      </c>
      <c r="AH35" s="251">
        <v>475</v>
      </c>
      <c r="AI35" s="250">
        <f t="shared" si="0"/>
        <v>4075</v>
      </c>
    </row>
    <row r="36" spans="1:35" x14ac:dyDescent="0.35">
      <c r="A36" s="5" t="s">
        <v>677</v>
      </c>
      <c r="B36" s="250">
        <v>0</v>
      </c>
      <c r="C36" s="250">
        <v>0</v>
      </c>
      <c r="D36" s="250">
        <v>0</v>
      </c>
      <c r="E36" s="250">
        <v>0</v>
      </c>
      <c r="F36" s="250">
        <v>0</v>
      </c>
      <c r="G36" s="250">
        <v>0</v>
      </c>
      <c r="H36" s="250">
        <v>0</v>
      </c>
      <c r="I36" s="250">
        <v>0</v>
      </c>
      <c r="J36" s="250">
        <v>0</v>
      </c>
      <c r="K36" s="250">
        <v>2000</v>
      </c>
      <c r="L36" s="250">
        <v>0</v>
      </c>
      <c r="M36" s="250">
        <v>0</v>
      </c>
      <c r="N36" s="250">
        <v>0</v>
      </c>
      <c r="O36" s="250">
        <v>0</v>
      </c>
      <c r="P36" s="250">
        <v>0</v>
      </c>
      <c r="Q36" s="250">
        <v>0</v>
      </c>
      <c r="R36" s="250">
        <v>0</v>
      </c>
      <c r="S36" s="250">
        <v>0</v>
      </c>
      <c r="T36" s="250">
        <v>0</v>
      </c>
      <c r="U36" s="250">
        <v>0</v>
      </c>
      <c r="V36" s="250">
        <v>0</v>
      </c>
      <c r="W36" s="250">
        <v>0</v>
      </c>
      <c r="X36" s="250">
        <v>0</v>
      </c>
      <c r="Y36" s="250">
        <v>0</v>
      </c>
      <c r="Z36" s="250">
        <v>0</v>
      </c>
      <c r="AA36" s="250">
        <v>0</v>
      </c>
      <c r="AB36" s="250">
        <v>0</v>
      </c>
      <c r="AC36" s="250">
        <v>0</v>
      </c>
      <c r="AD36" s="250">
        <v>0</v>
      </c>
      <c r="AE36" s="251">
        <v>0</v>
      </c>
      <c r="AF36" s="251">
        <v>1500</v>
      </c>
      <c r="AG36" s="251">
        <v>525</v>
      </c>
      <c r="AH36" s="251">
        <v>0</v>
      </c>
      <c r="AI36" s="250">
        <f t="shared" si="0"/>
        <v>4025</v>
      </c>
    </row>
    <row r="37" spans="1:35" x14ac:dyDescent="0.35">
      <c r="A37" s="5" t="s">
        <v>1918</v>
      </c>
      <c r="B37" s="250">
        <v>0</v>
      </c>
      <c r="C37" s="250">
        <v>0</v>
      </c>
      <c r="D37" s="250">
        <v>0</v>
      </c>
      <c r="E37" s="250">
        <v>0</v>
      </c>
      <c r="F37" s="250">
        <v>0</v>
      </c>
      <c r="G37" s="250">
        <v>0</v>
      </c>
      <c r="H37" s="250">
        <v>0</v>
      </c>
      <c r="I37" s="250">
        <v>0</v>
      </c>
      <c r="J37" s="250">
        <v>0</v>
      </c>
      <c r="K37" s="250">
        <v>0</v>
      </c>
      <c r="L37" s="250">
        <v>0</v>
      </c>
      <c r="M37" s="250">
        <v>0</v>
      </c>
      <c r="N37" s="250">
        <v>0</v>
      </c>
      <c r="O37" s="250">
        <v>0</v>
      </c>
      <c r="P37" s="250">
        <v>0</v>
      </c>
      <c r="Q37" s="250">
        <v>0</v>
      </c>
      <c r="R37" s="250">
        <v>0</v>
      </c>
      <c r="S37" s="250">
        <v>0</v>
      </c>
      <c r="T37" s="250">
        <v>0</v>
      </c>
      <c r="U37" s="250">
        <v>0</v>
      </c>
      <c r="V37" s="250">
        <v>0</v>
      </c>
      <c r="W37" s="250">
        <v>4000</v>
      </c>
      <c r="X37" s="250">
        <v>0</v>
      </c>
      <c r="Y37" s="250">
        <v>0</v>
      </c>
      <c r="Z37" s="250">
        <v>0</v>
      </c>
      <c r="AA37" s="250">
        <v>0</v>
      </c>
      <c r="AB37" s="250">
        <v>0</v>
      </c>
      <c r="AC37" s="250">
        <v>0</v>
      </c>
      <c r="AD37" s="250">
        <v>0</v>
      </c>
      <c r="AE37" s="251">
        <v>0</v>
      </c>
      <c r="AF37" s="251">
        <v>0</v>
      </c>
      <c r="AG37" s="251">
        <v>0</v>
      </c>
      <c r="AH37" s="251">
        <v>0</v>
      </c>
      <c r="AI37" s="250">
        <f t="shared" si="0"/>
        <v>4000</v>
      </c>
    </row>
    <row r="38" spans="1:35" x14ac:dyDescent="0.35">
      <c r="A38" s="5" t="s">
        <v>1234</v>
      </c>
      <c r="B38" s="250">
        <v>0</v>
      </c>
      <c r="C38" s="250">
        <v>0</v>
      </c>
      <c r="D38" s="250">
        <v>0</v>
      </c>
      <c r="E38" s="250">
        <v>0</v>
      </c>
      <c r="F38" s="250">
        <v>0</v>
      </c>
      <c r="G38" s="250">
        <v>0</v>
      </c>
      <c r="H38" s="250">
        <v>0</v>
      </c>
      <c r="I38" s="250">
        <v>0</v>
      </c>
      <c r="J38" s="250">
        <v>0</v>
      </c>
      <c r="K38" s="250">
        <v>0</v>
      </c>
      <c r="L38" s="250">
        <v>0</v>
      </c>
      <c r="M38" s="250">
        <v>0</v>
      </c>
      <c r="N38" s="250">
        <v>0</v>
      </c>
      <c r="O38" s="250">
        <v>0</v>
      </c>
      <c r="P38" s="250">
        <v>0</v>
      </c>
      <c r="Q38" s="250">
        <v>0</v>
      </c>
      <c r="R38" s="250">
        <v>0</v>
      </c>
      <c r="S38" s="250">
        <v>0</v>
      </c>
      <c r="T38" s="250">
        <v>0</v>
      </c>
      <c r="U38" s="250">
        <v>0</v>
      </c>
      <c r="V38" s="250">
        <v>0</v>
      </c>
      <c r="W38" s="250">
        <v>1500</v>
      </c>
      <c r="X38" s="250">
        <v>0</v>
      </c>
      <c r="Y38" s="250">
        <v>0</v>
      </c>
      <c r="Z38" s="250">
        <v>500</v>
      </c>
      <c r="AA38" s="250">
        <v>0</v>
      </c>
      <c r="AB38" s="250">
        <v>0</v>
      </c>
      <c r="AC38" s="250">
        <v>0</v>
      </c>
      <c r="AD38" s="250">
        <v>0</v>
      </c>
      <c r="AE38" s="251">
        <v>0</v>
      </c>
      <c r="AF38" s="251">
        <v>1500</v>
      </c>
      <c r="AG38" s="251">
        <v>480</v>
      </c>
      <c r="AH38" s="251">
        <v>0</v>
      </c>
      <c r="AI38" s="250">
        <f t="shared" si="0"/>
        <v>3980</v>
      </c>
    </row>
    <row r="39" spans="1:35" x14ac:dyDescent="0.35">
      <c r="A39" s="246" t="s">
        <v>2264</v>
      </c>
      <c r="B39" s="247">
        <v>0</v>
      </c>
      <c r="C39" s="247">
        <v>0</v>
      </c>
      <c r="D39" s="247">
        <v>0</v>
      </c>
      <c r="E39" s="247">
        <v>0</v>
      </c>
      <c r="F39" s="247">
        <v>0</v>
      </c>
      <c r="G39" s="247">
        <v>1000</v>
      </c>
      <c r="H39" s="247">
        <v>0</v>
      </c>
      <c r="I39" s="247">
        <v>0</v>
      </c>
      <c r="J39" s="247">
        <v>0</v>
      </c>
      <c r="K39" s="247">
        <v>0</v>
      </c>
      <c r="L39" s="247">
        <v>0</v>
      </c>
      <c r="M39" s="247">
        <v>0</v>
      </c>
      <c r="N39" s="247">
        <v>0</v>
      </c>
      <c r="O39" s="247">
        <v>0</v>
      </c>
      <c r="P39" s="247">
        <v>0</v>
      </c>
      <c r="Q39" s="247">
        <v>0</v>
      </c>
      <c r="R39" s="247">
        <v>0</v>
      </c>
      <c r="S39" s="247">
        <v>0</v>
      </c>
      <c r="T39" s="247">
        <v>0</v>
      </c>
      <c r="U39" s="247">
        <v>0</v>
      </c>
      <c r="V39" s="247">
        <v>500</v>
      </c>
      <c r="W39" s="247">
        <v>0</v>
      </c>
      <c r="X39" s="247">
        <v>0</v>
      </c>
      <c r="Y39" s="247">
        <v>0</v>
      </c>
      <c r="Z39" s="247">
        <v>0</v>
      </c>
      <c r="AA39" s="247">
        <v>500</v>
      </c>
      <c r="AB39" s="247">
        <v>0</v>
      </c>
      <c r="AC39" s="247">
        <v>0</v>
      </c>
      <c r="AD39" s="247">
        <v>0</v>
      </c>
      <c r="AE39" s="248">
        <v>0</v>
      </c>
      <c r="AF39" s="248">
        <v>1500</v>
      </c>
      <c r="AG39" s="248">
        <v>350</v>
      </c>
      <c r="AH39" s="248">
        <v>0</v>
      </c>
      <c r="AI39" s="247">
        <f t="shared" si="0"/>
        <v>3850</v>
      </c>
    </row>
    <row r="40" spans="1:35" x14ac:dyDescent="0.35">
      <c r="A40" s="246" t="s">
        <v>2424</v>
      </c>
      <c r="B40" s="247">
        <v>0</v>
      </c>
      <c r="C40" s="247">
        <v>0</v>
      </c>
      <c r="D40" s="247">
        <v>0</v>
      </c>
      <c r="E40" s="247">
        <v>0</v>
      </c>
      <c r="F40" s="247">
        <v>0</v>
      </c>
      <c r="G40" s="247">
        <v>0</v>
      </c>
      <c r="H40" s="247">
        <v>0</v>
      </c>
      <c r="I40" s="247">
        <v>0</v>
      </c>
      <c r="J40" s="247">
        <v>0</v>
      </c>
      <c r="K40" s="247">
        <v>0</v>
      </c>
      <c r="L40" s="247">
        <v>0</v>
      </c>
      <c r="M40" s="247">
        <v>0</v>
      </c>
      <c r="N40" s="247">
        <v>0</v>
      </c>
      <c r="O40" s="247">
        <v>0</v>
      </c>
      <c r="P40" s="247">
        <v>0</v>
      </c>
      <c r="Q40" s="247">
        <v>0</v>
      </c>
      <c r="R40" s="247">
        <v>0</v>
      </c>
      <c r="S40" s="247">
        <v>0</v>
      </c>
      <c r="T40" s="247">
        <v>0</v>
      </c>
      <c r="U40" s="247">
        <v>0</v>
      </c>
      <c r="V40" s="247">
        <v>0</v>
      </c>
      <c r="W40" s="247">
        <v>0</v>
      </c>
      <c r="X40" s="247">
        <v>0</v>
      </c>
      <c r="Y40" s="247">
        <v>0</v>
      </c>
      <c r="Z40" s="247">
        <v>0</v>
      </c>
      <c r="AA40" s="247">
        <v>0</v>
      </c>
      <c r="AB40" s="247">
        <v>3500</v>
      </c>
      <c r="AC40" s="247">
        <v>0</v>
      </c>
      <c r="AD40" s="247">
        <v>0</v>
      </c>
      <c r="AE40" s="248">
        <v>0</v>
      </c>
      <c r="AF40" s="248">
        <v>0</v>
      </c>
      <c r="AG40" s="248">
        <v>350</v>
      </c>
      <c r="AH40" s="248">
        <v>0</v>
      </c>
      <c r="AI40" s="250">
        <f t="shared" si="0"/>
        <v>3850</v>
      </c>
    </row>
    <row r="41" spans="1:35" x14ac:dyDescent="0.35">
      <c r="A41" s="5" t="s">
        <v>2396</v>
      </c>
      <c r="B41" s="250">
        <v>0</v>
      </c>
      <c r="C41" s="250">
        <v>0</v>
      </c>
      <c r="D41" s="250">
        <v>0</v>
      </c>
      <c r="E41" s="250">
        <v>0</v>
      </c>
      <c r="F41" s="250">
        <v>0</v>
      </c>
      <c r="G41" s="250">
        <v>0</v>
      </c>
      <c r="H41" s="250">
        <v>0</v>
      </c>
      <c r="I41" s="250">
        <v>0</v>
      </c>
      <c r="J41" s="250">
        <v>0</v>
      </c>
      <c r="K41" s="250">
        <v>0</v>
      </c>
      <c r="L41" s="250">
        <v>0</v>
      </c>
      <c r="M41" s="250">
        <v>0</v>
      </c>
      <c r="N41" s="250">
        <v>0</v>
      </c>
      <c r="O41" s="250">
        <v>0</v>
      </c>
      <c r="P41" s="250">
        <v>0</v>
      </c>
      <c r="Q41" s="250">
        <v>0</v>
      </c>
      <c r="R41" s="250">
        <v>0</v>
      </c>
      <c r="S41" s="250">
        <v>0</v>
      </c>
      <c r="T41" s="250">
        <v>0</v>
      </c>
      <c r="U41" s="250">
        <v>0</v>
      </c>
      <c r="V41" s="250">
        <v>0</v>
      </c>
      <c r="W41" s="250">
        <v>0</v>
      </c>
      <c r="X41" s="250">
        <v>0</v>
      </c>
      <c r="Y41" s="250">
        <v>0</v>
      </c>
      <c r="Z41" s="250">
        <v>0</v>
      </c>
      <c r="AA41" s="250">
        <v>0</v>
      </c>
      <c r="AB41" s="250">
        <v>3500</v>
      </c>
      <c r="AC41" s="250">
        <v>0</v>
      </c>
      <c r="AD41" s="250">
        <v>0</v>
      </c>
      <c r="AE41" s="251">
        <v>0</v>
      </c>
      <c r="AF41" s="251">
        <v>0</v>
      </c>
      <c r="AG41" s="251">
        <v>350</v>
      </c>
      <c r="AH41" s="251">
        <v>0</v>
      </c>
      <c r="AI41" s="250">
        <f t="shared" si="0"/>
        <v>3850</v>
      </c>
    </row>
    <row r="42" spans="1:35" x14ac:dyDescent="0.35">
      <c r="A42" s="246" t="s">
        <v>479</v>
      </c>
      <c r="B42" s="247">
        <v>0</v>
      </c>
      <c r="C42" s="247">
        <v>0</v>
      </c>
      <c r="D42" s="247">
        <v>0</v>
      </c>
      <c r="E42" s="247">
        <v>0</v>
      </c>
      <c r="F42" s="247">
        <v>0</v>
      </c>
      <c r="G42" s="247">
        <v>500</v>
      </c>
      <c r="H42" s="247">
        <v>0</v>
      </c>
      <c r="I42" s="247">
        <v>0</v>
      </c>
      <c r="J42" s="247">
        <v>0</v>
      </c>
      <c r="K42" s="247">
        <v>0</v>
      </c>
      <c r="L42" s="247">
        <v>0</v>
      </c>
      <c r="M42" s="247">
        <v>0</v>
      </c>
      <c r="N42" s="247">
        <v>0</v>
      </c>
      <c r="O42" s="247">
        <v>0</v>
      </c>
      <c r="P42" s="247">
        <v>0</v>
      </c>
      <c r="Q42" s="247">
        <v>0</v>
      </c>
      <c r="R42" s="247">
        <v>0</v>
      </c>
      <c r="S42" s="247">
        <v>0</v>
      </c>
      <c r="T42" s="247">
        <v>1000</v>
      </c>
      <c r="U42" s="247">
        <v>0</v>
      </c>
      <c r="V42" s="247">
        <v>0</v>
      </c>
      <c r="W42" s="247">
        <v>0</v>
      </c>
      <c r="X42" s="247">
        <v>0</v>
      </c>
      <c r="Y42" s="247">
        <v>1000</v>
      </c>
      <c r="Z42" s="247">
        <v>0</v>
      </c>
      <c r="AA42" s="247">
        <v>450</v>
      </c>
      <c r="AB42" s="247">
        <v>0</v>
      </c>
      <c r="AC42" s="247">
        <v>0</v>
      </c>
      <c r="AD42" s="247">
        <v>0</v>
      </c>
      <c r="AE42" s="248">
        <v>0</v>
      </c>
      <c r="AF42" s="248">
        <v>0</v>
      </c>
      <c r="AG42" s="248">
        <v>860</v>
      </c>
      <c r="AH42" s="248">
        <v>0</v>
      </c>
      <c r="AI42" s="247">
        <f t="shared" si="0"/>
        <v>3810</v>
      </c>
    </row>
    <row r="43" spans="1:35" x14ac:dyDescent="0.35">
      <c r="A43" s="5" t="s">
        <v>2382</v>
      </c>
      <c r="B43" s="250">
        <v>0</v>
      </c>
      <c r="C43" s="250">
        <v>0</v>
      </c>
      <c r="D43" s="250">
        <v>0</v>
      </c>
      <c r="E43" s="250">
        <v>0</v>
      </c>
      <c r="F43" s="250">
        <v>0</v>
      </c>
      <c r="G43" s="250">
        <v>0</v>
      </c>
      <c r="H43" s="250">
        <v>0</v>
      </c>
      <c r="I43" s="250">
        <v>0</v>
      </c>
      <c r="J43" s="250">
        <v>0</v>
      </c>
      <c r="K43" s="250">
        <v>0</v>
      </c>
      <c r="L43" s="250">
        <v>0</v>
      </c>
      <c r="M43" s="250">
        <v>0</v>
      </c>
      <c r="N43" s="250">
        <v>0</v>
      </c>
      <c r="O43" s="250">
        <v>0</v>
      </c>
      <c r="P43" s="250">
        <v>0</v>
      </c>
      <c r="Q43" s="250">
        <v>0</v>
      </c>
      <c r="R43" s="250">
        <v>0</v>
      </c>
      <c r="S43" s="250">
        <v>0</v>
      </c>
      <c r="T43" s="250">
        <v>0</v>
      </c>
      <c r="U43" s="250">
        <v>0</v>
      </c>
      <c r="V43" s="250">
        <v>0</v>
      </c>
      <c r="W43" s="250">
        <v>0</v>
      </c>
      <c r="X43" s="250">
        <v>0</v>
      </c>
      <c r="Y43" s="250">
        <v>0</v>
      </c>
      <c r="Z43" s="250">
        <v>0</v>
      </c>
      <c r="AA43" s="250">
        <v>0</v>
      </c>
      <c r="AB43" s="250">
        <v>3500</v>
      </c>
      <c r="AC43" s="250">
        <v>0</v>
      </c>
      <c r="AD43" s="250">
        <v>0</v>
      </c>
      <c r="AE43" s="251">
        <v>0</v>
      </c>
      <c r="AF43" s="251">
        <v>0</v>
      </c>
      <c r="AG43" s="251">
        <v>300</v>
      </c>
      <c r="AH43" s="251">
        <v>0</v>
      </c>
      <c r="AI43" s="250">
        <f t="shared" si="0"/>
        <v>3800</v>
      </c>
    </row>
    <row r="44" spans="1:35" x14ac:dyDescent="0.35">
      <c r="A44" s="5" t="s">
        <v>472</v>
      </c>
      <c r="B44" s="250">
        <v>0</v>
      </c>
      <c r="C44" s="250">
        <v>0</v>
      </c>
      <c r="D44" s="250">
        <v>0</v>
      </c>
      <c r="E44" s="250">
        <v>0</v>
      </c>
      <c r="F44" s="250">
        <v>0</v>
      </c>
      <c r="G44" s="250">
        <v>0</v>
      </c>
      <c r="H44" s="250">
        <v>0</v>
      </c>
      <c r="I44" s="250">
        <v>0</v>
      </c>
      <c r="J44" s="250">
        <v>0</v>
      </c>
      <c r="K44" s="250">
        <v>1495</v>
      </c>
      <c r="L44" s="250">
        <v>0</v>
      </c>
      <c r="M44" s="250">
        <v>0</v>
      </c>
      <c r="N44" s="250">
        <v>0</v>
      </c>
      <c r="O44" s="250">
        <v>0</v>
      </c>
      <c r="P44" s="250">
        <v>0</v>
      </c>
      <c r="Q44" s="250">
        <v>1000</v>
      </c>
      <c r="R44" s="250">
        <v>0</v>
      </c>
      <c r="S44" s="250">
        <v>0</v>
      </c>
      <c r="T44" s="250">
        <v>0</v>
      </c>
      <c r="U44" s="250">
        <v>0</v>
      </c>
      <c r="V44" s="250">
        <v>0</v>
      </c>
      <c r="W44" s="250">
        <v>0</v>
      </c>
      <c r="X44" s="250">
        <v>0</v>
      </c>
      <c r="Y44" s="250">
        <v>0</v>
      </c>
      <c r="Z44" s="250">
        <v>0</v>
      </c>
      <c r="AA44" s="250">
        <v>0</v>
      </c>
      <c r="AB44" s="250">
        <v>0</v>
      </c>
      <c r="AC44" s="250">
        <v>0</v>
      </c>
      <c r="AD44" s="250">
        <v>0</v>
      </c>
      <c r="AE44" s="251">
        <v>0</v>
      </c>
      <c r="AF44" s="251">
        <v>0</v>
      </c>
      <c r="AG44" s="251">
        <v>1200</v>
      </c>
      <c r="AH44" s="251">
        <v>0</v>
      </c>
      <c r="AI44" s="250">
        <f t="shared" si="0"/>
        <v>3695</v>
      </c>
    </row>
    <row r="45" spans="1:35" x14ac:dyDescent="0.35">
      <c r="A45" s="5" t="s">
        <v>1454</v>
      </c>
      <c r="B45" s="250">
        <v>0</v>
      </c>
      <c r="C45" s="250">
        <v>0</v>
      </c>
      <c r="D45" s="250">
        <v>0</v>
      </c>
      <c r="E45" s="250">
        <v>0</v>
      </c>
      <c r="F45" s="250">
        <v>0</v>
      </c>
      <c r="G45" s="250">
        <v>0</v>
      </c>
      <c r="H45" s="250">
        <v>0</v>
      </c>
      <c r="I45" s="250">
        <v>0</v>
      </c>
      <c r="J45" s="250">
        <v>0</v>
      </c>
      <c r="K45" s="250">
        <v>0</v>
      </c>
      <c r="L45" s="250">
        <v>2500</v>
      </c>
      <c r="M45" s="250">
        <v>0</v>
      </c>
      <c r="N45" s="250">
        <v>0</v>
      </c>
      <c r="O45" s="250">
        <v>0</v>
      </c>
      <c r="P45" s="250">
        <v>0</v>
      </c>
      <c r="Q45" s="250">
        <v>0</v>
      </c>
      <c r="R45" s="250">
        <v>0</v>
      </c>
      <c r="S45" s="250">
        <v>0</v>
      </c>
      <c r="T45" s="250">
        <v>0</v>
      </c>
      <c r="U45" s="250">
        <v>0</v>
      </c>
      <c r="V45" s="250">
        <v>0</v>
      </c>
      <c r="W45" s="250">
        <v>0</v>
      </c>
      <c r="X45" s="250">
        <v>0</v>
      </c>
      <c r="Y45" s="250">
        <v>0</v>
      </c>
      <c r="Z45" s="250">
        <v>0</v>
      </c>
      <c r="AA45" s="250">
        <v>0</v>
      </c>
      <c r="AB45" s="250">
        <v>0</v>
      </c>
      <c r="AC45" s="250">
        <v>0</v>
      </c>
      <c r="AD45" s="250">
        <v>0</v>
      </c>
      <c r="AE45" s="251">
        <v>0</v>
      </c>
      <c r="AF45" s="251">
        <v>0</v>
      </c>
      <c r="AG45" s="251">
        <v>1150</v>
      </c>
      <c r="AH45" s="251">
        <v>0</v>
      </c>
      <c r="AI45" s="250">
        <f t="shared" si="0"/>
        <v>3650</v>
      </c>
    </row>
    <row r="46" spans="1:35" x14ac:dyDescent="0.35">
      <c r="A46" s="5" t="s">
        <v>1597</v>
      </c>
      <c r="B46" s="250">
        <v>0</v>
      </c>
      <c r="C46" s="250">
        <v>0</v>
      </c>
      <c r="D46" s="250">
        <v>0</v>
      </c>
      <c r="E46" s="250">
        <v>0</v>
      </c>
      <c r="F46" s="250">
        <v>0</v>
      </c>
      <c r="G46" s="250">
        <v>0</v>
      </c>
      <c r="H46" s="250">
        <v>0</v>
      </c>
      <c r="I46" s="250">
        <v>0</v>
      </c>
      <c r="J46" s="250">
        <v>0</v>
      </c>
      <c r="K46" s="250">
        <v>0</v>
      </c>
      <c r="L46" s="250">
        <v>0</v>
      </c>
      <c r="M46" s="250">
        <v>0</v>
      </c>
      <c r="N46" s="250">
        <v>0</v>
      </c>
      <c r="O46" s="250">
        <v>0</v>
      </c>
      <c r="P46" s="250">
        <v>0</v>
      </c>
      <c r="Q46" s="250">
        <v>2500</v>
      </c>
      <c r="R46" s="250">
        <v>0</v>
      </c>
      <c r="S46" s="250">
        <v>0</v>
      </c>
      <c r="T46" s="250">
        <v>0</v>
      </c>
      <c r="U46" s="250">
        <v>0</v>
      </c>
      <c r="V46" s="250">
        <v>0</v>
      </c>
      <c r="W46" s="250">
        <v>0</v>
      </c>
      <c r="X46" s="250">
        <v>0</v>
      </c>
      <c r="Y46" s="250">
        <v>0</v>
      </c>
      <c r="Z46" s="250">
        <v>0</v>
      </c>
      <c r="AA46" s="250">
        <v>0</v>
      </c>
      <c r="AB46" s="250">
        <v>0</v>
      </c>
      <c r="AC46" s="250">
        <v>0</v>
      </c>
      <c r="AD46" s="250">
        <v>0</v>
      </c>
      <c r="AE46" s="251">
        <v>0</v>
      </c>
      <c r="AF46" s="251">
        <v>0</v>
      </c>
      <c r="AG46" s="251">
        <v>1150</v>
      </c>
      <c r="AH46" s="251">
        <v>0</v>
      </c>
      <c r="AI46" s="250">
        <f t="shared" si="0"/>
        <v>3650</v>
      </c>
    </row>
    <row r="47" spans="1:35" x14ac:dyDescent="0.35">
      <c r="A47" s="5" t="s">
        <v>526</v>
      </c>
      <c r="B47" s="250">
        <v>0</v>
      </c>
      <c r="C47" s="250">
        <v>0</v>
      </c>
      <c r="D47" s="250">
        <v>600</v>
      </c>
      <c r="E47" s="250">
        <v>0</v>
      </c>
      <c r="F47" s="250">
        <v>600</v>
      </c>
      <c r="G47" s="250">
        <v>750</v>
      </c>
      <c r="H47" s="250">
        <v>80</v>
      </c>
      <c r="I47" s="250">
        <v>0</v>
      </c>
      <c r="J47" s="250">
        <v>0</v>
      </c>
      <c r="K47" s="250">
        <v>0</v>
      </c>
      <c r="L47" s="250">
        <v>0</v>
      </c>
      <c r="M47" s="250">
        <v>0</v>
      </c>
      <c r="N47" s="250">
        <v>0</v>
      </c>
      <c r="O47" s="250">
        <v>0</v>
      </c>
      <c r="P47" s="250">
        <v>0</v>
      </c>
      <c r="Q47" s="250">
        <v>0</v>
      </c>
      <c r="R47" s="250">
        <v>0</v>
      </c>
      <c r="S47" s="250">
        <v>0</v>
      </c>
      <c r="T47" s="250">
        <v>0</v>
      </c>
      <c r="U47" s="250">
        <v>0</v>
      </c>
      <c r="V47" s="250">
        <v>500</v>
      </c>
      <c r="W47" s="250">
        <v>0</v>
      </c>
      <c r="X47" s="250">
        <v>0</v>
      </c>
      <c r="Y47" s="250">
        <v>0</v>
      </c>
      <c r="Z47" s="250">
        <v>0</v>
      </c>
      <c r="AA47" s="250">
        <v>650</v>
      </c>
      <c r="AB47" s="250">
        <v>0</v>
      </c>
      <c r="AC47" s="250">
        <v>0</v>
      </c>
      <c r="AD47" s="250">
        <v>0</v>
      </c>
      <c r="AE47" s="251">
        <v>0</v>
      </c>
      <c r="AF47" s="251">
        <v>0</v>
      </c>
      <c r="AG47" s="251">
        <v>350</v>
      </c>
      <c r="AH47" s="251">
        <v>0</v>
      </c>
      <c r="AI47" s="250">
        <f t="shared" si="0"/>
        <v>3530</v>
      </c>
    </row>
    <row r="48" spans="1:35" x14ac:dyDescent="0.35">
      <c r="A48" s="246" t="s">
        <v>2389</v>
      </c>
      <c r="B48" s="247">
        <v>0</v>
      </c>
      <c r="C48" s="247">
        <v>0</v>
      </c>
      <c r="D48" s="247">
        <v>0</v>
      </c>
      <c r="E48" s="247">
        <v>0</v>
      </c>
      <c r="F48" s="247">
        <v>0</v>
      </c>
      <c r="G48" s="247">
        <v>0</v>
      </c>
      <c r="H48" s="247">
        <v>0</v>
      </c>
      <c r="I48" s="247">
        <v>0</v>
      </c>
      <c r="J48" s="247">
        <v>0</v>
      </c>
      <c r="K48" s="247">
        <v>0</v>
      </c>
      <c r="L48" s="247">
        <v>0</v>
      </c>
      <c r="M48" s="247">
        <v>0</v>
      </c>
      <c r="N48" s="247">
        <v>0</v>
      </c>
      <c r="O48" s="247">
        <v>0</v>
      </c>
      <c r="P48" s="247">
        <v>0</v>
      </c>
      <c r="Q48" s="247">
        <v>0</v>
      </c>
      <c r="R48" s="247">
        <v>0</v>
      </c>
      <c r="S48" s="247">
        <v>0</v>
      </c>
      <c r="T48" s="247">
        <v>0</v>
      </c>
      <c r="U48" s="247">
        <v>0</v>
      </c>
      <c r="V48" s="247">
        <v>0</v>
      </c>
      <c r="W48" s="247">
        <v>0</v>
      </c>
      <c r="X48" s="247">
        <v>0</v>
      </c>
      <c r="Y48" s="247">
        <v>0</v>
      </c>
      <c r="Z48" s="247">
        <v>0</v>
      </c>
      <c r="AA48" s="247">
        <v>0</v>
      </c>
      <c r="AB48" s="247">
        <v>3500</v>
      </c>
      <c r="AC48" s="247">
        <v>0</v>
      </c>
      <c r="AD48" s="247">
        <v>0</v>
      </c>
      <c r="AE48" s="248">
        <v>0</v>
      </c>
      <c r="AF48" s="248">
        <v>0</v>
      </c>
      <c r="AG48" s="248">
        <v>0</v>
      </c>
      <c r="AH48" s="248">
        <v>0</v>
      </c>
      <c r="AI48" s="247">
        <f t="shared" si="0"/>
        <v>3500</v>
      </c>
    </row>
    <row r="49" spans="1:35" x14ac:dyDescent="0.35">
      <c r="A49" s="5" t="s">
        <v>2411</v>
      </c>
      <c r="B49" s="250">
        <v>0</v>
      </c>
      <c r="C49" s="250">
        <v>0</v>
      </c>
      <c r="D49" s="250">
        <v>0</v>
      </c>
      <c r="E49" s="250">
        <v>0</v>
      </c>
      <c r="F49" s="250">
        <v>0</v>
      </c>
      <c r="G49" s="250">
        <v>0</v>
      </c>
      <c r="H49" s="250">
        <v>0</v>
      </c>
      <c r="I49" s="250">
        <v>0</v>
      </c>
      <c r="J49" s="250">
        <v>0</v>
      </c>
      <c r="K49" s="250">
        <v>0</v>
      </c>
      <c r="L49" s="250">
        <v>0</v>
      </c>
      <c r="M49" s="250">
        <v>0</v>
      </c>
      <c r="N49" s="250">
        <v>0</v>
      </c>
      <c r="O49" s="250">
        <v>0</v>
      </c>
      <c r="P49" s="250">
        <v>0</v>
      </c>
      <c r="Q49" s="250">
        <v>0</v>
      </c>
      <c r="R49" s="250">
        <v>0</v>
      </c>
      <c r="S49" s="250">
        <v>0</v>
      </c>
      <c r="T49" s="250">
        <v>0</v>
      </c>
      <c r="U49" s="250">
        <v>0</v>
      </c>
      <c r="V49" s="250">
        <v>0</v>
      </c>
      <c r="W49" s="250">
        <v>0</v>
      </c>
      <c r="X49" s="250">
        <v>0</v>
      </c>
      <c r="Y49" s="250">
        <v>0</v>
      </c>
      <c r="Z49" s="250">
        <v>0</v>
      </c>
      <c r="AA49" s="250">
        <v>0</v>
      </c>
      <c r="AB49" s="250">
        <v>3500</v>
      </c>
      <c r="AC49" s="250">
        <v>0</v>
      </c>
      <c r="AD49" s="250">
        <v>0</v>
      </c>
      <c r="AE49" s="251">
        <v>0</v>
      </c>
      <c r="AF49" s="251">
        <v>0</v>
      </c>
      <c r="AG49" s="251">
        <v>0</v>
      </c>
      <c r="AH49" s="251">
        <v>0</v>
      </c>
      <c r="AI49" s="250">
        <f t="shared" si="0"/>
        <v>3500</v>
      </c>
    </row>
    <row r="50" spans="1:35" x14ac:dyDescent="0.35">
      <c r="A50" s="5" t="s">
        <v>544</v>
      </c>
      <c r="B50" s="250">
        <v>0</v>
      </c>
      <c r="C50" s="250">
        <v>0</v>
      </c>
      <c r="D50" s="250">
        <v>1000</v>
      </c>
      <c r="E50" s="250">
        <v>0</v>
      </c>
      <c r="F50" s="250">
        <v>0</v>
      </c>
      <c r="G50" s="250">
        <v>0</v>
      </c>
      <c r="H50" s="250">
        <v>0</v>
      </c>
      <c r="I50" s="250">
        <v>0</v>
      </c>
      <c r="J50" s="250">
        <v>0</v>
      </c>
      <c r="K50" s="250">
        <v>0</v>
      </c>
      <c r="L50" s="250">
        <v>0</v>
      </c>
      <c r="M50" s="250">
        <v>0</v>
      </c>
      <c r="N50" s="250">
        <v>0</v>
      </c>
      <c r="O50" s="250">
        <v>0</v>
      </c>
      <c r="P50" s="250">
        <v>0</v>
      </c>
      <c r="Q50" s="250">
        <v>0</v>
      </c>
      <c r="R50" s="250">
        <v>0</v>
      </c>
      <c r="S50" s="250">
        <v>0</v>
      </c>
      <c r="T50" s="250">
        <v>1000</v>
      </c>
      <c r="U50" s="250">
        <v>0</v>
      </c>
      <c r="V50" s="250">
        <v>0</v>
      </c>
      <c r="W50" s="250">
        <v>0</v>
      </c>
      <c r="X50" s="250">
        <v>0</v>
      </c>
      <c r="Y50" s="247">
        <v>1000</v>
      </c>
      <c r="Z50" s="250">
        <v>0</v>
      </c>
      <c r="AA50" s="250">
        <v>0</v>
      </c>
      <c r="AB50" s="250">
        <v>0</v>
      </c>
      <c r="AC50" s="250">
        <v>0</v>
      </c>
      <c r="AD50" s="250">
        <v>0</v>
      </c>
      <c r="AE50" s="251">
        <v>0</v>
      </c>
      <c r="AF50" s="251">
        <v>0</v>
      </c>
      <c r="AG50" s="251">
        <v>0</v>
      </c>
      <c r="AH50" s="251">
        <v>500</v>
      </c>
      <c r="AI50" s="250">
        <f t="shared" si="0"/>
        <v>3500</v>
      </c>
    </row>
    <row r="51" spans="1:35" x14ac:dyDescent="0.35">
      <c r="A51" s="5" t="s">
        <v>2403</v>
      </c>
      <c r="B51" s="250">
        <v>0</v>
      </c>
      <c r="C51" s="250">
        <v>0</v>
      </c>
      <c r="D51" s="250">
        <v>0</v>
      </c>
      <c r="E51" s="250">
        <v>0</v>
      </c>
      <c r="F51" s="250">
        <v>0</v>
      </c>
      <c r="G51" s="250">
        <v>0</v>
      </c>
      <c r="H51" s="250">
        <v>0</v>
      </c>
      <c r="I51" s="250">
        <v>0</v>
      </c>
      <c r="J51" s="250">
        <v>0</v>
      </c>
      <c r="K51" s="250">
        <v>0</v>
      </c>
      <c r="L51" s="250">
        <v>0</v>
      </c>
      <c r="M51" s="250">
        <v>0</v>
      </c>
      <c r="N51" s="250">
        <v>0</v>
      </c>
      <c r="O51" s="250">
        <v>0</v>
      </c>
      <c r="P51" s="250">
        <v>0</v>
      </c>
      <c r="Q51" s="250">
        <v>0</v>
      </c>
      <c r="R51" s="250">
        <v>0</v>
      </c>
      <c r="S51" s="250">
        <v>0</v>
      </c>
      <c r="T51" s="250">
        <v>0</v>
      </c>
      <c r="U51" s="250">
        <v>0</v>
      </c>
      <c r="V51" s="250">
        <v>0</v>
      </c>
      <c r="W51" s="250">
        <v>0</v>
      </c>
      <c r="X51" s="250">
        <v>0</v>
      </c>
      <c r="Y51" s="250">
        <v>0</v>
      </c>
      <c r="Z51" s="250">
        <v>0</v>
      </c>
      <c r="AA51" s="250">
        <v>0</v>
      </c>
      <c r="AB51" s="250">
        <v>3500</v>
      </c>
      <c r="AC51" s="250">
        <v>0</v>
      </c>
      <c r="AD51" s="250">
        <v>0</v>
      </c>
      <c r="AE51" s="251">
        <v>0</v>
      </c>
      <c r="AF51" s="251">
        <v>0</v>
      </c>
      <c r="AG51" s="251">
        <v>0</v>
      </c>
      <c r="AH51" s="251">
        <v>0</v>
      </c>
      <c r="AI51" s="250">
        <f t="shared" si="0"/>
        <v>3500</v>
      </c>
    </row>
    <row r="52" spans="1:35" x14ac:dyDescent="0.35">
      <c r="A52" s="5" t="s">
        <v>2415</v>
      </c>
      <c r="B52" s="250">
        <v>0</v>
      </c>
      <c r="C52" s="250">
        <v>0</v>
      </c>
      <c r="D52" s="250">
        <v>0</v>
      </c>
      <c r="E52" s="250">
        <v>0</v>
      </c>
      <c r="F52" s="250">
        <v>0</v>
      </c>
      <c r="G52" s="250">
        <v>0</v>
      </c>
      <c r="H52" s="250">
        <v>0</v>
      </c>
      <c r="I52" s="250">
        <v>0</v>
      </c>
      <c r="J52" s="250">
        <v>0</v>
      </c>
      <c r="K52" s="250">
        <v>0</v>
      </c>
      <c r="L52" s="250">
        <v>0</v>
      </c>
      <c r="M52" s="250">
        <v>0</v>
      </c>
      <c r="N52" s="250">
        <v>0</v>
      </c>
      <c r="O52" s="250">
        <v>0</v>
      </c>
      <c r="P52" s="250">
        <v>0</v>
      </c>
      <c r="Q52" s="250">
        <v>0</v>
      </c>
      <c r="R52" s="250">
        <v>0</v>
      </c>
      <c r="S52" s="250">
        <v>0</v>
      </c>
      <c r="T52" s="250">
        <v>0</v>
      </c>
      <c r="U52" s="250">
        <v>0</v>
      </c>
      <c r="V52" s="250">
        <v>0</v>
      </c>
      <c r="W52" s="250">
        <v>0</v>
      </c>
      <c r="X52" s="250">
        <v>0</v>
      </c>
      <c r="Y52" s="250">
        <v>0</v>
      </c>
      <c r="Z52" s="250">
        <v>0</v>
      </c>
      <c r="AA52" s="250">
        <v>0</v>
      </c>
      <c r="AB52" s="250">
        <v>3500</v>
      </c>
      <c r="AC52" s="250">
        <v>0</v>
      </c>
      <c r="AD52" s="250">
        <v>0</v>
      </c>
      <c r="AE52" s="251">
        <v>0</v>
      </c>
      <c r="AF52" s="251">
        <v>0</v>
      </c>
      <c r="AG52" s="251">
        <v>0</v>
      </c>
      <c r="AH52" s="251">
        <v>0</v>
      </c>
      <c r="AI52" s="250">
        <f t="shared" si="0"/>
        <v>3500</v>
      </c>
    </row>
    <row r="53" spans="1:35" x14ac:dyDescent="0.35">
      <c r="A53" s="5" t="s">
        <v>1210</v>
      </c>
      <c r="B53" s="250">
        <v>0</v>
      </c>
      <c r="C53" s="250">
        <v>0</v>
      </c>
      <c r="D53" s="250">
        <v>0</v>
      </c>
      <c r="E53" s="250">
        <v>0</v>
      </c>
      <c r="F53" s="250">
        <v>0</v>
      </c>
      <c r="G53" s="250">
        <v>0</v>
      </c>
      <c r="H53" s="250">
        <v>0</v>
      </c>
      <c r="I53" s="250">
        <v>0</v>
      </c>
      <c r="J53" s="250">
        <v>0</v>
      </c>
      <c r="K53" s="250">
        <v>0</v>
      </c>
      <c r="L53" s="250">
        <v>0</v>
      </c>
      <c r="M53" s="250">
        <v>0</v>
      </c>
      <c r="N53" s="250">
        <v>0</v>
      </c>
      <c r="O53" s="250">
        <v>0</v>
      </c>
      <c r="P53" s="250">
        <v>0</v>
      </c>
      <c r="Q53" s="250">
        <v>0</v>
      </c>
      <c r="R53" s="250">
        <v>0</v>
      </c>
      <c r="S53" s="250">
        <v>0</v>
      </c>
      <c r="T53" s="250">
        <v>0</v>
      </c>
      <c r="U53" s="250">
        <v>0</v>
      </c>
      <c r="V53" s="250">
        <v>0</v>
      </c>
      <c r="W53" s="250">
        <v>0</v>
      </c>
      <c r="X53" s="250">
        <v>0</v>
      </c>
      <c r="Y53" s="250">
        <v>0</v>
      </c>
      <c r="Z53" s="250">
        <v>0</v>
      </c>
      <c r="AA53" s="250">
        <v>0</v>
      </c>
      <c r="AB53" s="250">
        <v>0</v>
      </c>
      <c r="AC53" s="250">
        <v>0</v>
      </c>
      <c r="AD53" s="250">
        <v>0</v>
      </c>
      <c r="AE53" s="251">
        <v>0</v>
      </c>
      <c r="AF53" s="251">
        <v>3000</v>
      </c>
      <c r="AG53" s="251">
        <v>480</v>
      </c>
      <c r="AH53" s="251">
        <v>0</v>
      </c>
      <c r="AI53" s="250">
        <f t="shared" si="0"/>
        <v>3480</v>
      </c>
    </row>
    <row r="54" spans="1:35" x14ac:dyDescent="0.35">
      <c r="A54" s="5" t="s">
        <v>747</v>
      </c>
      <c r="B54" s="250">
        <v>0</v>
      </c>
      <c r="C54" s="250">
        <v>0</v>
      </c>
      <c r="D54" s="250">
        <v>350</v>
      </c>
      <c r="E54" s="250">
        <v>0</v>
      </c>
      <c r="F54" s="250">
        <v>0</v>
      </c>
      <c r="G54" s="250">
        <v>2000</v>
      </c>
      <c r="H54" s="250">
        <v>0</v>
      </c>
      <c r="I54" s="250">
        <v>0</v>
      </c>
      <c r="J54" s="250">
        <v>0</v>
      </c>
      <c r="K54" s="250">
        <v>0</v>
      </c>
      <c r="L54" s="250">
        <v>0</v>
      </c>
      <c r="M54" s="250">
        <v>0</v>
      </c>
      <c r="N54" s="250">
        <v>0</v>
      </c>
      <c r="O54" s="250">
        <v>0</v>
      </c>
      <c r="P54" s="250">
        <v>0</v>
      </c>
      <c r="Q54" s="250">
        <v>0</v>
      </c>
      <c r="R54" s="250">
        <v>0</v>
      </c>
      <c r="S54" s="250">
        <v>0</v>
      </c>
      <c r="T54" s="250">
        <v>0</v>
      </c>
      <c r="U54" s="250">
        <v>0</v>
      </c>
      <c r="V54" s="250">
        <v>0</v>
      </c>
      <c r="W54" s="250">
        <v>0</v>
      </c>
      <c r="X54" s="250">
        <v>0</v>
      </c>
      <c r="Y54" s="250">
        <v>0</v>
      </c>
      <c r="Z54" s="250">
        <v>0</v>
      </c>
      <c r="AA54" s="250">
        <v>450</v>
      </c>
      <c r="AB54" s="250">
        <v>0</v>
      </c>
      <c r="AC54" s="250">
        <v>0</v>
      </c>
      <c r="AD54" s="250">
        <v>0</v>
      </c>
      <c r="AE54" s="251">
        <v>0</v>
      </c>
      <c r="AF54" s="251">
        <v>0</v>
      </c>
      <c r="AG54" s="251">
        <v>650</v>
      </c>
      <c r="AH54" s="251">
        <v>0</v>
      </c>
      <c r="AI54" s="250">
        <f t="shared" si="0"/>
        <v>3450</v>
      </c>
    </row>
    <row r="55" spans="1:35" x14ac:dyDescent="0.35">
      <c r="A55" s="5" t="s">
        <v>485</v>
      </c>
      <c r="B55" s="250">
        <v>0</v>
      </c>
      <c r="C55" s="250">
        <v>0</v>
      </c>
      <c r="D55" s="250">
        <v>1000</v>
      </c>
      <c r="E55" s="250">
        <v>0</v>
      </c>
      <c r="F55" s="250">
        <v>1000</v>
      </c>
      <c r="G55" s="250">
        <v>0</v>
      </c>
      <c r="H55" s="250">
        <v>1000</v>
      </c>
      <c r="I55" s="250">
        <v>0</v>
      </c>
      <c r="J55" s="250">
        <v>0</v>
      </c>
      <c r="K55" s="250">
        <v>0</v>
      </c>
      <c r="L55" s="250">
        <v>0</v>
      </c>
      <c r="M55" s="250">
        <v>0</v>
      </c>
      <c r="N55" s="250">
        <v>0</v>
      </c>
      <c r="O55" s="250">
        <v>0</v>
      </c>
      <c r="P55" s="250">
        <v>0</v>
      </c>
      <c r="Q55" s="250">
        <v>0</v>
      </c>
      <c r="R55" s="250">
        <v>0</v>
      </c>
      <c r="S55" s="250">
        <v>0</v>
      </c>
      <c r="T55" s="250">
        <v>0</v>
      </c>
      <c r="U55" s="250">
        <v>0</v>
      </c>
      <c r="V55" s="250">
        <v>0</v>
      </c>
      <c r="W55" s="250">
        <v>0</v>
      </c>
      <c r="X55" s="250">
        <v>0</v>
      </c>
      <c r="Y55" s="250">
        <v>0</v>
      </c>
      <c r="Z55" s="250">
        <v>0</v>
      </c>
      <c r="AA55" s="250">
        <v>0</v>
      </c>
      <c r="AB55" s="250">
        <v>0</v>
      </c>
      <c r="AC55" s="250">
        <v>0</v>
      </c>
      <c r="AD55" s="250">
        <v>0</v>
      </c>
      <c r="AE55" s="251">
        <v>0</v>
      </c>
      <c r="AF55" s="251">
        <v>0</v>
      </c>
      <c r="AG55" s="251">
        <v>350</v>
      </c>
      <c r="AH55" s="251">
        <v>0</v>
      </c>
      <c r="AI55" s="250">
        <f t="shared" si="0"/>
        <v>3350</v>
      </c>
    </row>
    <row r="56" spans="1:35" x14ac:dyDescent="0.35">
      <c r="A56" s="5" t="s">
        <v>2218</v>
      </c>
      <c r="B56" s="250">
        <v>0</v>
      </c>
      <c r="C56" s="250">
        <v>0</v>
      </c>
      <c r="D56" s="250">
        <v>0</v>
      </c>
      <c r="E56" s="250">
        <v>0</v>
      </c>
      <c r="F56" s="250">
        <v>0</v>
      </c>
      <c r="G56" s="250">
        <v>0</v>
      </c>
      <c r="H56" s="250">
        <v>0</v>
      </c>
      <c r="I56" s="250">
        <v>0</v>
      </c>
      <c r="J56" s="250">
        <v>0</v>
      </c>
      <c r="K56" s="250">
        <v>0</v>
      </c>
      <c r="L56" s="250">
        <v>0</v>
      </c>
      <c r="M56" s="250">
        <v>0</v>
      </c>
      <c r="N56" s="250">
        <v>0</v>
      </c>
      <c r="O56" s="250">
        <v>0</v>
      </c>
      <c r="P56" s="250">
        <v>0</v>
      </c>
      <c r="Q56" s="250">
        <v>0</v>
      </c>
      <c r="R56" s="250">
        <v>0</v>
      </c>
      <c r="S56" s="250">
        <v>0</v>
      </c>
      <c r="T56" s="250">
        <v>0</v>
      </c>
      <c r="U56" s="250">
        <v>0</v>
      </c>
      <c r="V56" s="250">
        <v>0</v>
      </c>
      <c r="W56" s="250">
        <v>0</v>
      </c>
      <c r="X56" s="250">
        <v>0</v>
      </c>
      <c r="Y56" s="250">
        <v>0</v>
      </c>
      <c r="Z56" s="250">
        <v>0</v>
      </c>
      <c r="AA56" s="250">
        <v>1250</v>
      </c>
      <c r="AB56" s="250">
        <v>0</v>
      </c>
      <c r="AC56" s="250">
        <v>1500</v>
      </c>
      <c r="AD56" s="250">
        <v>0</v>
      </c>
      <c r="AE56" s="251">
        <v>0</v>
      </c>
      <c r="AF56" s="251">
        <v>0</v>
      </c>
      <c r="AG56" s="251">
        <v>550</v>
      </c>
      <c r="AH56" s="251">
        <v>0</v>
      </c>
      <c r="AI56" s="250">
        <f t="shared" si="0"/>
        <v>3300</v>
      </c>
    </row>
    <row r="57" spans="1:35" x14ac:dyDescent="0.35">
      <c r="A57" s="5" t="s">
        <v>1462</v>
      </c>
      <c r="B57" s="250">
        <v>0</v>
      </c>
      <c r="C57" s="250">
        <v>0</v>
      </c>
      <c r="D57" s="250">
        <v>0</v>
      </c>
      <c r="E57" s="250">
        <v>0</v>
      </c>
      <c r="F57" s="250">
        <v>0</v>
      </c>
      <c r="G57" s="250">
        <v>0</v>
      </c>
      <c r="H57" s="250">
        <v>0</v>
      </c>
      <c r="I57" s="250">
        <v>0</v>
      </c>
      <c r="J57" s="250">
        <v>0</v>
      </c>
      <c r="K57" s="250">
        <v>0</v>
      </c>
      <c r="L57" s="250">
        <v>2500</v>
      </c>
      <c r="M57" s="250">
        <v>0</v>
      </c>
      <c r="N57" s="250">
        <v>0</v>
      </c>
      <c r="O57" s="250">
        <v>0</v>
      </c>
      <c r="P57" s="250">
        <v>0</v>
      </c>
      <c r="Q57" s="250">
        <v>0</v>
      </c>
      <c r="R57" s="250">
        <v>0</v>
      </c>
      <c r="S57" s="250">
        <v>0</v>
      </c>
      <c r="T57" s="250">
        <v>0</v>
      </c>
      <c r="U57" s="250">
        <v>0</v>
      </c>
      <c r="V57" s="250">
        <v>0</v>
      </c>
      <c r="W57" s="250">
        <v>0</v>
      </c>
      <c r="X57" s="250">
        <v>0</v>
      </c>
      <c r="Y57" s="250">
        <v>0</v>
      </c>
      <c r="Z57" s="250">
        <v>0</v>
      </c>
      <c r="AA57" s="250">
        <v>0</v>
      </c>
      <c r="AB57" s="250">
        <v>0</v>
      </c>
      <c r="AC57" s="250">
        <v>0</v>
      </c>
      <c r="AD57" s="250">
        <v>0</v>
      </c>
      <c r="AE57" s="251">
        <v>0</v>
      </c>
      <c r="AF57" s="251">
        <v>0</v>
      </c>
      <c r="AG57" s="251">
        <v>775</v>
      </c>
      <c r="AH57" s="251">
        <v>0</v>
      </c>
      <c r="AI57" s="250">
        <f t="shared" si="0"/>
        <v>3275</v>
      </c>
    </row>
    <row r="58" spans="1:35" x14ac:dyDescent="0.35">
      <c r="A58" s="5" t="s">
        <v>378</v>
      </c>
      <c r="B58" s="250">
        <v>0</v>
      </c>
      <c r="C58" s="250">
        <v>1500</v>
      </c>
      <c r="D58" s="250">
        <v>0</v>
      </c>
      <c r="E58" s="250">
        <v>0</v>
      </c>
      <c r="F58" s="250">
        <v>1000</v>
      </c>
      <c r="G58" s="250">
        <v>0</v>
      </c>
      <c r="H58" s="250">
        <v>0</v>
      </c>
      <c r="I58" s="250">
        <v>120</v>
      </c>
      <c r="J58" s="250">
        <v>120</v>
      </c>
      <c r="K58" s="250">
        <v>0</v>
      </c>
      <c r="L58" s="250">
        <v>0</v>
      </c>
      <c r="M58" s="250">
        <v>0</v>
      </c>
      <c r="N58" s="250">
        <v>0</v>
      </c>
      <c r="O58" s="250">
        <v>0</v>
      </c>
      <c r="P58" s="250">
        <v>0</v>
      </c>
      <c r="Q58" s="250">
        <v>0</v>
      </c>
      <c r="R58" s="250">
        <v>0</v>
      </c>
      <c r="S58" s="250">
        <v>0</v>
      </c>
      <c r="T58" s="250">
        <v>0</v>
      </c>
      <c r="U58" s="250">
        <v>0</v>
      </c>
      <c r="V58" s="250">
        <v>0</v>
      </c>
      <c r="W58" s="250">
        <v>0</v>
      </c>
      <c r="X58" s="250">
        <v>0</v>
      </c>
      <c r="Y58" s="250">
        <v>0</v>
      </c>
      <c r="Z58" s="250">
        <v>0</v>
      </c>
      <c r="AA58" s="250">
        <v>0</v>
      </c>
      <c r="AB58" s="250">
        <v>0</v>
      </c>
      <c r="AC58" s="250">
        <v>0</v>
      </c>
      <c r="AD58" s="250">
        <v>0</v>
      </c>
      <c r="AE58" s="251">
        <v>0</v>
      </c>
      <c r="AF58" s="251">
        <v>0</v>
      </c>
      <c r="AG58" s="251">
        <v>0</v>
      </c>
      <c r="AH58" s="251">
        <v>500</v>
      </c>
      <c r="AI58" s="250">
        <f t="shared" si="0"/>
        <v>3240</v>
      </c>
    </row>
    <row r="59" spans="1:35" x14ac:dyDescent="0.35">
      <c r="A59" s="5" t="s">
        <v>252</v>
      </c>
      <c r="B59" s="250">
        <v>0</v>
      </c>
      <c r="C59" s="250">
        <v>2850</v>
      </c>
      <c r="D59" s="250">
        <v>0</v>
      </c>
      <c r="E59" s="250">
        <v>0</v>
      </c>
      <c r="F59" s="250">
        <v>0</v>
      </c>
      <c r="G59" s="250">
        <v>0</v>
      </c>
      <c r="H59" s="250">
        <v>0</v>
      </c>
      <c r="I59" s="250">
        <v>0</v>
      </c>
      <c r="J59" s="250">
        <v>0</v>
      </c>
      <c r="K59" s="250">
        <v>0</v>
      </c>
      <c r="L59" s="250">
        <v>0</v>
      </c>
      <c r="M59" s="250">
        <v>0</v>
      </c>
      <c r="N59" s="250">
        <v>0</v>
      </c>
      <c r="O59" s="250">
        <v>0</v>
      </c>
      <c r="P59" s="250">
        <v>0</v>
      </c>
      <c r="Q59" s="250">
        <v>0</v>
      </c>
      <c r="R59" s="250">
        <v>0</v>
      </c>
      <c r="S59" s="250">
        <v>0</v>
      </c>
      <c r="T59" s="250">
        <v>0</v>
      </c>
      <c r="U59" s="250">
        <v>0</v>
      </c>
      <c r="V59" s="250">
        <v>0</v>
      </c>
      <c r="W59" s="250">
        <v>0</v>
      </c>
      <c r="X59" s="250">
        <v>0</v>
      </c>
      <c r="Y59" s="250">
        <v>0</v>
      </c>
      <c r="Z59" s="250">
        <v>0</v>
      </c>
      <c r="AA59" s="250">
        <v>0</v>
      </c>
      <c r="AB59" s="250">
        <v>0</v>
      </c>
      <c r="AC59" s="250">
        <v>0</v>
      </c>
      <c r="AD59" s="250">
        <v>0</v>
      </c>
      <c r="AE59" s="251">
        <v>0</v>
      </c>
      <c r="AF59" s="251">
        <v>0</v>
      </c>
      <c r="AG59" s="251">
        <v>350</v>
      </c>
      <c r="AH59" s="251">
        <v>0</v>
      </c>
      <c r="AI59" s="250">
        <f t="shared" si="0"/>
        <v>3200</v>
      </c>
    </row>
    <row r="60" spans="1:35" x14ac:dyDescent="0.35">
      <c r="A60" s="5" t="s">
        <v>442</v>
      </c>
      <c r="B60" s="250">
        <v>0</v>
      </c>
      <c r="C60" s="250">
        <v>1500</v>
      </c>
      <c r="D60" s="250">
        <v>0</v>
      </c>
      <c r="E60" s="250">
        <v>0</v>
      </c>
      <c r="F60" s="250">
        <v>0</v>
      </c>
      <c r="G60" s="250">
        <v>1000</v>
      </c>
      <c r="H60" s="250">
        <v>0</v>
      </c>
      <c r="I60" s="250">
        <v>0</v>
      </c>
      <c r="J60" s="250">
        <v>0</v>
      </c>
      <c r="K60" s="250">
        <v>0</v>
      </c>
      <c r="L60" s="250">
        <v>0</v>
      </c>
      <c r="M60" s="250">
        <v>0</v>
      </c>
      <c r="N60" s="250">
        <v>0</v>
      </c>
      <c r="O60" s="250">
        <v>0</v>
      </c>
      <c r="P60" s="250">
        <v>0</v>
      </c>
      <c r="Q60" s="250">
        <v>0</v>
      </c>
      <c r="R60" s="250">
        <v>0</v>
      </c>
      <c r="S60" s="250">
        <v>0</v>
      </c>
      <c r="T60" s="250">
        <v>0</v>
      </c>
      <c r="U60" s="250">
        <v>0</v>
      </c>
      <c r="V60" s="250">
        <v>0</v>
      </c>
      <c r="W60" s="250">
        <v>0</v>
      </c>
      <c r="X60" s="250">
        <v>0</v>
      </c>
      <c r="Y60" s="250">
        <v>0</v>
      </c>
      <c r="Z60" s="250">
        <v>0</v>
      </c>
      <c r="AA60" s="250">
        <v>0</v>
      </c>
      <c r="AB60" s="250">
        <v>0</v>
      </c>
      <c r="AC60" s="250">
        <v>0</v>
      </c>
      <c r="AD60" s="250">
        <v>0</v>
      </c>
      <c r="AE60" s="251">
        <v>250</v>
      </c>
      <c r="AF60" s="251">
        <v>0</v>
      </c>
      <c r="AG60" s="251">
        <v>350</v>
      </c>
      <c r="AH60" s="251">
        <v>0</v>
      </c>
      <c r="AI60" s="250">
        <f t="shared" si="0"/>
        <v>3100</v>
      </c>
    </row>
    <row r="61" spans="1:35" x14ac:dyDescent="0.35">
      <c r="A61" s="5" t="s">
        <v>704</v>
      </c>
      <c r="B61" s="250">
        <v>0</v>
      </c>
      <c r="C61" s="250">
        <v>0</v>
      </c>
      <c r="D61" s="250">
        <v>0</v>
      </c>
      <c r="E61" s="250">
        <v>0</v>
      </c>
      <c r="F61" s="250">
        <v>2500</v>
      </c>
      <c r="G61" s="250">
        <v>0</v>
      </c>
      <c r="H61" s="250">
        <v>240</v>
      </c>
      <c r="I61" s="250">
        <v>0</v>
      </c>
      <c r="J61" s="250">
        <v>0</v>
      </c>
      <c r="K61" s="250">
        <v>0</v>
      </c>
      <c r="L61" s="250">
        <v>0</v>
      </c>
      <c r="M61" s="250">
        <v>0</v>
      </c>
      <c r="N61" s="250">
        <v>0</v>
      </c>
      <c r="O61" s="250">
        <v>0</v>
      </c>
      <c r="P61" s="250">
        <v>0</v>
      </c>
      <c r="Q61" s="250">
        <v>0</v>
      </c>
      <c r="R61" s="250">
        <v>0</v>
      </c>
      <c r="S61" s="250">
        <v>0</v>
      </c>
      <c r="T61" s="250">
        <v>0</v>
      </c>
      <c r="U61" s="250">
        <v>0</v>
      </c>
      <c r="V61" s="250">
        <v>0</v>
      </c>
      <c r="W61" s="250">
        <v>0</v>
      </c>
      <c r="X61" s="250">
        <v>0</v>
      </c>
      <c r="Y61" s="250">
        <v>0</v>
      </c>
      <c r="Z61" s="250">
        <v>0</v>
      </c>
      <c r="AA61" s="250">
        <v>0</v>
      </c>
      <c r="AB61" s="250">
        <v>0</v>
      </c>
      <c r="AC61" s="250">
        <v>0</v>
      </c>
      <c r="AD61" s="250">
        <v>0</v>
      </c>
      <c r="AE61" s="251">
        <v>0</v>
      </c>
      <c r="AF61" s="251">
        <v>0</v>
      </c>
      <c r="AG61" s="251">
        <v>350</v>
      </c>
      <c r="AH61" s="251">
        <v>0</v>
      </c>
      <c r="AI61" s="250">
        <f t="shared" si="0"/>
        <v>3090</v>
      </c>
    </row>
    <row r="62" spans="1:35" x14ac:dyDescent="0.35">
      <c r="A62" s="5" t="s">
        <v>374</v>
      </c>
      <c r="B62" s="250">
        <v>0</v>
      </c>
      <c r="C62" s="250">
        <v>1500</v>
      </c>
      <c r="D62" s="250">
        <v>0</v>
      </c>
      <c r="E62" s="250">
        <v>0</v>
      </c>
      <c r="F62" s="250">
        <v>0</v>
      </c>
      <c r="G62" s="250">
        <v>0</v>
      </c>
      <c r="H62" s="250">
        <v>0</v>
      </c>
      <c r="I62" s="250">
        <v>0</v>
      </c>
      <c r="J62" s="250">
        <v>0</v>
      </c>
      <c r="K62" s="250">
        <v>0</v>
      </c>
      <c r="L62" s="250">
        <v>0</v>
      </c>
      <c r="M62" s="250">
        <v>0</v>
      </c>
      <c r="N62" s="250">
        <v>1000</v>
      </c>
      <c r="O62" s="250">
        <v>0</v>
      </c>
      <c r="P62" s="250">
        <v>0</v>
      </c>
      <c r="Q62" s="250">
        <v>0</v>
      </c>
      <c r="R62" s="250">
        <v>0</v>
      </c>
      <c r="S62" s="250">
        <v>0</v>
      </c>
      <c r="T62" s="250">
        <v>0</v>
      </c>
      <c r="U62" s="250">
        <v>0</v>
      </c>
      <c r="V62" s="250">
        <v>0</v>
      </c>
      <c r="W62" s="250">
        <v>0</v>
      </c>
      <c r="X62" s="250">
        <v>0</v>
      </c>
      <c r="Y62" s="250">
        <v>0</v>
      </c>
      <c r="Z62" s="250">
        <v>0</v>
      </c>
      <c r="AA62" s="250">
        <v>0</v>
      </c>
      <c r="AB62" s="250">
        <v>0</v>
      </c>
      <c r="AC62" s="250">
        <v>0</v>
      </c>
      <c r="AD62" s="250">
        <v>0</v>
      </c>
      <c r="AE62" s="251">
        <v>250</v>
      </c>
      <c r="AF62" s="251">
        <v>0</v>
      </c>
      <c r="AG62" s="251">
        <v>300</v>
      </c>
      <c r="AH62" s="251">
        <v>0</v>
      </c>
      <c r="AI62" s="250">
        <f t="shared" si="0"/>
        <v>3050</v>
      </c>
    </row>
    <row r="63" spans="1:35" x14ac:dyDescent="0.35">
      <c r="A63" s="5" t="s">
        <v>1415</v>
      </c>
      <c r="B63" s="250">
        <v>0</v>
      </c>
      <c r="C63" s="250">
        <v>0</v>
      </c>
      <c r="D63" s="250">
        <v>0</v>
      </c>
      <c r="E63" s="250">
        <v>0</v>
      </c>
      <c r="F63" s="250">
        <v>0</v>
      </c>
      <c r="G63" s="250">
        <v>0</v>
      </c>
      <c r="H63" s="250">
        <v>0</v>
      </c>
      <c r="I63" s="250">
        <v>0</v>
      </c>
      <c r="J63" s="250">
        <v>0</v>
      </c>
      <c r="K63" s="250">
        <v>1495</v>
      </c>
      <c r="L63" s="250">
        <v>0</v>
      </c>
      <c r="M63" s="250">
        <v>0</v>
      </c>
      <c r="N63" s="250">
        <v>0</v>
      </c>
      <c r="O63" s="250">
        <v>0</v>
      </c>
      <c r="P63" s="250">
        <v>0</v>
      </c>
      <c r="Q63" s="250">
        <v>0</v>
      </c>
      <c r="R63" s="250">
        <v>0</v>
      </c>
      <c r="S63" s="250">
        <v>0</v>
      </c>
      <c r="T63" s="250">
        <v>0</v>
      </c>
      <c r="U63" s="250">
        <v>0</v>
      </c>
      <c r="V63" s="250">
        <v>0</v>
      </c>
      <c r="W63" s="250">
        <v>0</v>
      </c>
      <c r="X63" s="250">
        <v>0</v>
      </c>
      <c r="Y63" s="250">
        <v>0</v>
      </c>
      <c r="Z63" s="250">
        <v>0</v>
      </c>
      <c r="AA63" s="250">
        <v>0</v>
      </c>
      <c r="AB63" s="250">
        <v>0</v>
      </c>
      <c r="AC63" s="250">
        <v>1200</v>
      </c>
      <c r="AD63" s="250">
        <v>0</v>
      </c>
      <c r="AE63" s="251">
        <v>0</v>
      </c>
      <c r="AF63" s="251">
        <v>0</v>
      </c>
      <c r="AG63" s="251">
        <v>350</v>
      </c>
      <c r="AH63" s="251">
        <v>0</v>
      </c>
      <c r="AI63" s="250">
        <f t="shared" si="0"/>
        <v>3045</v>
      </c>
    </row>
    <row r="64" spans="1:35" x14ac:dyDescent="0.35">
      <c r="A64" s="5" t="s">
        <v>804</v>
      </c>
      <c r="B64" s="250">
        <v>0</v>
      </c>
      <c r="C64" s="250">
        <v>0</v>
      </c>
      <c r="D64" s="250">
        <v>0</v>
      </c>
      <c r="E64" s="250">
        <v>0</v>
      </c>
      <c r="F64" s="250">
        <v>0</v>
      </c>
      <c r="G64" s="250">
        <v>2000</v>
      </c>
      <c r="H64" s="250">
        <v>0</v>
      </c>
      <c r="I64" s="250">
        <v>0</v>
      </c>
      <c r="J64" s="250">
        <v>0</v>
      </c>
      <c r="K64" s="250">
        <v>0</v>
      </c>
      <c r="L64" s="250">
        <v>0</v>
      </c>
      <c r="M64" s="250">
        <v>0</v>
      </c>
      <c r="N64" s="250">
        <v>0</v>
      </c>
      <c r="O64" s="250">
        <v>0</v>
      </c>
      <c r="P64" s="250">
        <v>0</v>
      </c>
      <c r="Q64" s="250">
        <v>0</v>
      </c>
      <c r="R64" s="250">
        <v>0</v>
      </c>
      <c r="S64" s="250">
        <v>0</v>
      </c>
      <c r="T64" s="250">
        <v>0</v>
      </c>
      <c r="U64" s="250">
        <v>0</v>
      </c>
      <c r="V64" s="250">
        <v>0</v>
      </c>
      <c r="W64" s="250">
        <v>0</v>
      </c>
      <c r="X64" s="250">
        <v>0</v>
      </c>
      <c r="Y64" s="250">
        <v>0</v>
      </c>
      <c r="Z64" s="250">
        <v>0</v>
      </c>
      <c r="AA64" s="250">
        <v>0</v>
      </c>
      <c r="AB64" s="250">
        <v>0</v>
      </c>
      <c r="AC64" s="250">
        <v>0</v>
      </c>
      <c r="AD64" s="250">
        <v>0</v>
      </c>
      <c r="AE64" s="251">
        <v>0</v>
      </c>
      <c r="AF64" s="251">
        <v>0</v>
      </c>
      <c r="AG64" s="251">
        <v>1000</v>
      </c>
      <c r="AH64" s="251">
        <v>0</v>
      </c>
      <c r="AI64" s="250">
        <f t="shared" si="0"/>
        <v>3000</v>
      </c>
    </row>
    <row r="65" spans="1:35" x14ac:dyDescent="0.35">
      <c r="A65" s="5" t="s">
        <v>1391</v>
      </c>
      <c r="B65" s="250">
        <v>0</v>
      </c>
      <c r="C65" s="250">
        <v>0</v>
      </c>
      <c r="D65" s="250">
        <v>0</v>
      </c>
      <c r="E65" s="250">
        <v>0</v>
      </c>
      <c r="F65" s="250">
        <v>0</v>
      </c>
      <c r="G65" s="250">
        <v>0</v>
      </c>
      <c r="H65" s="250">
        <v>0</v>
      </c>
      <c r="I65" s="250">
        <v>0</v>
      </c>
      <c r="J65" s="250">
        <v>0</v>
      </c>
      <c r="K65" s="250">
        <v>1495</v>
      </c>
      <c r="L65" s="250">
        <v>0</v>
      </c>
      <c r="M65" s="250">
        <v>0</v>
      </c>
      <c r="N65" s="250">
        <v>0</v>
      </c>
      <c r="O65" s="250">
        <v>1000</v>
      </c>
      <c r="P65" s="250">
        <v>0</v>
      </c>
      <c r="Q65" s="250">
        <v>0</v>
      </c>
      <c r="R65" s="250">
        <v>0</v>
      </c>
      <c r="S65" s="250">
        <v>0</v>
      </c>
      <c r="T65" s="250">
        <v>0</v>
      </c>
      <c r="U65" s="250">
        <v>0</v>
      </c>
      <c r="V65" s="250">
        <v>500</v>
      </c>
      <c r="W65" s="250">
        <v>0</v>
      </c>
      <c r="X65" s="250">
        <v>0</v>
      </c>
      <c r="Y65" s="250">
        <v>0</v>
      </c>
      <c r="Z65" s="250">
        <v>0</v>
      </c>
      <c r="AA65" s="250">
        <v>0</v>
      </c>
      <c r="AB65" s="250">
        <v>0</v>
      </c>
      <c r="AC65" s="250">
        <v>0</v>
      </c>
      <c r="AD65" s="250">
        <v>0</v>
      </c>
      <c r="AE65" s="251">
        <v>0</v>
      </c>
      <c r="AF65" s="251">
        <v>0</v>
      </c>
      <c r="AG65" s="251">
        <v>0</v>
      </c>
      <c r="AH65" s="251">
        <v>0</v>
      </c>
      <c r="AI65" s="250">
        <f t="shared" ref="AI65:AI128" si="1">SUM(B65:AH65)</f>
        <v>2995</v>
      </c>
    </row>
    <row r="66" spans="1:35" x14ac:dyDescent="0.35">
      <c r="A66" s="246" t="s">
        <v>1416</v>
      </c>
      <c r="B66" s="250">
        <v>0</v>
      </c>
      <c r="C66" s="250">
        <v>0</v>
      </c>
      <c r="D66" s="250">
        <v>0</v>
      </c>
      <c r="E66" s="250">
        <v>0</v>
      </c>
      <c r="F66" s="250">
        <v>0</v>
      </c>
      <c r="G66" s="250">
        <v>500</v>
      </c>
      <c r="H66" s="250">
        <v>0</v>
      </c>
      <c r="I66" s="250">
        <v>0</v>
      </c>
      <c r="J66" s="250">
        <v>0</v>
      </c>
      <c r="K66" s="250">
        <v>2000</v>
      </c>
      <c r="L66" s="250">
        <v>0</v>
      </c>
      <c r="M66" s="250">
        <v>0</v>
      </c>
      <c r="N66" s="250">
        <v>0</v>
      </c>
      <c r="O66" s="250">
        <v>0</v>
      </c>
      <c r="P66" s="250">
        <v>0</v>
      </c>
      <c r="Q66" s="250">
        <v>0</v>
      </c>
      <c r="R66" s="250">
        <v>0</v>
      </c>
      <c r="S66" s="250">
        <v>0</v>
      </c>
      <c r="T66" s="250">
        <v>0</v>
      </c>
      <c r="U66" s="250">
        <v>0</v>
      </c>
      <c r="V66" s="250">
        <v>0</v>
      </c>
      <c r="W66" s="250">
        <v>0</v>
      </c>
      <c r="X66" s="250">
        <v>0</v>
      </c>
      <c r="Y66" s="250">
        <v>0</v>
      </c>
      <c r="Z66" s="250">
        <v>0</v>
      </c>
      <c r="AA66" s="250">
        <v>0</v>
      </c>
      <c r="AB66" s="250">
        <v>0</v>
      </c>
      <c r="AC66" s="250">
        <v>0</v>
      </c>
      <c r="AD66" s="250">
        <v>0</v>
      </c>
      <c r="AE66" s="251">
        <v>0</v>
      </c>
      <c r="AF66" s="251">
        <v>0</v>
      </c>
      <c r="AG66" s="251">
        <v>480</v>
      </c>
      <c r="AH66" s="251">
        <v>0</v>
      </c>
      <c r="AI66" s="250">
        <f t="shared" si="1"/>
        <v>2980</v>
      </c>
    </row>
    <row r="67" spans="1:35" x14ac:dyDescent="0.35">
      <c r="A67" s="5" t="s">
        <v>222</v>
      </c>
      <c r="B67" s="250">
        <v>0</v>
      </c>
      <c r="C67" s="250">
        <v>2500</v>
      </c>
      <c r="D67" s="250">
        <v>0</v>
      </c>
      <c r="E67" s="250">
        <v>0</v>
      </c>
      <c r="F67" s="250">
        <v>0</v>
      </c>
      <c r="G67" s="250">
        <v>0</v>
      </c>
      <c r="H67" s="250">
        <v>0</v>
      </c>
      <c r="I67" s="250">
        <v>0</v>
      </c>
      <c r="J67" s="250">
        <v>0</v>
      </c>
      <c r="K67" s="250">
        <v>0</v>
      </c>
      <c r="L67" s="250">
        <v>0</v>
      </c>
      <c r="M67" s="250">
        <v>0</v>
      </c>
      <c r="N67" s="250">
        <v>0</v>
      </c>
      <c r="O67" s="250">
        <v>0</v>
      </c>
      <c r="P67" s="250">
        <v>0</v>
      </c>
      <c r="Q67" s="250">
        <v>0</v>
      </c>
      <c r="R67" s="250">
        <v>0</v>
      </c>
      <c r="S67" s="250">
        <v>0</v>
      </c>
      <c r="T67" s="250">
        <v>0</v>
      </c>
      <c r="U67" s="250">
        <v>0</v>
      </c>
      <c r="V67" s="250">
        <v>0</v>
      </c>
      <c r="W67" s="250">
        <v>0</v>
      </c>
      <c r="X67" s="250">
        <v>0</v>
      </c>
      <c r="Y67" s="250">
        <v>0</v>
      </c>
      <c r="Z67" s="250">
        <v>0</v>
      </c>
      <c r="AA67" s="250">
        <v>0</v>
      </c>
      <c r="AB67" s="250">
        <v>0</v>
      </c>
      <c r="AC67" s="250">
        <v>0</v>
      </c>
      <c r="AD67" s="250">
        <v>0</v>
      </c>
      <c r="AE67" s="251">
        <v>0</v>
      </c>
      <c r="AF67" s="251">
        <v>0</v>
      </c>
      <c r="AG67" s="251">
        <v>480</v>
      </c>
      <c r="AH67" s="251">
        <v>0</v>
      </c>
      <c r="AI67" s="250">
        <f t="shared" si="1"/>
        <v>2980</v>
      </c>
    </row>
    <row r="68" spans="1:35" x14ac:dyDescent="0.35">
      <c r="A68" s="5" t="s">
        <v>566</v>
      </c>
      <c r="B68" s="250">
        <v>0</v>
      </c>
      <c r="C68" s="250">
        <v>1500</v>
      </c>
      <c r="D68" s="250">
        <v>350</v>
      </c>
      <c r="E68" s="250">
        <v>0</v>
      </c>
      <c r="F68" s="250">
        <v>0</v>
      </c>
      <c r="G68" s="250">
        <v>750</v>
      </c>
      <c r="H68" s="250">
        <v>0</v>
      </c>
      <c r="I68" s="250">
        <v>0</v>
      </c>
      <c r="J68" s="250">
        <v>0</v>
      </c>
      <c r="K68" s="250">
        <v>0</v>
      </c>
      <c r="L68" s="250">
        <v>0</v>
      </c>
      <c r="M68" s="250">
        <v>0</v>
      </c>
      <c r="N68" s="250">
        <v>0</v>
      </c>
      <c r="O68" s="250">
        <v>0</v>
      </c>
      <c r="P68" s="250">
        <v>0</v>
      </c>
      <c r="Q68" s="250">
        <v>0</v>
      </c>
      <c r="R68" s="250">
        <v>0</v>
      </c>
      <c r="S68" s="250">
        <v>0</v>
      </c>
      <c r="T68" s="250">
        <v>0</v>
      </c>
      <c r="U68" s="250">
        <v>0</v>
      </c>
      <c r="V68" s="250">
        <v>0</v>
      </c>
      <c r="W68" s="250">
        <v>0</v>
      </c>
      <c r="X68" s="250">
        <v>0</v>
      </c>
      <c r="Y68" s="250">
        <v>0</v>
      </c>
      <c r="Z68" s="250">
        <v>0</v>
      </c>
      <c r="AA68" s="250">
        <v>0</v>
      </c>
      <c r="AB68" s="250">
        <v>0</v>
      </c>
      <c r="AC68" s="250">
        <v>0</v>
      </c>
      <c r="AD68" s="250">
        <v>0</v>
      </c>
      <c r="AE68" s="251">
        <v>0</v>
      </c>
      <c r="AF68" s="251">
        <v>0</v>
      </c>
      <c r="AG68" s="251">
        <v>350</v>
      </c>
      <c r="AH68" s="251">
        <v>0</v>
      </c>
      <c r="AI68" s="250">
        <f t="shared" si="1"/>
        <v>2950</v>
      </c>
    </row>
    <row r="69" spans="1:35" x14ac:dyDescent="0.35">
      <c r="A69" s="246" t="s">
        <v>808</v>
      </c>
      <c r="B69" s="247">
        <v>0</v>
      </c>
      <c r="C69" s="247">
        <v>0</v>
      </c>
      <c r="D69" s="247">
        <v>0</v>
      </c>
      <c r="E69" s="247">
        <v>0</v>
      </c>
      <c r="F69" s="247">
        <v>0</v>
      </c>
      <c r="G69" s="247">
        <v>0</v>
      </c>
      <c r="H69" s="247">
        <v>0</v>
      </c>
      <c r="I69" s="247">
        <v>0</v>
      </c>
      <c r="J69" s="247">
        <v>0</v>
      </c>
      <c r="K69" s="247">
        <v>0</v>
      </c>
      <c r="L69" s="247">
        <v>0</v>
      </c>
      <c r="M69" s="247">
        <v>0</v>
      </c>
      <c r="N69" s="247">
        <v>0</v>
      </c>
      <c r="O69" s="247">
        <v>0</v>
      </c>
      <c r="P69" s="247">
        <v>0</v>
      </c>
      <c r="Q69" s="247">
        <v>0</v>
      </c>
      <c r="R69" s="247">
        <v>0</v>
      </c>
      <c r="S69" s="247">
        <v>0</v>
      </c>
      <c r="T69" s="247">
        <v>1000</v>
      </c>
      <c r="U69" s="247">
        <v>0</v>
      </c>
      <c r="V69" s="247">
        <v>0</v>
      </c>
      <c r="W69" s="247">
        <v>0</v>
      </c>
      <c r="X69" s="247">
        <v>0</v>
      </c>
      <c r="Y69" s="247">
        <v>1000</v>
      </c>
      <c r="Z69" s="247">
        <v>0</v>
      </c>
      <c r="AA69" s="247">
        <v>500</v>
      </c>
      <c r="AB69" s="247">
        <v>0</v>
      </c>
      <c r="AC69" s="247">
        <v>0</v>
      </c>
      <c r="AD69" s="247">
        <v>0</v>
      </c>
      <c r="AE69" s="248">
        <v>0</v>
      </c>
      <c r="AF69" s="248">
        <v>0</v>
      </c>
      <c r="AG69" s="248">
        <v>430</v>
      </c>
      <c r="AH69" s="248">
        <v>0</v>
      </c>
      <c r="AI69" s="250">
        <f t="shared" si="1"/>
        <v>2930</v>
      </c>
    </row>
    <row r="70" spans="1:35" x14ac:dyDescent="0.35">
      <c r="A70" s="5" t="s">
        <v>984</v>
      </c>
      <c r="B70" s="250">
        <v>0</v>
      </c>
      <c r="C70" s="250">
        <v>0</v>
      </c>
      <c r="D70" s="250">
        <v>0</v>
      </c>
      <c r="E70" s="250">
        <v>0</v>
      </c>
      <c r="F70" s="250">
        <v>0</v>
      </c>
      <c r="G70" s="250">
        <v>0</v>
      </c>
      <c r="H70" s="250">
        <v>0</v>
      </c>
      <c r="I70" s="250">
        <v>0</v>
      </c>
      <c r="J70" s="250">
        <v>0</v>
      </c>
      <c r="K70" s="250">
        <v>0</v>
      </c>
      <c r="L70" s="250">
        <v>0</v>
      </c>
      <c r="M70" s="250">
        <v>0</v>
      </c>
      <c r="N70" s="250">
        <v>0</v>
      </c>
      <c r="O70" s="250">
        <v>0</v>
      </c>
      <c r="P70" s="250">
        <v>0</v>
      </c>
      <c r="Q70" s="250">
        <v>0</v>
      </c>
      <c r="R70" s="250">
        <v>0</v>
      </c>
      <c r="S70" s="250">
        <v>0</v>
      </c>
      <c r="T70" s="250">
        <v>1000</v>
      </c>
      <c r="U70" s="250">
        <v>0</v>
      </c>
      <c r="V70" s="250">
        <v>0</v>
      </c>
      <c r="W70" s="250">
        <v>0</v>
      </c>
      <c r="X70" s="250">
        <v>0</v>
      </c>
      <c r="Y70" s="247">
        <v>1000</v>
      </c>
      <c r="Z70" s="250">
        <v>0</v>
      </c>
      <c r="AA70" s="250">
        <v>450</v>
      </c>
      <c r="AB70" s="250">
        <v>0</v>
      </c>
      <c r="AC70" s="250">
        <v>0</v>
      </c>
      <c r="AD70" s="250">
        <v>0</v>
      </c>
      <c r="AE70" s="251">
        <v>0</v>
      </c>
      <c r="AF70" s="251">
        <v>0</v>
      </c>
      <c r="AG70" s="251">
        <v>430</v>
      </c>
      <c r="AH70" s="251">
        <v>0</v>
      </c>
      <c r="AI70" s="250">
        <f t="shared" si="1"/>
        <v>2880</v>
      </c>
    </row>
    <row r="71" spans="1:35" x14ac:dyDescent="0.35">
      <c r="A71" s="5" t="s">
        <v>549</v>
      </c>
      <c r="B71" s="250">
        <v>0</v>
      </c>
      <c r="C71" s="250">
        <v>0</v>
      </c>
      <c r="D71" s="250">
        <v>350</v>
      </c>
      <c r="E71" s="250">
        <v>0</v>
      </c>
      <c r="F71" s="250">
        <v>0</v>
      </c>
      <c r="G71" s="250">
        <v>750</v>
      </c>
      <c r="H71" s="250">
        <v>0</v>
      </c>
      <c r="I71" s="250">
        <v>0</v>
      </c>
      <c r="J71" s="250">
        <v>0</v>
      </c>
      <c r="K71" s="250">
        <v>0</v>
      </c>
      <c r="L71" s="250">
        <v>0</v>
      </c>
      <c r="M71" s="250">
        <v>0</v>
      </c>
      <c r="N71" s="250">
        <v>0</v>
      </c>
      <c r="O71" s="250">
        <v>0</v>
      </c>
      <c r="P71" s="250">
        <v>0</v>
      </c>
      <c r="Q71" s="250">
        <v>0</v>
      </c>
      <c r="R71" s="250">
        <v>0</v>
      </c>
      <c r="S71" s="250">
        <v>0</v>
      </c>
      <c r="T71" s="250">
        <v>0</v>
      </c>
      <c r="U71" s="250">
        <v>0</v>
      </c>
      <c r="V71" s="250">
        <v>0</v>
      </c>
      <c r="W71" s="250">
        <v>0</v>
      </c>
      <c r="X71" s="250">
        <v>0</v>
      </c>
      <c r="Y71" s="250">
        <v>0</v>
      </c>
      <c r="Z71" s="250">
        <v>0</v>
      </c>
      <c r="AA71" s="250">
        <v>1000</v>
      </c>
      <c r="AB71" s="250">
        <v>0</v>
      </c>
      <c r="AC71" s="250">
        <v>0</v>
      </c>
      <c r="AD71" s="250">
        <v>0</v>
      </c>
      <c r="AE71" s="251">
        <v>0</v>
      </c>
      <c r="AF71" s="251">
        <v>0</v>
      </c>
      <c r="AG71" s="251">
        <v>775</v>
      </c>
      <c r="AH71" s="251">
        <v>0</v>
      </c>
      <c r="AI71" s="250">
        <f t="shared" si="1"/>
        <v>2875</v>
      </c>
    </row>
    <row r="72" spans="1:35" x14ac:dyDescent="0.35">
      <c r="A72" s="246" t="s">
        <v>1442</v>
      </c>
      <c r="B72" s="250">
        <v>0</v>
      </c>
      <c r="C72" s="250">
        <v>0</v>
      </c>
      <c r="D72" s="250">
        <v>0</v>
      </c>
      <c r="E72" s="250">
        <v>0</v>
      </c>
      <c r="F72" s="250">
        <v>0</v>
      </c>
      <c r="G72" s="250">
        <v>0</v>
      </c>
      <c r="H72" s="250">
        <v>0</v>
      </c>
      <c r="I72" s="250">
        <v>0</v>
      </c>
      <c r="J72" s="250">
        <v>0</v>
      </c>
      <c r="K72" s="250">
        <v>0</v>
      </c>
      <c r="L72" s="250">
        <v>2500</v>
      </c>
      <c r="M72" s="250">
        <v>0</v>
      </c>
      <c r="N72" s="250">
        <v>0</v>
      </c>
      <c r="O72" s="250">
        <v>0</v>
      </c>
      <c r="P72" s="250">
        <v>0</v>
      </c>
      <c r="Q72" s="250">
        <v>0</v>
      </c>
      <c r="R72" s="250">
        <v>0</v>
      </c>
      <c r="S72" s="250">
        <v>0</v>
      </c>
      <c r="T72" s="250">
        <v>0</v>
      </c>
      <c r="U72" s="250">
        <v>0</v>
      </c>
      <c r="V72" s="250">
        <v>0</v>
      </c>
      <c r="W72" s="250">
        <v>0</v>
      </c>
      <c r="X72" s="250">
        <v>0</v>
      </c>
      <c r="Y72" s="250">
        <v>0</v>
      </c>
      <c r="Z72" s="250">
        <v>0</v>
      </c>
      <c r="AA72" s="250">
        <v>0</v>
      </c>
      <c r="AB72" s="250">
        <v>0</v>
      </c>
      <c r="AC72" s="250">
        <v>0</v>
      </c>
      <c r="AD72" s="250">
        <v>0</v>
      </c>
      <c r="AE72" s="251">
        <v>0</v>
      </c>
      <c r="AF72" s="251">
        <v>0</v>
      </c>
      <c r="AG72" s="251">
        <v>350</v>
      </c>
      <c r="AH72" s="251">
        <v>0</v>
      </c>
      <c r="AI72" s="250">
        <f t="shared" si="1"/>
        <v>2850</v>
      </c>
    </row>
    <row r="73" spans="1:35" x14ac:dyDescent="0.35">
      <c r="A73" s="5" t="s">
        <v>801</v>
      </c>
      <c r="B73" s="250">
        <v>0</v>
      </c>
      <c r="C73" s="250">
        <v>0</v>
      </c>
      <c r="D73" s="250">
        <v>0</v>
      </c>
      <c r="E73" s="250">
        <v>0</v>
      </c>
      <c r="F73" s="250">
        <v>0</v>
      </c>
      <c r="G73" s="250">
        <v>2500</v>
      </c>
      <c r="H73" s="250">
        <v>0</v>
      </c>
      <c r="I73" s="250">
        <v>0</v>
      </c>
      <c r="J73" s="250">
        <v>0</v>
      </c>
      <c r="K73" s="250">
        <v>0</v>
      </c>
      <c r="L73" s="250">
        <v>0</v>
      </c>
      <c r="M73" s="250">
        <v>0</v>
      </c>
      <c r="N73" s="250">
        <v>0</v>
      </c>
      <c r="O73" s="250">
        <v>0</v>
      </c>
      <c r="P73" s="250">
        <v>0</v>
      </c>
      <c r="Q73" s="250">
        <v>0</v>
      </c>
      <c r="R73" s="250">
        <v>0</v>
      </c>
      <c r="S73" s="250">
        <v>0</v>
      </c>
      <c r="T73" s="250">
        <v>0</v>
      </c>
      <c r="U73" s="250">
        <v>0</v>
      </c>
      <c r="V73" s="250">
        <v>0</v>
      </c>
      <c r="W73" s="250">
        <v>0</v>
      </c>
      <c r="X73" s="250">
        <v>0</v>
      </c>
      <c r="Y73" s="250">
        <v>0</v>
      </c>
      <c r="Z73" s="250">
        <v>0</v>
      </c>
      <c r="AA73" s="250">
        <v>0</v>
      </c>
      <c r="AB73" s="250">
        <v>0</v>
      </c>
      <c r="AC73" s="250">
        <v>0</v>
      </c>
      <c r="AD73" s="250">
        <v>0</v>
      </c>
      <c r="AE73" s="251">
        <v>0</v>
      </c>
      <c r="AF73" s="251">
        <v>0</v>
      </c>
      <c r="AG73" s="251">
        <v>350</v>
      </c>
      <c r="AH73" s="251">
        <v>0</v>
      </c>
      <c r="AI73" s="250">
        <f t="shared" si="1"/>
        <v>2850</v>
      </c>
    </row>
    <row r="74" spans="1:35" x14ac:dyDescent="0.35">
      <c r="A74" s="5" t="s">
        <v>1607</v>
      </c>
      <c r="B74" s="250">
        <v>0</v>
      </c>
      <c r="C74" s="250">
        <v>0</v>
      </c>
      <c r="D74" s="250">
        <v>0</v>
      </c>
      <c r="E74" s="250">
        <v>0</v>
      </c>
      <c r="F74" s="250">
        <v>0</v>
      </c>
      <c r="G74" s="250">
        <v>0</v>
      </c>
      <c r="H74" s="250">
        <v>0</v>
      </c>
      <c r="I74" s="250">
        <v>0</v>
      </c>
      <c r="J74" s="250">
        <v>0</v>
      </c>
      <c r="K74" s="250">
        <v>0</v>
      </c>
      <c r="L74" s="250">
        <v>0</v>
      </c>
      <c r="M74" s="250">
        <v>0</v>
      </c>
      <c r="N74" s="250">
        <v>0</v>
      </c>
      <c r="O74" s="250">
        <v>0</v>
      </c>
      <c r="P74" s="250">
        <v>0</v>
      </c>
      <c r="Q74" s="250">
        <v>2500</v>
      </c>
      <c r="R74" s="250">
        <v>0</v>
      </c>
      <c r="S74" s="250">
        <v>0</v>
      </c>
      <c r="T74" s="250">
        <v>0</v>
      </c>
      <c r="U74" s="250">
        <v>0</v>
      </c>
      <c r="V74" s="250">
        <v>0</v>
      </c>
      <c r="W74" s="250">
        <v>0</v>
      </c>
      <c r="X74" s="250">
        <v>0</v>
      </c>
      <c r="Y74" s="247">
        <v>0</v>
      </c>
      <c r="Z74" s="250">
        <v>0</v>
      </c>
      <c r="AA74" s="250">
        <v>0</v>
      </c>
      <c r="AB74" s="250">
        <v>0</v>
      </c>
      <c r="AC74" s="250">
        <v>0</v>
      </c>
      <c r="AD74" s="250">
        <v>0</v>
      </c>
      <c r="AE74" s="251">
        <v>0</v>
      </c>
      <c r="AF74" s="251">
        <v>0</v>
      </c>
      <c r="AG74" s="251">
        <v>350</v>
      </c>
      <c r="AH74" s="251">
        <v>0</v>
      </c>
      <c r="AI74" s="250">
        <f t="shared" si="1"/>
        <v>2850</v>
      </c>
    </row>
    <row r="75" spans="1:35" x14ac:dyDescent="0.35">
      <c r="A75" s="5" t="s">
        <v>2621</v>
      </c>
      <c r="B75" s="250">
        <v>0</v>
      </c>
      <c r="C75" s="250">
        <v>1500</v>
      </c>
      <c r="D75" s="250">
        <v>0</v>
      </c>
      <c r="E75" s="250">
        <v>0</v>
      </c>
      <c r="F75" s="250">
        <v>0</v>
      </c>
      <c r="G75" s="250">
        <v>0</v>
      </c>
      <c r="H75" s="250">
        <v>0</v>
      </c>
      <c r="I75" s="250">
        <v>0</v>
      </c>
      <c r="J75" s="250">
        <v>0</v>
      </c>
      <c r="K75" s="250">
        <v>0</v>
      </c>
      <c r="L75" s="250">
        <v>0</v>
      </c>
      <c r="M75" s="250">
        <v>0</v>
      </c>
      <c r="N75" s="250">
        <v>0</v>
      </c>
      <c r="O75" s="250">
        <v>0</v>
      </c>
      <c r="P75" s="250">
        <v>0</v>
      </c>
      <c r="Q75" s="250">
        <v>0</v>
      </c>
      <c r="R75" s="250">
        <v>0</v>
      </c>
      <c r="S75" s="250">
        <v>0</v>
      </c>
      <c r="T75" s="250">
        <v>0</v>
      </c>
      <c r="U75" s="250">
        <v>0</v>
      </c>
      <c r="V75" s="250">
        <v>0</v>
      </c>
      <c r="W75" s="250">
        <v>0</v>
      </c>
      <c r="X75" s="250">
        <v>0</v>
      </c>
      <c r="Y75" s="247">
        <v>1000</v>
      </c>
      <c r="Z75" s="250">
        <v>0</v>
      </c>
      <c r="AA75" s="250">
        <v>0</v>
      </c>
      <c r="AB75" s="250">
        <v>0</v>
      </c>
      <c r="AC75" s="250">
        <v>0</v>
      </c>
      <c r="AD75" s="250">
        <v>0</v>
      </c>
      <c r="AE75" s="251">
        <v>0</v>
      </c>
      <c r="AF75" s="251">
        <v>0</v>
      </c>
      <c r="AG75" s="251">
        <v>350</v>
      </c>
      <c r="AH75" s="251">
        <v>0</v>
      </c>
      <c r="AI75" s="250">
        <f t="shared" si="1"/>
        <v>2850</v>
      </c>
    </row>
    <row r="76" spans="1:35" x14ac:dyDescent="0.35">
      <c r="A76" s="5" t="s">
        <v>317</v>
      </c>
      <c r="B76" s="250">
        <v>0</v>
      </c>
      <c r="C76" s="250">
        <v>0</v>
      </c>
      <c r="D76" s="250">
        <v>0</v>
      </c>
      <c r="E76" s="250">
        <v>0</v>
      </c>
      <c r="F76" s="250">
        <v>600</v>
      </c>
      <c r="G76" s="250">
        <v>750</v>
      </c>
      <c r="H76" s="250">
        <v>0</v>
      </c>
      <c r="I76" s="250">
        <v>0</v>
      </c>
      <c r="J76" s="250">
        <v>0</v>
      </c>
      <c r="K76" s="250">
        <v>0</v>
      </c>
      <c r="L76" s="250">
        <v>0</v>
      </c>
      <c r="M76" s="250">
        <v>0</v>
      </c>
      <c r="N76" s="250">
        <v>0</v>
      </c>
      <c r="O76" s="250">
        <v>0</v>
      </c>
      <c r="P76" s="250">
        <v>0</v>
      </c>
      <c r="Q76" s="250">
        <v>0</v>
      </c>
      <c r="R76" s="250">
        <v>0</v>
      </c>
      <c r="S76" s="250">
        <v>0</v>
      </c>
      <c r="T76" s="250">
        <v>0</v>
      </c>
      <c r="U76" s="250">
        <v>0</v>
      </c>
      <c r="V76" s="250">
        <v>0</v>
      </c>
      <c r="W76" s="250">
        <v>0</v>
      </c>
      <c r="X76" s="250">
        <v>0</v>
      </c>
      <c r="Y76" s="250">
        <v>1000</v>
      </c>
      <c r="Z76" s="250">
        <v>0</v>
      </c>
      <c r="AA76" s="250">
        <v>0</v>
      </c>
      <c r="AB76" s="250">
        <v>0</v>
      </c>
      <c r="AC76" s="250">
        <v>0</v>
      </c>
      <c r="AD76" s="250">
        <v>0</v>
      </c>
      <c r="AE76" s="251">
        <v>0</v>
      </c>
      <c r="AF76" s="251">
        <v>0</v>
      </c>
      <c r="AG76" s="251">
        <v>488</v>
      </c>
      <c r="AH76" s="251">
        <v>0</v>
      </c>
      <c r="AI76" s="250">
        <f t="shared" si="1"/>
        <v>2838</v>
      </c>
    </row>
    <row r="77" spans="1:35" x14ac:dyDescent="0.35">
      <c r="A77" s="5" t="s">
        <v>657</v>
      </c>
      <c r="B77" s="250">
        <v>0</v>
      </c>
      <c r="C77" s="250">
        <v>0</v>
      </c>
      <c r="D77" s="250">
        <v>0</v>
      </c>
      <c r="E77" s="250">
        <v>0</v>
      </c>
      <c r="F77" s="250">
        <v>1200</v>
      </c>
      <c r="G77" s="250">
        <v>0</v>
      </c>
      <c r="H77" s="250">
        <v>1195</v>
      </c>
      <c r="I77" s="250">
        <v>0</v>
      </c>
      <c r="J77" s="250">
        <v>0</v>
      </c>
      <c r="K77" s="250">
        <v>0</v>
      </c>
      <c r="L77" s="250">
        <v>0</v>
      </c>
      <c r="M77" s="250">
        <v>0</v>
      </c>
      <c r="N77" s="250">
        <v>0</v>
      </c>
      <c r="O77" s="250">
        <v>0</v>
      </c>
      <c r="P77" s="250">
        <v>0</v>
      </c>
      <c r="Q77" s="250">
        <v>0</v>
      </c>
      <c r="R77" s="250">
        <v>0</v>
      </c>
      <c r="S77" s="250">
        <v>0</v>
      </c>
      <c r="T77" s="250">
        <v>0</v>
      </c>
      <c r="U77" s="250">
        <v>0</v>
      </c>
      <c r="V77" s="250">
        <v>0</v>
      </c>
      <c r="W77" s="250">
        <v>0</v>
      </c>
      <c r="X77" s="250">
        <v>0</v>
      </c>
      <c r="Y77" s="250">
        <v>0</v>
      </c>
      <c r="Z77" s="250">
        <v>0</v>
      </c>
      <c r="AA77" s="250">
        <v>0</v>
      </c>
      <c r="AB77" s="250">
        <v>0</v>
      </c>
      <c r="AC77" s="250">
        <v>0</v>
      </c>
      <c r="AD77" s="250">
        <v>0</v>
      </c>
      <c r="AE77" s="251">
        <v>0</v>
      </c>
      <c r="AF77" s="251">
        <v>0</v>
      </c>
      <c r="AG77" s="251">
        <v>350</v>
      </c>
      <c r="AH77" s="251">
        <v>0</v>
      </c>
      <c r="AI77" s="250">
        <f t="shared" si="1"/>
        <v>2745</v>
      </c>
    </row>
    <row r="78" spans="1:35" x14ac:dyDescent="0.35">
      <c r="A78" s="246" t="s">
        <v>748</v>
      </c>
      <c r="B78" s="247">
        <v>0</v>
      </c>
      <c r="C78" s="247">
        <v>0</v>
      </c>
      <c r="D78" s="247">
        <v>0</v>
      </c>
      <c r="E78" s="247">
        <v>0</v>
      </c>
      <c r="F78" s="247">
        <v>0</v>
      </c>
      <c r="G78" s="247">
        <v>0</v>
      </c>
      <c r="H78" s="247">
        <v>0</v>
      </c>
      <c r="I78" s="247">
        <v>0</v>
      </c>
      <c r="J78" s="247">
        <v>0</v>
      </c>
      <c r="K78" s="247">
        <v>0</v>
      </c>
      <c r="L78" s="247">
        <v>0</v>
      </c>
      <c r="M78" s="247">
        <v>0</v>
      </c>
      <c r="N78" s="247">
        <v>0</v>
      </c>
      <c r="O78" s="247">
        <v>0</v>
      </c>
      <c r="P78" s="247">
        <v>0</v>
      </c>
      <c r="Q78" s="247">
        <v>0</v>
      </c>
      <c r="R78" s="247">
        <v>0</v>
      </c>
      <c r="S78" s="247">
        <v>0</v>
      </c>
      <c r="T78" s="247">
        <v>1000</v>
      </c>
      <c r="U78" s="247">
        <v>0</v>
      </c>
      <c r="V78" s="247">
        <v>0</v>
      </c>
      <c r="W78" s="247">
        <v>0</v>
      </c>
      <c r="X78" s="247">
        <v>0</v>
      </c>
      <c r="Y78" s="247">
        <v>1000</v>
      </c>
      <c r="Z78" s="247">
        <v>0</v>
      </c>
      <c r="AA78" s="247">
        <v>0</v>
      </c>
      <c r="AB78" s="247">
        <v>0</v>
      </c>
      <c r="AC78" s="247">
        <v>0</v>
      </c>
      <c r="AD78" s="247">
        <v>0</v>
      </c>
      <c r="AE78" s="248">
        <v>0</v>
      </c>
      <c r="AF78" s="248">
        <v>0</v>
      </c>
      <c r="AG78" s="248">
        <v>725</v>
      </c>
      <c r="AH78" s="248">
        <v>0</v>
      </c>
      <c r="AI78" s="247">
        <f t="shared" si="1"/>
        <v>2725</v>
      </c>
    </row>
    <row r="79" spans="1:35" x14ac:dyDescent="0.35">
      <c r="A79" s="5" t="s">
        <v>2622</v>
      </c>
      <c r="B79" s="250">
        <v>0</v>
      </c>
      <c r="C79" s="250">
        <v>0</v>
      </c>
      <c r="D79" s="250">
        <v>0</v>
      </c>
      <c r="E79" s="250">
        <v>0</v>
      </c>
      <c r="F79" s="250">
        <v>0</v>
      </c>
      <c r="G79" s="250">
        <v>0</v>
      </c>
      <c r="H79" s="250">
        <v>0</v>
      </c>
      <c r="I79" s="250">
        <v>0</v>
      </c>
      <c r="J79" s="250">
        <v>0</v>
      </c>
      <c r="K79" s="250">
        <v>1495</v>
      </c>
      <c r="L79" s="250">
        <v>0</v>
      </c>
      <c r="M79" s="250">
        <v>0</v>
      </c>
      <c r="N79" s="250">
        <v>0</v>
      </c>
      <c r="O79" s="250">
        <v>0</v>
      </c>
      <c r="P79" s="250">
        <v>0</v>
      </c>
      <c r="Q79" s="250">
        <v>0</v>
      </c>
      <c r="R79" s="250">
        <v>0</v>
      </c>
      <c r="S79" s="250">
        <v>0</v>
      </c>
      <c r="T79" s="250">
        <v>0</v>
      </c>
      <c r="U79" s="250">
        <v>0</v>
      </c>
      <c r="V79" s="250">
        <v>0</v>
      </c>
      <c r="W79" s="250">
        <v>0</v>
      </c>
      <c r="X79" s="250">
        <v>0</v>
      </c>
      <c r="Y79" s="250">
        <v>0</v>
      </c>
      <c r="Z79" s="250">
        <v>0</v>
      </c>
      <c r="AA79" s="250">
        <v>0</v>
      </c>
      <c r="AB79" s="250">
        <v>0</v>
      </c>
      <c r="AC79" s="250">
        <v>1200</v>
      </c>
      <c r="AD79" s="250">
        <v>0</v>
      </c>
      <c r="AE79" s="251">
        <v>0</v>
      </c>
      <c r="AF79" s="251">
        <v>0</v>
      </c>
      <c r="AG79" s="251">
        <v>0</v>
      </c>
      <c r="AH79" s="251">
        <v>0</v>
      </c>
      <c r="AI79" s="250">
        <f t="shared" si="1"/>
        <v>2695</v>
      </c>
    </row>
    <row r="80" spans="1:35" x14ac:dyDescent="0.35">
      <c r="A80" s="5" t="s">
        <v>835</v>
      </c>
      <c r="B80" s="250">
        <v>0</v>
      </c>
      <c r="C80" s="250">
        <v>0</v>
      </c>
      <c r="D80" s="250">
        <v>0</v>
      </c>
      <c r="E80" s="250">
        <v>0</v>
      </c>
      <c r="F80" s="250">
        <v>0</v>
      </c>
      <c r="G80" s="250">
        <v>500</v>
      </c>
      <c r="H80" s="250">
        <v>0</v>
      </c>
      <c r="I80" s="250">
        <v>0</v>
      </c>
      <c r="J80" s="250">
        <v>0</v>
      </c>
      <c r="K80" s="250">
        <v>0</v>
      </c>
      <c r="L80" s="250">
        <v>0</v>
      </c>
      <c r="M80" s="250">
        <v>0</v>
      </c>
      <c r="N80" s="250">
        <v>0</v>
      </c>
      <c r="O80" s="250">
        <v>0</v>
      </c>
      <c r="P80" s="250">
        <v>0</v>
      </c>
      <c r="Q80" s="250">
        <v>0</v>
      </c>
      <c r="R80" s="250">
        <v>0</v>
      </c>
      <c r="S80" s="250">
        <v>0</v>
      </c>
      <c r="T80" s="250">
        <v>0</v>
      </c>
      <c r="U80" s="250">
        <v>0</v>
      </c>
      <c r="V80" s="250">
        <v>0</v>
      </c>
      <c r="W80" s="250">
        <v>0</v>
      </c>
      <c r="X80" s="250">
        <v>0</v>
      </c>
      <c r="Y80" s="250">
        <v>0</v>
      </c>
      <c r="Z80" s="250">
        <v>0</v>
      </c>
      <c r="AA80" s="250">
        <v>0</v>
      </c>
      <c r="AB80" s="250">
        <v>0</v>
      </c>
      <c r="AC80" s="250">
        <v>0</v>
      </c>
      <c r="AD80" s="250">
        <v>0</v>
      </c>
      <c r="AE80" s="251">
        <v>250</v>
      </c>
      <c r="AF80" s="251">
        <v>1500</v>
      </c>
      <c r="AG80" s="251">
        <v>430</v>
      </c>
      <c r="AH80" s="251">
        <v>0</v>
      </c>
      <c r="AI80" s="250">
        <f t="shared" si="1"/>
        <v>2680</v>
      </c>
    </row>
    <row r="81" spans="1:35" x14ac:dyDescent="0.35">
      <c r="A81" s="5" t="s">
        <v>268</v>
      </c>
      <c r="B81" s="250">
        <v>0</v>
      </c>
      <c r="C81" s="250">
        <v>1500</v>
      </c>
      <c r="D81" s="250">
        <v>0</v>
      </c>
      <c r="E81" s="250">
        <v>0</v>
      </c>
      <c r="F81" s="250">
        <v>0</v>
      </c>
      <c r="G81" s="250">
        <v>750</v>
      </c>
      <c r="H81" s="250">
        <v>70</v>
      </c>
      <c r="I81" s="250">
        <v>0</v>
      </c>
      <c r="J81" s="250">
        <v>0</v>
      </c>
      <c r="K81" s="250">
        <v>0</v>
      </c>
      <c r="L81" s="250">
        <v>0</v>
      </c>
      <c r="M81" s="250">
        <v>0</v>
      </c>
      <c r="N81" s="250">
        <v>0</v>
      </c>
      <c r="O81" s="250">
        <v>0</v>
      </c>
      <c r="P81" s="250">
        <v>0</v>
      </c>
      <c r="Q81" s="250"/>
      <c r="R81" s="250">
        <v>0</v>
      </c>
      <c r="S81" s="250">
        <v>0</v>
      </c>
      <c r="T81" s="250">
        <v>0</v>
      </c>
      <c r="U81" s="250">
        <v>0</v>
      </c>
      <c r="V81" s="250">
        <v>0</v>
      </c>
      <c r="W81" s="250">
        <v>0</v>
      </c>
      <c r="X81" s="250">
        <v>0</v>
      </c>
      <c r="Y81" s="250">
        <v>0</v>
      </c>
      <c r="Z81" s="250">
        <v>0</v>
      </c>
      <c r="AA81" s="250">
        <v>0</v>
      </c>
      <c r="AB81" s="250">
        <v>0</v>
      </c>
      <c r="AC81" s="250">
        <v>0</v>
      </c>
      <c r="AD81" s="250">
        <v>0</v>
      </c>
      <c r="AE81" s="251">
        <v>0</v>
      </c>
      <c r="AF81" s="251">
        <v>0</v>
      </c>
      <c r="AG81" s="251">
        <v>350</v>
      </c>
      <c r="AH81" s="251">
        <v>0</v>
      </c>
      <c r="AI81" s="250">
        <f t="shared" si="1"/>
        <v>2670</v>
      </c>
    </row>
    <row r="82" spans="1:35" x14ac:dyDescent="0.35">
      <c r="A82" s="5" t="s">
        <v>2025</v>
      </c>
      <c r="B82" s="250">
        <v>0</v>
      </c>
      <c r="C82" s="250">
        <v>0</v>
      </c>
      <c r="D82" s="250">
        <v>0</v>
      </c>
      <c r="E82" s="250">
        <v>0</v>
      </c>
      <c r="F82" s="250">
        <v>0</v>
      </c>
      <c r="G82" s="250">
        <v>0</v>
      </c>
      <c r="H82" s="250">
        <v>0</v>
      </c>
      <c r="I82" s="250">
        <v>0</v>
      </c>
      <c r="J82" s="250">
        <v>0</v>
      </c>
      <c r="K82" s="250">
        <v>0</v>
      </c>
      <c r="L82" s="250">
        <v>0</v>
      </c>
      <c r="M82" s="250">
        <v>0</v>
      </c>
      <c r="N82" s="250">
        <v>0</v>
      </c>
      <c r="O82" s="250">
        <v>0</v>
      </c>
      <c r="P82" s="250">
        <v>0</v>
      </c>
      <c r="Q82" s="250">
        <v>0</v>
      </c>
      <c r="R82" s="250">
        <v>0</v>
      </c>
      <c r="S82" s="250">
        <v>0</v>
      </c>
      <c r="T82" s="250">
        <v>0</v>
      </c>
      <c r="U82" s="250">
        <v>0</v>
      </c>
      <c r="V82" s="250">
        <v>0</v>
      </c>
      <c r="W82" s="250">
        <v>1500</v>
      </c>
      <c r="X82" s="250">
        <v>0</v>
      </c>
      <c r="Y82" s="250">
        <v>0</v>
      </c>
      <c r="Z82" s="250">
        <v>0</v>
      </c>
      <c r="AA82" s="250">
        <v>0</v>
      </c>
      <c r="AB82" s="250">
        <v>0</v>
      </c>
      <c r="AC82" s="250">
        <v>0</v>
      </c>
      <c r="AD82" s="250">
        <v>0</v>
      </c>
      <c r="AE82" s="251">
        <v>0</v>
      </c>
      <c r="AF82" s="251">
        <v>0</v>
      </c>
      <c r="AG82" s="251">
        <v>1150</v>
      </c>
      <c r="AH82" s="251">
        <v>0</v>
      </c>
      <c r="AI82" s="250">
        <f t="shared" si="1"/>
        <v>2650</v>
      </c>
    </row>
    <row r="83" spans="1:35" x14ac:dyDescent="0.35">
      <c r="A83" s="5" t="s">
        <v>868</v>
      </c>
      <c r="B83" s="250">
        <v>0</v>
      </c>
      <c r="C83" s="250">
        <v>0</v>
      </c>
      <c r="D83" s="250">
        <v>0</v>
      </c>
      <c r="E83" s="250">
        <v>0</v>
      </c>
      <c r="F83" s="250">
        <v>0</v>
      </c>
      <c r="G83" s="250">
        <v>750</v>
      </c>
      <c r="H83" s="250">
        <v>0</v>
      </c>
      <c r="I83" s="250">
        <v>0</v>
      </c>
      <c r="J83" s="250">
        <v>0</v>
      </c>
      <c r="K83" s="250">
        <v>0</v>
      </c>
      <c r="L83" s="250">
        <v>0</v>
      </c>
      <c r="M83" s="250">
        <v>0</v>
      </c>
      <c r="N83" s="250">
        <v>0</v>
      </c>
      <c r="O83" s="250">
        <v>0</v>
      </c>
      <c r="P83" s="250">
        <v>0</v>
      </c>
      <c r="Q83" s="250">
        <v>0</v>
      </c>
      <c r="R83" s="250">
        <v>0</v>
      </c>
      <c r="S83" s="250">
        <v>0</v>
      </c>
      <c r="T83" s="250">
        <v>0</v>
      </c>
      <c r="U83" s="250">
        <v>0</v>
      </c>
      <c r="V83" s="250">
        <v>0</v>
      </c>
      <c r="W83" s="250">
        <v>0</v>
      </c>
      <c r="X83" s="250">
        <v>0</v>
      </c>
      <c r="Y83" s="250">
        <v>0</v>
      </c>
      <c r="Z83" s="250">
        <v>0</v>
      </c>
      <c r="AA83" s="250">
        <v>0</v>
      </c>
      <c r="AB83" s="250">
        <v>0</v>
      </c>
      <c r="AC83" s="250">
        <v>1500</v>
      </c>
      <c r="AD83" s="250">
        <v>0</v>
      </c>
      <c r="AE83" s="251">
        <v>0</v>
      </c>
      <c r="AF83" s="251">
        <v>0</v>
      </c>
      <c r="AG83" s="251">
        <v>350</v>
      </c>
      <c r="AH83" s="251">
        <v>0</v>
      </c>
      <c r="AI83" s="250">
        <f t="shared" si="1"/>
        <v>2600</v>
      </c>
    </row>
    <row r="84" spans="1:35" x14ac:dyDescent="0.35">
      <c r="A84" s="246" t="s">
        <v>425</v>
      </c>
      <c r="B84" s="247">
        <v>0</v>
      </c>
      <c r="C84" s="247">
        <v>1500</v>
      </c>
      <c r="D84" s="247">
        <v>0</v>
      </c>
      <c r="E84" s="247">
        <v>0</v>
      </c>
      <c r="F84" s="247">
        <v>0</v>
      </c>
      <c r="G84" s="247">
        <v>0</v>
      </c>
      <c r="H84" s="247">
        <v>0</v>
      </c>
      <c r="I84" s="247">
        <v>0</v>
      </c>
      <c r="J84" s="247">
        <v>0</v>
      </c>
      <c r="K84" s="247">
        <v>0</v>
      </c>
      <c r="L84" s="247">
        <v>0</v>
      </c>
      <c r="M84" s="247">
        <v>0</v>
      </c>
      <c r="N84" s="247">
        <v>0</v>
      </c>
      <c r="O84" s="247">
        <v>0</v>
      </c>
      <c r="P84" s="247">
        <v>0</v>
      </c>
      <c r="Q84" s="247">
        <v>0</v>
      </c>
      <c r="R84" s="247">
        <v>0</v>
      </c>
      <c r="S84" s="247">
        <v>0</v>
      </c>
      <c r="T84" s="247">
        <v>0</v>
      </c>
      <c r="U84" s="247">
        <v>0</v>
      </c>
      <c r="V84" s="247">
        <v>0</v>
      </c>
      <c r="W84" s="247">
        <v>0</v>
      </c>
      <c r="X84" s="247">
        <v>0</v>
      </c>
      <c r="Y84" s="247">
        <v>0</v>
      </c>
      <c r="Z84" s="247">
        <v>0</v>
      </c>
      <c r="AA84" s="247">
        <v>0</v>
      </c>
      <c r="AB84" s="247">
        <v>0</v>
      </c>
      <c r="AC84" s="247">
        <v>0</v>
      </c>
      <c r="AD84" s="247">
        <v>0</v>
      </c>
      <c r="AE84" s="248">
        <v>250</v>
      </c>
      <c r="AF84" s="248">
        <v>0</v>
      </c>
      <c r="AG84" s="248">
        <v>775</v>
      </c>
      <c r="AH84" s="248">
        <v>0</v>
      </c>
      <c r="AI84" s="247">
        <f t="shared" si="1"/>
        <v>2525</v>
      </c>
    </row>
    <row r="85" spans="1:35" x14ac:dyDescent="0.35">
      <c r="A85" s="5" t="s">
        <v>2407</v>
      </c>
      <c r="B85" s="250">
        <v>0</v>
      </c>
      <c r="C85" s="250">
        <v>0</v>
      </c>
      <c r="D85" s="250">
        <v>0</v>
      </c>
      <c r="E85" s="250">
        <v>0</v>
      </c>
      <c r="F85" s="250">
        <v>0</v>
      </c>
      <c r="G85" s="250">
        <v>0</v>
      </c>
      <c r="H85" s="250">
        <v>0</v>
      </c>
      <c r="I85" s="250">
        <v>0</v>
      </c>
      <c r="J85" s="250">
        <v>0</v>
      </c>
      <c r="K85" s="250">
        <v>0</v>
      </c>
      <c r="L85" s="250">
        <v>0</v>
      </c>
      <c r="M85" s="250">
        <v>0</v>
      </c>
      <c r="N85" s="250">
        <v>0</v>
      </c>
      <c r="O85" s="250">
        <v>0</v>
      </c>
      <c r="P85" s="250">
        <v>0</v>
      </c>
      <c r="Q85" s="250">
        <v>0</v>
      </c>
      <c r="R85" s="250">
        <v>0</v>
      </c>
      <c r="S85" s="250">
        <v>0</v>
      </c>
      <c r="T85" s="250">
        <v>0</v>
      </c>
      <c r="U85" s="250">
        <v>0</v>
      </c>
      <c r="V85" s="250">
        <v>0</v>
      </c>
      <c r="W85" s="250">
        <v>0</v>
      </c>
      <c r="X85" s="250">
        <v>0</v>
      </c>
      <c r="Y85" s="250">
        <v>0</v>
      </c>
      <c r="Z85" s="250">
        <v>0</v>
      </c>
      <c r="AA85" s="250">
        <v>0</v>
      </c>
      <c r="AB85" s="250">
        <v>2500</v>
      </c>
      <c r="AC85" s="250">
        <v>0</v>
      </c>
      <c r="AD85" s="250">
        <v>0</v>
      </c>
      <c r="AE85" s="251">
        <v>0</v>
      </c>
      <c r="AF85" s="251">
        <v>0</v>
      </c>
      <c r="AG85" s="251">
        <v>0</v>
      </c>
      <c r="AH85" s="251">
        <v>0</v>
      </c>
      <c r="AI85" s="250">
        <f t="shared" si="1"/>
        <v>2500</v>
      </c>
    </row>
    <row r="86" spans="1:35" x14ac:dyDescent="0.35">
      <c r="A86" s="5" t="s">
        <v>2610</v>
      </c>
      <c r="B86" s="250">
        <v>0</v>
      </c>
      <c r="C86" s="250">
        <v>0</v>
      </c>
      <c r="D86" s="250">
        <v>0</v>
      </c>
      <c r="E86" s="250">
        <v>0</v>
      </c>
      <c r="F86" s="250">
        <v>0</v>
      </c>
      <c r="G86" s="250">
        <v>0</v>
      </c>
      <c r="H86" s="250">
        <v>0</v>
      </c>
      <c r="I86" s="250">
        <v>0</v>
      </c>
      <c r="J86" s="250">
        <v>0</v>
      </c>
      <c r="K86" s="250">
        <v>0</v>
      </c>
      <c r="L86" s="250">
        <v>0</v>
      </c>
      <c r="M86" s="250">
        <v>0</v>
      </c>
      <c r="N86" s="250">
        <v>0</v>
      </c>
      <c r="O86" s="250">
        <v>0</v>
      </c>
      <c r="P86" s="250">
        <v>0</v>
      </c>
      <c r="Q86" s="250">
        <v>0</v>
      </c>
      <c r="R86" s="250">
        <v>0</v>
      </c>
      <c r="S86" s="250">
        <v>0</v>
      </c>
      <c r="T86" s="250">
        <v>0</v>
      </c>
      <c r="U86" s="250">
        <v>0</v>
      </c>
      <c r="V86" s="250">
        <v>0</v>
      </c>
      <c r="W86" s="250">
        <v>0</v>
      </c>
      <c r="X86" s="250">
        <v>0</v>
      </c>
      <c r="Y86" s="247">
        <v>0</v>
      </c>
      <c r="Z86" s="250">
        <v>0</v>
      </c>
      <c r="AA86" s="250">
        <v>0</v>
      </c>
      <c r="AB86" s="250">
        <v>0</v>
      </c>
      <c r="AC86" s="250">
        <v>0</v>
      </c>
      <c r="AD86" s="250">
        <v>0</v>
      </c>
      <c r="AE86" s="251">
        <v>500</v>
      </c>
      <c r="AF86" s="251">
        <v>1500</v>
      </c>
      <c r="AG86" s="251">
        <v>430</v>
      </c>
      <c r="AH86" s="251">
        <v>0</v>
      </c>
      <c r="AI86" s="250">
        <f t="shared" si="1"/>
        <v>2430</v>
      </c>
    </row>
    <row r="87" spans="1:35" x14ac:dyDescent="0.35">
      <c r="A87" s="5" t="s">
        <v>552</v>
      </c>
      <c r="B87" s="250">
        <v>0</v>
      </c>
      <c r="C87" s="250">
        <v>0</v>
      </c>
      <c r="D87" s="250">
        <v>350</v>
      </c>
      <c r="E87" s="250">
        <v>0</v>
      </c>
      <c r="F87" s="250">
        <v>600</v>
      </c>
      <c r="G87" s="250">
        <v>500</v>
      </c>
      <c r="H87" s="250">
        <v>70</v>
      </c>
      <c r="I87" s="250">
        <v>0</v>
      </c>
      <c r="J87" s="250">
        <v>30</v>
      </c>
      <c r="K87" s="250">
        <v>0</v>
      </c>
      <c r="L87" s="250">
        <v>0</v>
      </c>
      <c r="M87" s="250">
        <v>0</v>
      </c>
      <c r="N87" s="250">
        <v>0</v>
      </c>
      <c r="O87" s="250">
        <v>0</v>
      </c>
      <c r="P87" s="250">
        <v>0</v>
      </c>
      <c r="Q87" s="250">
        <v>0</v>
      </c>
      <c r="R87" s="250">
        <v>0</v>
      </c>
      <c r="S87" s="250">
        <v>0</v>
      </c>
      <c r="T87" s="250">
        <v>0</v>
      </c>
      <c r="U87" s="250">
        <v>0</v>
      </c>
      <c r="V87" s="250">
        <v>500</v>
      </c>
      <c r="W87" s="250">
        <v>0</v>
      </c>
      <c r="X87" s="250">
        <v>0</v>
      </c>
      <c r="Y87" s="250">
        <v>0</v>
      </c>
      <c r="Z87" s="250">
        <v>0</v>
      </c>
      <c r="AA87" s="250">
        <v>0</v>
      </c>
      <c r="AB87" s="250">
        <v>0</v>
      </c>
      <c r="AC87" s="250">
        <v>0</v>
      </c>
      <c r="AD87" s="250">
        <v>0</v>
      </c>
      <c r="AE87" s="251">
        <v>0</v>
      </c>
      <c r="AF87" s="251">
        <v>0</v>
      </c>
      <c r="AG87" s="251">
        <v>350</v>
      </c>
      <c r="AH87" s="251">
        <v>0</v>
      </c>
      <c r="AI87" s="250">
        <f t="shared" si="1"/>
        <v>2400</v>
      </c>
    </row>
    <row r="88" spans="1:35" x14ac:dyDescent="0.35">
      <c r="A88" s="246" t="s">
        <v>754</v>
      </c>
      <c r="B88" s="247">
        <v>0</v>
      </c>
      <c r="C88" s="247">
        <v>0</v>
      </c>
      <c r="D88" s="247">
        <v>0</v>
      </c>
      <c r="E88" s="247">
        <v>0</v>
      </c>
      <c r="F88" s="247">
        <v>0</v>
      </c>
      <c r="G88" s="247">
        <v>1000</v>
      </c>
      <c r="H88" s="247">
        <v>0</v>
      </c>
      <c r="I88" s="247">
        <v>0</v>
      </c>
      <c r="J88" s="247">
        <v>0</v>
      </c>
      <c r="K88" s="247">
        <v>0</v>
      </c>
      <c r="L88" s="247">
        <v>0</v>
      </c>
      <c r="M88" s="247">
        <v>0</v>
      </c>
      <c r="N88" s="247">
        <v>0</v>
      </c>
      <c r="O88" s="247">
        <v>0</v>
      </c>
      <c r="P88" s="247">
        <v>0</v>
      </c>
      <c r="Q88" s="247">
        <v>1000</v>
      </c>
      <c r="R88" s="247">
        <v>0</v>
      </c>
      <c r="S88" s="247">
        <v>0</v>
      </c>
      <c r="T88" s="247">
        <v>0</v>
      </c>
      <c r="U88" s="247">
        <v>0</v>
      </c>
      <c r="V88" s="247">
        <v>0</v>
      </c>
      <c r="W88" s="247">
        <v>0</v>
      </c>
      <c r="X88" s="247">
        <v>0</v>
      </c>
      <c r="Y88" s="247">
        <v>0</v>
      </c>
      <c r="Z88" s="247">
        <v>0</v>
      </c>
      <c r="AA88" s="247">
        <v>0</v>
      </c>
      <c r="AB88" s="247">
        <v>0</v>
      </c>
      <c r="AC88" s="247">
        <v>0</v>
      </c>
      <c r="AD88" s="247">
        <v>0</v>
      </c>
      <c r="AE88" s="248">
        <v>0</v>
      </c>
      <c r="AF88" s="248">
        <v>0</v>
      </c>
      <c r="AG88" s="248">
        <v>350</v>
      </c>
      <c r="AH88" s="248">
        <v>0</v>
      </c>
      <c r="AI88" s="247">
        <f t="shared" si="1"/>
        <v>2350</v>
      </c>
    </row>
    <row r="89" spans="1:35" x14ac:dyDescent="0.35">
      <c r="A89" s="246" t="s">
        <v>2543</v>
      </c>
      <c r="B89" s="250">
        <v>0</v>
      </c>
      <c r="C89" s="250">
        <v>0</v>
      </c>
      <c r="D89" s="250">
        <v>0</v>
      </c>
      <c r="E89" s="250">
        <v>0</v>
      </c>
      <c r="F89" s="250">
        <v>0</v>
      </c>
      <c r="G89" s="250">
        <v>0</v>
      </c>
      <c r="H89" s="250">
        <v>0</v>
      </c>
      <c r="I89" s="250">
        <v>0</v>
      </c>
      <c r="J89" s="250">
        <v>0</v>
      </c>
      <c r="K89" s="250">
        <v>0</v>
      </c>
      <c r="L89" s="250">
        <v>0</v>
      </c>
      <c r="M89" s="250">
        <v>0</v>
      </c>
      <c r="N89" s="250">
        <v>0</v>
      </c>
      <c r="O89" s="250">
        <v>0</v>
      </c>
      <c r="P89" s="250">
        <v>0</v>
      </c>
      <c r="Q89" s="250">
        <v>0</v>
      </c>
      <c r="R89" s="250">
        <v>0</v>
      </c>
      <c r="S89" s="250">
        <v>0</v>
      </c>
      <c r="T89" s="250">
        <v>0</v>
      </c>
      <c r="U89" s="250">
        <v>0</v>
      </c>
      <c r="V89" s="250">
        <v>0</v>
      </c>
      <c r="W89" s="250">
        <v>0</v>
      </c>
      <c r="X89" s="250">
        <v>0</v>
      </c>
      <c r="Y89" s="250">
        <v>0</v>
      </c>
      <c r="Z89" s="250">
        <v>0</v>
      </c>
      <c r="AA89" s="250">
        <v>0</v>
      </c>
      <c r="AB89" s="250">
        <v>0</v>
      </c>
      <c r="AC89" s="250">
        <v>0</v>
      </c>
      <c r="AD89" s="250">
        <v>2000</v>
      </c>
      <c r="AE89" s="251">
        <v>0</v>
      </c>
      <c r="AF89" s="251">
        <v>0</v>
      </c>
      <c r="AG89" s="251">
        <v>350</v>
      </c>
      <c r="AH89" s="251">
        <v>0</v>
      </c>
      <c r="AI89" s="250">
        <f t="shared" si="1"/>
        <v>2350</v>
      </c>
    </row>
    <row r="90" spans="1:35" x14ac:dyDescent="0.35">
      <c r="A90" s="5" t="s">
        <v>360</v>
      </c>
      <c r="B90" s="250">
        <v>0</v>
      </c>
      <c r="C90" s="250">
        <v>1500</v>
      </c>
      <c r="D90" s="250">
        <v>0</v>
      </c>
      <c r="E90" s="250">
        <v>0</v>
      </c>
      <c r="F90" s="250">
        <v>0</v>
      </c>
      <c r="G90" s="250">
        <v>0</v>
      </c>
      <c r="H90" s="250">
        <v>0</v>
      </c>
      <c r="I90" s="250">
        <v>0</v>
      </c>
      <c r="J90" s="250">
        <v>0</v>
      </c>
      <c r="K90" s="250">
        <v>0</v>
      </c>
      <c r="L90" s="250">
        <v>0</v>
      </c>
      <c r="M90" s="250">
        <v>0</v>
      </c>
      <c r="N90" s="250">
        <v>0</v>
      </c>
      <c r="O90" s="250">
        <v>0</v>
      </c>
      <c r="P90" s="250">
        <v>0</v>
      </c>
      <c r="Q90" s="250">
        <v>0</v>
      </c>
      <c r="R90" s="250">
        <v>0</v>
      </c>
      <c r="S90" s="250">
        <v>0</v>
      </c>
      <c r="T90" s="250">
        <v>0</v>
      </c>
      <c r="U90" s="250">
        <v>0</v>
      </c>
      <c r="V90" s="250">
        <v>500</v>
      </c>
      <c r="W90" s="250">
        <v>0</v>
      </c>
      <c r="X90" s="250">
        <v>0</v>
      </c>
      <c r="Y90" s="250">
        <v>0</v>
      </c>
      <c r="Z90" s="250">
        <v>0</v>
      </c>
      <c r="AA90" s="250">
        <v>0</v>
      </c>
      <c r="AB90" s="250">
        <v>0</v>
      </c>
      <c r="AC90" s="250">
        <v>0</v>
      </c>
      <c r="AD90" s="250">
        <v>0</v>
      </c>
      <c r="AE90" s="251">
        <v>0</v>
      </c>
      <c r="AF90" s="251">
        <v>0</v>
      </c>
      <c r="AG90" s="251">
        <v>350</v>
      </c>
      <c r="AH90" s="251">
        <v>0</v>
      </c>
      <c r="AI90" s="250">
        <f t="shared" si="1"/>
        <v>2350</v>
      </c>
    </row>
    <row r="91" spans="1:35" x14ac:dyDescent="0.35">
      <c r="A91" s="5" t="s">
        <v>2142</v>
      </c>
      <c r="B91" s="250">
        <v>0</v>
      </c>
      <c r="C91" s="250">
        <v>0</v>
      </c>
      <c r="D91" s="250">
        <v>0</v>
      </c>
      <c r="E91" s="250">
        <v>0</v>
      </c>
      <c r="F91" s="250">
        <v>0</v>
      </c>
      <c r="G91" s="250">
        <v>0</v>
      </c>
      <c r="H91" s="250">
        <v>0</v>
      </c>
      <c r="I91" s="250">
        <v>0</v>
      </c>
      <c r="J91" s="250">
        <v>0</v>
      </c>
      <c r="K91" s="250">
        <v>0</v>
      </c>
      <c r="L91" s="250">
        <v>0</v>
      </c>
      <c r="M91" s="250">
        <v>0</v>
      </c>
      <c r="N91" s="250">
        <v>0</v>
      </c>
      <c r="O91" s="250">
        <v>0</v>
      </c>
      <c r="P91" s="250">
        <v>0</v>
      </c>
      <c r="Q91" s="250">
        <v>0</v>
      </c>
      <c r="R91" s="250">
        <v>0</v>
      </c>
      <c r="S91" s="250">
        <v>0</v>
      </c>
      <c r="T91" s="250">
        <v>1000</v>
      </c>
      <c r="U91" s="250">
        <v>0</v>
      </c>
      <c r="V91" s="250">
        <v>0</v>
      </c>
      <c r="W91" s="250">
        <v>0</v>
      </c>
      <c r="X91" s="250">
        <v>0</v>
      </c>
      <c r="Y91" s="247">
        <v>1000</v>
      </c>
      <c r="Z91" s="250">
        <v>0</v>
      </c>
      <c r="AA91" s="250">
        <v>0</v>
      </c>
      <c r="AB91" s="250">
        <v>0</v>
      </c>
      <c r="AC91" s="250">
        <v>0</v>
      </c>
      <c r="AD91" s="250">
        <v>0</v>
      </c>
      <c r="AE91" s="251">
        <v>0</v>
      </c>
      <c r="AF91" s="251">
        <v>0</v>
      </c>
      <c r="AG91" s="251">
        <v>350</v>
      </c>
      <c r="AH91" s="251">
        <v>0</v>
      </c>
      <c r="AI91" s="250">
        <f t="shared" si="1"/>
        <v>2350</v>
      </c>
    </row>
    <row r="92" spans="1:35" x14ac:dyDescent="0.35">
      <c r="A92" s="5" t="s">
        <v>410</v>
      </c>
      <c r="B92" s="250">
        <v>0</v>
      </c>
      <c r="C92" s="250">
        <v>1500</v>
      </c>
      <c r="D92" s="250">
        <v>0</v>
      </c>
      <c r="E92" s="250">
        <v>0</v>
      </c>
      <c r="F92" s="250">
        <v>0</v>
      </c>
      <c r="G92" s="250">
        <v>0</v>
      </c>
      <c r="H92" s="250">
        <v>0</v>
      </c>
      <c r="I92" s="250">
        <v>0</v>
      </c>
      <c r="J92" s="250">
        <v>0</v>
      </c>
      <c r="K92" s="250">
        <v>0</v>
      </c>
      <c r="L92" s="250">
        <v>0</v>
      </c>
      <c r="M92" s="250">
        <v>0</v>
      </c>
      <c r="N92" s="250">
        <v>0</v>
      </c>
      <c r="O92" s="250">
        <v>0</v>
      </c>
      <c r="P92" s="250">
        <v>0</v>
      </c>
      <c r="Q92" s="250">
        <v>0</v>
      </c>
      <c r="R92" s="250">
        <v>0</v>
      </c>
      <c r="S92" s="250">
        <v>0</v>
      </c>
      <c r="T92" s="250">
        <v>0</v>
      </c>
      <c r="U92" s="250">
        <v>0</v>
      </c>
      <c r="V92" s="250">
        <v>0</v>
      </c>
      <c r="W92" s="250">
        <v>0</v>
      </c>
      <c r="X92" s="250">
        <v>0</v>
      </c>
      <c r="Y92" s="250">
        <v>0</v>
      </c>
      <c r="Z92" s="250">
        <v>0</v>
      </c>
      <c r="AA92" s="250">
        <v>0</v>
      </c>
      <c r="AB92" s="250">
        <v>0</v>
      </c>
      <c r="AC92" s="250">
        <v>0</v>
      </c>
      <c r="AD92" s="250">
        <v>0</v>
      </c>
      <c r="AE92" s="251">
        <v>0</v>
      </c>
      <c r="AF92" s="251">
        <v>0</v>
      </c>
      <c r="AG92" s="251">
        <v>775</v>
      </c>
      <c r="AH92" s="251">
        <v>0</v>
      </c>
      <c r="AI92" s="250">
        <f t="shared" si="1"/>
        <v>2275</v>
      </c>
    </row>
    <row r="93" spans="1:35" x14ac:dyDescent="0.35">
      <c r="A93" s="5" t="s">
        <v>679</v>
      </c>
      <c r="B93" s="250">
        <v>0</v>
      </c>
      <c r="C93" s="250">
        <v>0</v>
      </c>
      <c r="D93" s="250">
        <v>0</v>
      </c>
      <c r="E93" s="250">
        <v>0</v>
      </c>
      <c r="F93" s="250">
        <v>350</v>
      </c>
      <c r="G93" s="250">
        <v>0</v>
      </c>
      <c r="H93" s="250">
        <v>0</v>
      </c>
      <c r="I93" s="250">
        <v>0</v>
      </c>
      <c r="J93" s="250">
        <v>0</v>
      </c>
      <c r="K93" s="250">
        <v>1495</v>
      </c>
      <c r="L93" s="250">
        <v>0</v>
      </c>
      <c r="M93" s="250">
        <v>0</v>
      </c>
      <c r="N93" s="250">
        <v>0</v>
      </c>
      <c r="O93" s="250">
        <v>0</v>
      </c>
      <c r="P93" s="250">
        <v>0</v>
      </c>
      <c r="Q93" s="250">
        <v>0</v>
      </c>
      <c r="R93" s="250">
        <v>0</v>
      </c>
      <c r="S93" s="250">
        <v>0</v>
      </c>
      <c r="T93" s="250">
        <v>0</v>
      </c>
      <c r="U93" s="250">
        <v>0</v>
      </c>
      <c r="V93" s="250">
        <v>0</v>
      </c>
      <c r="W93" s="250">
        <v>0</v>
      </c>
      <c r="X93" s="250">
        <v>0</v>
      </c>
      <c r="Y93" s="250">
        <v>0</v>
      </c>
      <c r="Z93" s="250">
        <v>0</v>
      </c>
      <c r="AA93" s="250">
        <v>0</v>
      </c>
      <c r="AB93" s="250">
        <v>0</v>
      </c>
      <c r="AC93" s="250">
        <v>0</v>
      </c>
      <c r="AD93" s="250">
        <v>0</v>
      </c>
      <c r="AE93" s="251">
        <v>0</v>
      </c>
      <c r="AF93" s="251">
        <v>0</v>
      </c>
      <c r="AG93" s="251">
        <v>350</v>
      </c>
      <c r="AH93" s="251">
        <v>0</v>
      </c>
      <c r="AI93" s="250">
        <f t="shared" si="1"/>
        <v>2195</v>
      </c>
    </row>
    <row r="94" spans="1:35" x14ac:dyDescent="0.35">
      <c r="A94" s="5" t="s">
        <v>1687</v>
      </c>
      <c r="B94" s="250">
        <v>0</v>
      </c>
      <c r="C94" s="250">
        <v>0</v>
      </c>
      <c r="D94" s="250">
        <v>0</v>
      </c>
      <c r="E94" s="250">
        <v>0</v>
      </c>
      <c r="F94" s="250">
        <v>0</v>
      </c>
      <c r="G94" s="250">
        <v>0</v>
      </c>
      <c r="H94" s="250">
        <v>0</v>
      </c>
      <c r="I94" s="250">
        <v>0</v>
      </c>
      <c r="J94" s="250">
        <v>0</v>
      </c>
      <c r="K94" s="250">
        <v>0</v>
      </c>
      <c r="L94" s="250">
        <v>0</v>
      </c>
      <c r="M94" s="250">
        <v>0</v>
      </c>
      <c r="N94" s="250">
        <v>0</v>
      </c>
      <c r="O94" s="250">
        <v>0</v>
      </c>
      <c r="P94" s="250">
        <v>0</v>
      </c>
      <c r="Q94" s="250">
        <v>0</v>
      </c>
      <c r="R94" s="250">
        <v>1350</v>
      </c>
      <c r="S94" s="250">
        <v>0</v>
      </c>
      <c r="T94" s="250">
        <v>0</v>
      </c>
      <c r="U94" s="250">
        <v>0</v>
      </c>
      <c r="V94" s="250">
        <v>0</v>
      </c>
      <c r="W94" s="250">
        <v>0</v>
      </c>
      <c r="X94" s="250">
        <v>0</v>
      </c>
      <c r="Y94" s="250">
        <v>0</v>
      </c>
      <c r="Z94" s="250">
        <v>0</v>
      </c>
      <c r="AA94" s="250">
        <v>450</v>
      </c>
      <c r="AB94" s="250">
        <v>0</v>
      </c>
      <c r="AC94" s="250">
        <v>0</v>
      </c>
      <c r="AD94" s="250">
        <v>0</v>
      </c>
      <c r="AE94" s="251">
        <v>0</v>
      </c>
      <c r="AF94" s="251">
        <v>0</v>
      </c>
      <c r="AG94" s="251">
        <v>350</v>
      </c>
      <c r="AH94" s="251">
        <v>0</v>
      </c>
      <c r="AI94" s="250">
        <f t="shared" si="1"/>
        <v>2150</v>
      </c>
    </row>
    <row r="95" spans="1:35" x14ac:dyDescent="0.35">
      <c r="A95" s="5" t="s">
        <v>1628</v>
      </c>
      <c r="B95" s="250">
        <v>0</v>
      </c>
      <c r="C95" s="250">
        <v>0</v>
      </c>
      <c r="D95" s="250">
        <v>0</v>
      </c>
      <c r="E95" s="250">
        <v>0</v>
      </c>
      <c r="F95" s="250">
        <v>0</v>
      </c>
      <c r="G95" s="250">
        <v>0</v>
      </c>
      <c r="H95" s="250">
        <v>0</v>
      </c>
      <c r="I95" s="250">
        <v>0</v>
      </c>
      <c r="J95" s="250">
        <v>0</v>
      </c>
      <c r="K95" s="250">
        <v>0</v>
      </c>
      <c r="L95" s="250">
        <v>0</v>
      </c>
      <c r="M95" s="250">
        <v>0</v>
      </c>
      <c r="N95" s="250">
        <v>0</v>
      </c>
      <c r="O95" s="250">
        <v>0</v>
      </c>
      <c r="P95" s="250">
        <v>0</v>
      </c>
      <c r="Q95" s="250">
        <v>1000</v>
      </c>
      <c r="R95" s="250">
        <v>0</v>
      </c>
      <c r="S95" s="250">
        <v>0</v>
      </c>
      <c r="T95" s="250">
        <v>0</v>
      </c>
      <c r="U95" s="250">
        <v>0</v>
      </c>
      <c r="V95" s="250">
        <v>0</v>
      </c>
      <c r="W95" s="250">
        <v>0</v>
      </c>
      <c r="X95" s="250">
        <v>0</v>
      </c>
      <c r="Y95" s="250">
        <v>0</v>
      </c>
      <c r="Z95" s="250">
        <v>0</v>
      </c>
      <c r="AA95" s="250">
        <v>0</v>
      </c>
      <c r="AB95" s="250">
        <v>0</v>
      </c>
      <c r="AC95" s="250">
        <v>0</v>
      </c>
      <c r="AD95" s="250">
        <v>0</v>
      </c>
      <c r="AE95" s="251">
        <v>500</v>
      </c>
      <c r="AF95" s="251">
        <v>0</v>
      </c>
      <c r="AG95" s="251">
        <v>550</v>
      </c>
      <c r="AH95" s="251">
        <v>0</v>
      </c>
      <c r="AI95" s="250">
        <f t="shared" si="1"/>
        <v>2050</v>
      </c>
    </row>
    <row r="96" spans="1:35" x14ac:dyDescent="0.35">
      <c r="A96" s="5" t="s">
        <v>377</v>
      </c>
      <c r="B96" s="250">
        <v>0</v>
      </c>
      <c r="C96" s="250">
        <v>1500</v>
      </c>
      <c r="D96" s="250">
        <v>0</v>
      </c>
      <c r="E96" s="250">
        <v>0</v>
      </c>
      <c r="F96" s="250">
        <v>0</v>
      </c>
      <c r="G96" s="250">
        <v>0</v>
      </c>
      <c r="H96" s="250">
        <v>0</v>
      </c>
      <c r="I96" s="250">
        <v>0</v>
      </c>
      <c r="J96" s="250">
        <v>0</v>
      </c>
      <c r="K96" s="250">
        <v>0</v>
      </c>
      <c r="L96" s="250">
        <v>0</v>
      </c>
      <c r="M96" s="250">
        <v>0</v>
      </c>
      <c r="N96" s="250">
        <v>0</v>
      </c>
      <c r="O96" s="250">
        <v>0</v>
      </c>
      <c r="P96" s="250">
        <v>0</v>
      </c>
      <c r="Q96" s="250">
        <v>0</v>
      </c>
      <c r="R96" s="250">
        <v>0</v>
      </c>
      <c r="S96" s="250">
        <v>0</v>
      </c>
      <c r="T96" s="250">
        <v>0</v>
      </c>
      <c r="U96" s="250">
        <v>0</v>
      </c>
      <c r="V96" s="250">
        <v>0</v>
      </c>
      <c r="W96" s="250">
        <v>0</v>
      </c>
      <c r="X96" s="250">
        <v>0</v>
      </c>
      <c r="Y96" s="250">
        <v>0</v>
      </c>
      <c r="Z96" s="250">
        <v>0</v>
      </c>
      <c r="AA96" s="250">
        <v>0</v>
      </c>
      <c r="AB96" s="250">
        <v>0</v>
      </c>
      <c r="AC96" s="250">
        <v>0</v>
      </c>
      <c r="AD96" s="250">
        <v>0</v>
      </c>
      <c r="AE96" s="251">
        <v>0</v>
      </c>
      <c r="AF96" s="251">
        <v>0</v>
      </c>
      <c r="AG96" s="251">
        <v>500</v>
      </c>
      <c r="AH96" s="251">
        <v>0</v>
      </c>
      <c r="AI96" s="250">
        <f t="shared" si="1"/>
        <v>2000</v>
      </c>
    </row>
    <row r="97" spans="1:35" ht="14.25" customHeight="1" x14ac:dyDescent="0.35">
      <c r="A97" s="5" t="s">
        <v>2520</v>
      </c>
      <c r="B97" s="250">
        <v>0</v>
      </c>
      <c r="C97" s="250">
        <v>0</v>
      </c>
      <c r="D97" s="250">
        <v>0</v>
      </c>
      <c r="E97" s="250">
        <v>0</v>
      </c>
      <c r="F97" s="250">
        <v>0</v>
      </c>
      <c r="G97" s="250">
        <v>0</v>
      </c>
      <c r="H97" s="250">
        <v>0</v>
      </c>
      <c r="I97" s="250">
        <v>0</v>
      </c>
      <c r="J97" s="250">
        <v>0</v>
      </c>
      <c r="K97" s="250">
        <v>0</v>
      </c>
      <c r="L97" s="250">
        <v>0</v>
      </c>
      <c r="M97" s="250">
        <v>0</v>
      </c>
      <c r="N97" s="250">
        <v>0</v>
      </c>
      <c r="O97" s="250">
        <v>0</v>
      </c>
      <c r="P97" s="250">
        <v>0</v>
      </c>
      <c r="Q97" s="250">
        <v>0</v>
      </c>
      <c r="R97" s="250">
        <v>0</v>
      </c>
      <c r="S97" s="250">
        <v>0</v>
      </c>
      <c r="T97" s="250">
        <v>0</v>
      </c>
      <c r="U97" s="250">
        <v>0</v>
      </c>
      <c r="V97" s="250">
        <v>0</v>
      </c>
      <c r="W97" s="250">
        <v>0</v>
      </c>
      <c r="X97" s="250">
        <v>0</v>
      </c>
      <c r="Y97" s="250">
        <v>0</v>
      </c>
      <c r="Z97" s="250">
        <v>0</v>
      </c>
      <c r="AA97" s="250">
        <v>0</v>
      </c>
      <c r="AB97" s="250">
        <v>0</v>
      </c>
      <c r="AC97" s="250">
        <v>1500</v>
      </c>
      <c r="AD97" s="250">
        <v>0</v>
      </c>
      <c r="AE97" s="251">
        <v>0</v>
      </c>
      <c r="AF97" s="251">
        <v>0</v>
      </c>
      <c r="AG97" s="251">
        <v>0</v>
      </c>
      <c r="AH97" s="251">
        <v>500</v>
      </c>
      <c r="AI97" s="250">
        <f t="shared" si="1"/>
        <v>2000</v>
      </c>
    </row>
    <row r="98" spans="1:35" ht="14.25" customHeight="1" x14ac:dyDescent="0.35">
      <c r="A98" s="5" t="s">
        <v>1418</v>
      </c>
      <c r="B98" s="250">
        <v>0</v>
      </c>
      <c r="C98" s="250">
        <v>0</v>
      </c>
      <c r="D98" s="250">
        <v>0</v>
      </c>
      <c r="E98" s="250">
        <v>0</v>
      </c>
      <c r="F98" s="250">
        <v>0</v>
      </c>
      <c r="G98" s="250">
        <v>0</v>
      </c>
      <c r="H98" s="250">
        <v>0</v>
      </c>
      <c r="I98" s="250">
        <v>0</v>
      </c>
      <c r="J98" s="250">
        <v>0</v>
      </c>
      <c r="K98" s="250">
        <v>1495</v>
      </c>
      <c r="L98" s="250">
        <v>0</v>
      </c>
      <c r="M98" s="250">
        <v>0</v>
      </c>
      <c r="N98" s="250">
        <v>0</v>
      </c>
      <c r="O98" s="250">
        <v>0</v>
      </c>
      <c r="P98" s="250">
        <v>0</v>
      </c>
      <c r="Q98" s="250">
        <v>0</v>
      </c>
      <c r="R98" s="250">
        <v>0</v>
      </c>
      <c r="S98" s="250">
        <v>0</v>
      </c>
      <c r="T98" s="250">
        <v>0</v>
      </c>
      <c r="U98" s="250">
        <v>0</v>
      </c>
      <c r="V98" s="250">
        <v>0</v>
      </c>
      <c r="W98" s="250">
        <v>0</v>
      </c>
      <c r="X98" s="250">
        <v>0</v>
      </c>
      <c r="Y98" s="247">
        <v>0</v>
      </c>
      <c r="Z98" s="250">
        <v>0</v>
      </c>
      <c r="AA98" s="250">
        <v>0</v>
      </c>
      <c r="AB98" s="250">
        <v>0</v>
      </c>
      <c r="AC98" s="250">
        <v>0</v>
      </c>
      <c r="AD98" s="250">
        <v>0</v>
      </c>
      <c r="AE98" s="251">
        <v>0</v>
      </c>
      <c r="AF98" s="251">
        <v>0</v>
      </c>
      <c r="AG98" s="251">
        <v>500</v>
      </c>
      <c r="AH98" s="251">
        <v>0</v>
      </c>
      <c r="AI98" s="250">
        <f t="shared" si="1"/>
        <v>1995</v>
      </c>
    </row>
    <row r="99" spans="1:35" x14ac:dyDescent="0.35">
      <c r="A99" s="5" t="s">
        <v>2601</v>
      </c>
      <c r="B99" s="250">
        <v>0</v>
      </c>
      <c r="C99" s="250">
        <v>1500</v>
      </c>
      <c r="D99" s="250">
        <v>0</v>
      </c>
      <c r="E99" s="250">
        <v>0</v>
      </c>
      <c r="F99" s="250">
        <v>0</v>
      </c>
      <c r="G99" s="250">
        <v>0</v>
      </c>
      <c r="H99" s="250">
        <v>0</v>
      </c>
      <c r="I99" s="250">
        <v>0</v>
      </c>
      <c r="J99" s="250">
        <v>0</v>
      </c>
      <c r="K99" s="250">
        <v>0</v>
      </c>
      <c r="L99" s="250">
        <v>0</v>
      </c>
      <c r="M99" s="250">
        <v>0</v>
      </c>
      <c r="N99" s="250">
        <v>0</v>
      </c>
      <c r="O99" s="250">
        <v>0</v>
      </c>
      <c r="P99" s="250">
        <v>0</v>
      </c>
      <c r="Q99" s="250">
        <v>0</v>
      </c>
      <c r="R99" s="250">
        <v>0</v>
      </c>
      <c r="S99" s="250">
        <v>0</v>
      </c>
      <c r="T99" s="250">
        <v>0</v>
      </c>
      <c r="U99" s="250">
        <v>0</v>
      </c>
      <c r="V99" s="250">
        <v>0</v>
      </c>
      <c r="W99" s="250">
        <v>0</v>
      </c>
      <c r="X99" s="250">
        <v>0</v>
      </c>
      <c r="Y99" s="250">
        <v>0</v>
      </c>
      <c r="Z99" s="250">
        <v>0</v>
      </c>
      <c r="AA99" s="250">
        <v>0</v>
      </c>
      <c r="AB99" s="250">
        <v>0</v>
      </c>
      <c r="AC99" s="250">
        <v>0</v>
      </c>
      <c r="AD99" s="250">
        <v>0</v>
      </c>
      <c r="AE99" s="251">
        <v>0</v>
      </c>
      <c r="AF99" s="251">
        <v>0</v>
      </c>
      <c r="AG99" s="251">
        <v>480</v>
      </c>
      <c r="AH99" s="251">
        <v>0</v>
      </c>
      <c r="AI99" s="250">
        <f t="shared" si="1"/>
        <v>1980</v>
      </c>
    </row>
    <row r="100" spans="1:35" x14ac:dyDescent="0.35">
      <c r="A100" s="5" t="s">
        <v>1412</v>
      </c>
      <c r="B100" s="250">
        <v>0</v>
      </c>
      <c r="C100" s="250">
        <v>0</v>
      </c>
      <c r="D100" s="250">
        <v>0</v>
      </c>
      <c r="E100" s="250">
        <v>0</v>
      </c>
      <c r="F100" s="250">
        <v>0</v>
      </c>
      <c r="G100" s="250">
        <v>0</v>
      </c>
      <c r="H100" s="250">
        <v>0</v>
      </c>
      <c r="I100" s="250">
        <v>0</v>
      </c>
      <c r="J100" s="250">
        <v>0</v>
      </c>
      <c r="K100" s="250">
        <v>1495</v>
      </c>
      <c r="L100" s="250">
        <v>0</v>
      </c>
      <c r="M100" s="250">
        <v>0</v>
      </c>
      <c r="N100" s="250">
        <v>0</v>
      </c>
      <c r="O100" s="250">
        <v>0</v>
      </c>
      <c r="P100" s="250">
        <v>0</v>
      </c>
      <c r="Q100" s="250">
        <v>0</v>
      </c>
      <c r="R100" s="250">
        <v>0</v>
      </c>
      <c r="S100" s="250">
        <v>0</v>
      </c>
      <c r="T100" s="250">
        <v>0</v>
      </c>
      <c r="U100" s="250">
        <v>0</v>
      </c>
      <c r="V100" s="250">
        <v>0</v>
      </c>
      <c r="W100" s="250">
        <v>0</v>
      </c>
      <c r="X100" s="250">
        <v>0</v>
      </c>
      <c r="Y100" s="250">
        <v>0</v>
      </c>
      <c r="Z100" s="250">
        <v>0</v>
      </c>
      <c r="AA100" s="250">
        <v>0</v>
      </c>
      <c r="AB100" s="250">
        <v>0</v>
      </c>
      <c r="AC100" s="250">
        <v>0</v>
      </c>
      <c r="AD100" s="250">
        <v>0</v>
      </c>
      <c r="AE100" s="251">
        <v>0</v>
      </c>
      <c r="AF100" s="251">
        <v>0</v>
      </c>
      <c r="AG100" s="251">
        <v>480</v>
      </c>
      <c r="AH100" s="251">
        <v>0</v>
      </c>
      <c r="AI100" s="250">
        <f t="shared" si="1"/>
        <v>1975</v>
      </c>
    </row>
    <row r="101" spans="1:35" x14ac:dyDescent="0.35">
      <c r="A101" s="246" t="s">
        <v>165</v>
      </c>
      <c r="B101" s="247">
        <v>0</v>
      </c>
      <c r="C101" s="247">
        <v>0</v>
      </c>
      <c r="D101" s="247">
        <v>0</v>
      </c>
      <c r="E101" s="247">
        <v>0</v>
      </c>
      <c r="F101" s="247">
        <v>0</v>
      </c>
      <c r="G101" s="247">
        <v>0</v>
      </c>
      <c r="H101" s="247">
        <v>0</v>
      </c>
      <c r="I101" s="247">
        <v>0</v>
      </c>
      <c r="J101" s="247">
        <v>0</v>
      </c>
      <c r="K101" s="247">
        <v>0</v>
      </c>
      <c r="L101" s="247">
        <v>0</v>
      </c>
      <c r="M101" s="247">
        <v>0</v>
      </c>
      <c r="N101" s="247">
        <v>0</v>
      </c>
      <c r="O101" s="247">
        <v>0</v>
      </c>
      <c r="P101" s="247">
        <v>0</v>
      </c>
      <c r="Q101" s="247">
        <v>0</v>
      </c>
      <c r="R101" s="247">
        <v>0</v>
      </c>
      <c r="S101" s="247">
        <v>0</v>
      </c>
      <c r="T101" s="247">
        <v>0</v>
      </c>
      <c r="U101" s="247">
        <v>0</v>
      </c>
      <c r="V101" s="247">
        <v>0</v>
      </c>
      <c r="W101" s="247">
        <v>0</v>
      </c>
      <c r="X101" s="247">
        <v>0</v>
      </c>
      <c r="Y101" s="247">
        <v>0</v>
      </c>
      <c r="Z101" s="247">
        <v>0</v>
      </c>
      <c r="AA101" s="247">
        <v>1000</v>
      </c>
      <c r="AB101" s="247">
        <v>0</v>
      </c>
      <c r="AC101" s="247">
        <v>0</v>
      </c>
      <c r="AD101" s="247">
        <v>0</v>
      </c>
      <c r="AE101" s="248">
        <v>0</v>
      </c>
      <c r="AF101" s="248">
        <v>0</v>
      </c>
      <c r="AG101" s="248">
        <v>950</v>
      </c>
      <c r="AH101" s="248">
        <v>0</v>
      </c>
      <c r="AI101" s="250">
        <f t="shared" si="1"/>
        <v>1950</v>
      </c>
    </row>
    <row r="102" spans="1:35" x14ac:dyDescent="0.35">
      <c r="A102" s="246" t="s">
        <v>2596</v>
      </c>
      <c r="B102" s="250">
        <v>0</v>
      </c>
      <c r="C102" s="250">
        <v>0</v>
      </c>
      <c r="D102" s="250">
        <v>0</v>
      </c>
      <c r="E102" s="250">
        <v>0</v>
      </c>
      <c r="F102" s="250">
        <v>0</v>
      </c>
      <c r="G102" s="250">
        <v>0</v>
      </c>
      <c r="H102" s="250">
        <v>0</v>
      </c>
      <c r="I102" s="250">
        <v>0</v>
      </c>
      <c r="J102" s="250">
        <v>0</v>
      </c>
      <c r="K102" s="250">
        <v>0</v>
      </c>
      <c r="L102" s="250">
        <v>0</v>
      </c>
      <c r="M102" s="250">
        <v>0</v>
      </c>
      <c r="N102" s="250">
        <v>0</v>
      </c>
      <c r="O102" s="250">
        <v>0</v>
      </c>
      <c r="P102" s="250">
        <v>0</v>
      </c>
      <c r="Q102" s="250">
        <v>0</v>
      </c>
      <c r="R102" s="250">
        <v>0</v>
      </c>
      <c r="S102" s="250">
        <v>0</v>
      </c>
      <c r="T102" s="250">
        <v>0</v>
      </c>
      <c r="U102" s="250">
        <v>0</v>
      </c>
      <c r="V102" s="250">
        <v>0</v>
      </c>
      <c r="W102" s="250">
        <v>1500</v>
      </c>
      <c r="X102" s="250">
        <v>0</v>
      </c>
      <c r="Y102" s="250">
        <v>0</v>
      </c>
      <c r="Z102" s="250">
        <v>0</v>
      </c>
      <c r="AA102" s="250">
        <v>0</v>
      </c>
      <c r="AB102" s="250">
        <v>0</v>
      </c>
      <c r="AC102" s="250">
        <v>0</v>
      </c>
      <c r="AD102" s="250">
        <v>0</v>
      </c>
      <c r="AE102" s="251">
        <v>0</v>
      </c>
      <c r="AF102" s="251">
        <v>0</v>
      </c>
      <c r="AG102" s="251">
        <v>430</v>
      </c>
      <c r="AH102" s="251">
        <v>0</v>
      </c>
      <c r="AI102" s="250">
        <f t="shared" si="1"/>
        <v>1930</v>
      </c>
    </row>
    <row r="103" spans="1:35" x14ac:dyDescent="0.35">
      <c r="A103" s="5" t="s">
        <v>1175</v>
      </c>
      <c r="B103" s="250">
        <v>0</v>
      </c>
      <c r="C103" s="250">
        <v>0</v>
      </c>
      <c r="D103" s="250">
        <v>0</v>
      </c>
      <c r="E103" s="250">
        <v>0</v>
      </c>
      <c r="F103" s="250">
        <v>0</v>
      </c>
      <c r="G103" s="250">
        <v>0</v>
      </c>
      <c r="H103" s="250">
        <v>0</v>
      </c>
      <c r="I103" s="250">
        <v>0</v>
      </c>
      <c r="J103" s="250">
        <v>0</v>
      </c>
      <c r="K103" s="250">
        <v>0</v>
      </c>
      <c r="L103" s="250">
        <v>0</v>
      </c>
      <c r="M103" s="250">
        <v>0</v>
      </c>
      <c r="N103" s="250">
        <v>0</v>
      </c>
      <c r="O103" s="250">
        <v>0</v>
      </c>
      <c r="P103" s="250">
        <v>0</v>
      </c>
      <c r="Q103" s="250">
        <v>0</v>
      </c>
      <c r="R103" s="250">
        <v>0</v>
      </c>
      <c r="S103" s="250">
        <v>0</v>
      </c>
      <c r="T103" s="250">
        <v>0</v>
      </c>
      <c r="U103" s="250">
        <v>0</v>
      </c>
      <c r="V103" s="250">
        <v>0</v>
      </c>
      <c r="W103" s="250">
        <v>0</v>
      </c>
      <c r="X103" s="250">
        <v>0</v>
      </c>
      <c r="Y103" s="250">
        <v>0</v>
      </c>
      <c r="Z103" s="250">
        <v>0</v>
      </c>
      <c r="AA103" s="250">
        <v>0</v>
      </c>
      <c r="AB103" s="250"/>
      <c r="AC103" s="250">
        <v>0</v>
      </c>
      <c r="AD103" s="250">
        <v>0</v>
      </c>
      <c r="AE103" s="251">
        <v>0</v>
      </c>
      <c r="AF103" s="251">
        <v>1500</v>
      </c>
      <c r="AG103" s="251">
        <v>430</v>
      </c>
      <c r="AH103" s="251">
        <v>0</v>
      </c>
      <c r="AI103" s="250">
        <f t="shared" si="1"/>
        <v>1930</v>
      </c>
    </row>
    <row r="104" spans="1:35" x14ac:dyDescent="0.35">
      <c r="A104" s="5" t="s">
        <v>428</v>
      </c>
      <c r="B104" s="250">
        <v>0</v>
      </c>
      <c r="C104" s="250">
        <v>1500</v>
      </c>
      <c r="D104" s="250">
        <v>0</v>
      </c>
      <c r="E104" s="250">
        <v>0</v>
      </c>
      <c r="F104" s="250">
        <v>0</v>
      </c>
      <c r="G104" s="250">
        <v>0</v>
      </c>
      <c r="H104" s="250">
        <v>0</v>
      </c>
      <c r="I104" s="250">
        <v>0</v>
      </c>
      <c r="J104" s="250">
        <v>0</v>
      </c>
      <c r="K104" s="250">
        <v>0</v>
      </c>
      <c r="L104" s="250">
        <v>0</v>
      </c>
      <c r="M104" s="250">
        <v>0</v>
      </c>
      <c r="N104" s="250">
        <v>0</v>
      </c>
      <c r="O104" s="250">
        <v>0</v>
      </c>
      <c r="P104" s="250">
        <v>0</v>
      </c>
      <c r="Q104" s="250">
        <v>0</v>
      </c>
      <c r="R104" s="250">
        <v>0</v>
      </c>
      <c r="S104" s="250">
        <v>0</v>
      </c>
      <c r="T104" s="250">
        <v>0</v>
      </c>
      <c r="U104" s="250">
        <v>0</v>
      </c>
      <c r="V104" s="250">
        <v>0</v>
      </c>
      <c r="W104" s="250">
        <v>0</v>
      </c>
      <c r="X104" s="250">
        <v>0</v>
      </c>
      <c r="Y104" s="250">
        <v>0</v>
      </c>
      <c r="Z104" s="250">
        <v>0</v>
      </c>
      <c r="AA104" s="250">
        <v>0</v>
      </c>
      <c r="AB104" s="250">
        <v>0</v>
      </c>
      <c r="AC104" s="250">
        <v>0</v>
      </c>
      <c r="AD104" s="250">
        <v>0</v>
      </c>
      <c r="AE104" s="251">
        <v>0</v>
      </c>
      <c r="AF104" s="251">
        <v>0</v>
      </c>
      <c r="AG104" s="251">
        <v>430</v>
      </c>
      <c r="AH104" s="251">
        <v>0</v>
      </c>
      <c r="AI104" s="250">
        <f t="shared" si="1"/>
        <v>1930</v>
      </c>
    </row>
    <row r="105" spans="1:35" x14ac:dyDescent="0.35">
      <c r="A105" s="5" t="s">
        <v>1407</v>
      </c>
      <c r="B105" s="250">
        <v>0</v>
      </c>
      <c r="C105" s="250">
        <v>0</v>
      </c>
      <c r="D105" s="250">
        <v>0</v>
      </c>
      <c r="E105" s="250">
        <v>0</v>
      </c>
      <c r="F105" s="250">
        <v>0</v>
      </c>
      <c r="G105" s="250">
        <v>0</v>
      </c>
      <c r="H105" s="250">
        <v>0</v>
      </c>
      <c r="I105" s="250">
        <v>0</v>
      </c>
      <c r="J105" s="250">
        <v>0</v>
      </c>
      <c r="K105" s="250">
        <v>1495</v>
      </c>
      <c r="L105" s="250">
        <v>0</v>
      </c>
      <c r="M105" s="250">
        <v>0</v>
      </c>
      <c r="N105" s="250">
        <v>0</v>
      </c>
      <c r="O105" s="250">
        <v>0</v>
      </c>
      <c r="P105" s="250">
        <v>0</v>
      </c>
      <c r="Q105" s="250">
        <v>0</v>
      </c>
      <c r="R105" s="250">
        <v>0</v>
      </c>
      <c r="S105" s="250">
        <v>0</v>
      </c>
      <c r="T105" s="250">
        <v>0</v>
      </c>
      <c r="U105" s="250">
        <v>0</v>
      </c>
      <c r="V105" s="250">
        <v>0</v>
      </c>
      <c r="W105" s="250">
        <v>0</v>
      </c>
      <c r="X105" s="250">
        <v>0</v>
      </c>
      <c r="Y105" s="250">
        <v>0</v>
      </c>
      <c r="Z105" s="250">
        <v>0</v>
      </c>
      <c r="AA105" s="250">
        <v>0</v>
      </c>
      <c r="AB105" s="250">
        <v>0</v>
      </c>
      <c r="AC105" s="250">
        <v>0</v>
      </c>
      <c r="AD105" s="250">
        <v>0</v>
      </c>
      <c r="AE105" s="251">
        <v>0</v>
      </c>
      <c r="AF105" s="251">
        <v>0</v>
      </c>
      <c r="AG105" s="251">
        <v>430</v>
      </c>
      <c r="AH105" s="251">
        <v>0</v>
      </c>
      <c r="AI105" s="250">
        <f t="shared" si="1"/>
        <v>1925</v>
      </c>
    </row>
    <row r="106" spans="1:35" x14ac:dyDescent="0.35">
      <c r="A106" s="5" t="s">
        <v>545</v>
      </c>
      <c r="B106" s="250">
        <v>0</v>
      </c>
      <c r="C106" s="250">
        <v>0</v>
      </c>
      <c r="D106" s="250">
        <v>850</v>
      </c>
      <c r="E106" s="250">
        <v>0</v>
      </c>
      <c r="F106" s="250">
        <v>700</v>
      </c>
      <c r="G106" s="250">
        <v>0</v>
      </c>
      <c r="H106" s="250">
        <v>0</v>
      </c>
      <c r="I106" s="250">
        <v>0</v>
      </c>
      <c r="J106" s="250">
        <v>0</v>
      </c>
      <c r="K106" s="250">
        <v>0</v>
      </c>
      <c r="L106" s="250">
        <v>0</v>
      </c>
      <c r="M106" s="250">
        <v>0</v>
      </c>
      <c r="N106" s="250">
        <v>0</v>
      </c>
      <c r="O106" s="250">
        <v>0</v>
      </c>
      <c r="P106" s="250">
        <v>0</v>
      </c>
      <c r="Q106" s="250">
        <v>0</v>
      </c>
      <c r="R106" s="250">
        <v>0</v>
      </c>
      <c r="S106" s="250">
        <v>0</v>
      </c>
      <c r="T106" s="250">
        <v>0</v>
      </c>
      <c r="U106" s="250">
        <v>0</v>
      </c>
      <c r="V106" s="250">
        <v>0</v>
      </c>
      <c r="W106" s="250">
        <v>0</v>
      </c>
      <c r="X106" s="250">
        <v>0</v>
      </c>
      <c r="Y106" s="250">
        <v>0</v>
      </c>
      <c r="Z106" s="250">
        <v>0</v>
      </c>
      <c r="AA106" s="250">
        <v>0</v>
      </c>
      <c r="AB106" s="250">
        <v>0</v>
      </c>
      <c r="AC106" s="250">
        <v>0</v>
      </c>
      <c r="AD106" s="250">
        <v>0</v>
      </c>
      <c r="AE106" s="251">
        <v>0</v>
      </c>
      <c r="AF106" s="251">
        <v>0</v>
      </c>
      <c r="AG106" s="251">
        <v>350</v>
      </c>
      <c r="AH106" s="251">
        <v>0</v>
      </c>
      <c r="AI106" s="250">
        <f t="shared" si="1"/>
        <v>1900</v>
      </c>
    </row>
    <row r="107" spans="1:35" x14ac:dyDescent="0.35">
      <c r="A107" s="5" t="s">
        <v>2608</v>
      </c>
      <c r="B107" s="250">
        <v>0</v>
      </c>
      <c r="C107" s="250">
        <v>0</v>
      </c>
      <c r="D107" s="250">
        <v>0</v>
      </c>
      <c r="E107" s="250">
        <v>0</v>
      </c>
      <c r="F107" s="250">
        <v>0</v>
      </c>
      <c r="G107" s="250">
        <v>0</v>
      </c>
      <c r="H107" s="250">
        <v>0</v>
      </c>
      <c r="I107" s="250">
        <v>0</v>
      </c>
      <c r="J107" s="250">
        <v>0</v>
      </c>
      <c r="K107" s="250">
        <v>0</v>
      </c>
      <c r="L107" s="250">
        <v>0</v>
      </c>
      <c r="M107" s="250">
        <v>0</v>
      </c>
      <c r="N107" s="250">
        <v>0</v>
      </c>
      <c r="O107" s="250">
        <v>0</v>
      </c>
      <c r="P107" s="250">
        <v>0</v>
      </c>
      <c r="Q107" s="250">
        <v>1000</v>
      </c>
      <c r="R107" s="250">
        <v>0</v>
      </c>
      <c r="S107" s="250">
        <v>0</v>
      </c>
      <c r="T107" s="250">
        <v>0</v>
      </c>
      <c r="U107" s="250">
        <v>0</v>
      </c>
      <c r="V107" s="250">
        <v>0</v>
      </c>
      <c r="W107" s="250">
        <v>0</v>
      </c>
      <c r="X107" s="250">
        <v>0</v>
      </c>
      <c r="Y107" s="250">
        <v>0</v>
      </c>
      <c r="Z107" s="250">
        <v>0</v>
      </c>
      <c r="AA107" s="250">
        <v>0</v>
      </c>
      <c r="AB107" s="250">
        <v>0</v>
      </c>
      <c r="AC107" s="250">
        <v>0</v>
      </c>
      <c r="AD107" s="250">
        <v>0</v>
      </c>
      <c r="AE107" s="251">
        <v>0</v>
      </c>
      <c r="AF107" s="251">
        <v>0</v>
      </c>
      <c r="AG107" s="251">
        <v>860</v>
      </c>
      <c r="AH107" s="251">
        <v>0</v>
      </c>
      <c r="AI107" s="250">
        <f t="shared" si="1"/>
        <v>1860</v>
      </c>
    </row>
    <row r="108" spans="1:35" x14ac:dyDescent="0.35">
      <c r="A108" s="246" t="s">
        <v>2591</v>
      </c>
      <c r="B108" s="247">
        <v>0</v>
      </c>
      <c r="C108" s="247">
        <v>1500</v>
      </c>
      <c r="D108" s="247">
        <v>0</v>
      </c>
      <c r="E108" s="247">
        <v>0</v>
      </c>
      <c r="F108" s="247">
        <v>0</v>
      </c>
      <c r="G108" s="247">
        <v>0</v>
      </c>
      <c r="H108" s="247">
        <v>0</v>
      </c>
      <c r="I108" s="247">
        <v>0</v>
      </c>
      <c r="J108" s="247">
        <v>0</v>
      </c>
      <c r="K108" s="247">
        <v>0</v>
      </c>
      <c r="L108" s="247">
        <v>0</v>
      </c>
      <c r="M108" s="247">
        <v>0</v>
      </c>
      <c r="N108" s="247">
        <v>0</v>
      </c>
      <c r="O108" s="247">
        <v>0</v>
      </c>
      <c r="P108" s="247">
        <v>0</v>
      </c>
      <c r="Q108" s="247">
        <v>0</v>
      </c>
      <c r="R108" s="247">
        <v>0</v>
      </c>
      <c r="S108" s="247">
        <v>0</v>
      </c>
      <c r="T108" s="247">
        <v>0</v>
      </c>
      <c r="U108" s="247">
        <v>0</v>
      </c>
      <c r="V108" s="247">
        <v>0</v>
      </c>
      <c r="W108" s="247">
        <v>0</v>
      </c>
      <c r="X108" s="247">
        <v>0</v>
      </c>
      <c r="Y108" s="247">
        <v>0</v>
      </c>
      <c r="Z108" s="247">
        <v>0</v>
      </c>
      <c r="AA108" s="247">
        <v>0</v>
      </c>
      <c r="AB108" s="247">
        <v>0</v>
      </c>
      <c r="AC108" s="247">
        <v>0</v>
      </c>
      <c r="AD108" s="247">
        <v>0</v>
      </c>
      <c r="AE108" s="248">
        <v>0</v>
      </c>
      <c r="AF108" s="248">
        <v>0</v>
      </c>
      <c r="AG108" s="248">
        <v>350</v>
      </c>
      <c r="AH108" s="248">
        <v>0</v>
      </c>
      <c r="AI108" s="247">
        <f t="shared" si="1"/>
        <v>1850</v>
      </c>
    </row>
    <row r="109" spans="1:35" x14ac:dyDescent="0.35">
      <c r="A109" s="246" t="s">
        <v>151</v>
      </c>
      <c r="B109" s="247">
        <v>0</v>
      </c>
      <c r="C109" s="247">
        <v>1500</v>
      </c>
      <c r="D109" s="247">
        <v>0</v>
      </c>
      <c r="E109" s="247">
        <v>0</v>
      </c>
      <c r="F109" s="247">
        <v>0</v>
      </c>
      <c r="G109" s="247">
        <v>0</v>
      </c>
      <c r="H109" s="247">
        <v>0</v>
      </c>
      <c r="I109" s="247">
        <v>0</v>
      </c>
      <c r="J109" s="247">
        <v>0</v>
      </c>
      <c r="K109" s="247">
        <v>0</v>
      </c>
      <c r="L109" s="247">
        <v>0</v>
      </c>
      <c r="M109" s="247">
        <v>0</v>
      </c>
      <c r="N109" s="247">
        <v>0</v>
      </c>
      <c r="O109" s="247">
        <v>0</v>
      </c>
      <c r="P109" s="247">
        <v>0</v>
      </c>
      <c r="Q109" s="247">
        <v>0</v>
      </c>
      <c r="R109" s="247">
        <v>0</v>
      </c>
      <c r="S109" s="247">
        <v>0</v>
      </c>
      <c r="T109" s="247">
        <v>0</v>
      </c>
      <c r="U109" s="247">
        <v>0</v>
      </c>
      <c r="V109" s="247">
        <v>0</v>
      </c>
      <c r="W109" s="247">
        <v>0</v>
      </c>
      <c r="X109" s="247">
        <v>0</v>
      </c>
      <c r="Y109" s="247">
        <v>0</v>
      </c>
      <c r="Z109" s="247">
        <v>0</v>
      </c>
      <c r="AA109" s="247">
        <v>0</v>
      </c>
      <c r="AB109" s="247">
        <v>0</v>
      </c>
      <c r="AC109" s="247">
        <v>0</v>
      </c>
      <c r="AD109" s="247">
        <v>0</v>
      </c>
      <c r="AE109" s="248">
        <v>0</v>
      </c>
      <c r="AF109" s="248">
        <v>0</v>
      </c>
      <c r="AG109" s="248">
        <v>350</v>
      </c>
      <c r="AH109" s="248">
        <v>0</v>
      </c>
      <c r="AI109" s="250">
        <f t="shared" si="1"/>
        <v>1850</v>
      </c>
    </row>
    <row r="110" spans="1:35" x14ac:dyDescent="0.35">
      <c r="A110" s="5" t="s">
        <v>322</v>
      </c>
      <c r="B110" s="250">
        <v>0</v>
      </c>
      <c r="C110" s="250">
        <v>1500</v>
      </c>
      <c r="D110" s="250">
        <v>0</v>
      </c>
      <c r="E110" s="250">
        <v>0</v>
      </c>
      <c r="F110" s="250">
        <v>0</v>
      </c>
      <c r="G110" s="250">
        <v>0</v>
      </c>
      <c r="H110" s="250">
        <v>0</v>
      </c>
      <c r="I110" s="250">
        <v>0</v>
      </c>
      <c r="J110" s="250">
        <v>0</v>
      </c>
      <c r="K110" s="250">
        <v>0</v>
      </c>
      <c r="L110" s="250">
        <v>0</v>
      </c>
      <c r="M110" s="250">
        <v>0</v>
      </c>
      <c r="N110" s="250">
        <v>0</v>
      </c>
      <c r="O110" s="250">
        <v>0</v>
      </c>
      <c r="P110" s="250">
        <v>0</v>
      </c>
      <c r="Q110" s="250">
        <v>0</v>
      </c>
      <c r="R110" s="250">
        <v>0</v>
      </c>
      <c r="S110" s="250">
        <v>0</v>
      </c>
      <c r="T110" s="250">
        <v>0</v>
      </c>
      <c r="U110" s="250">
        <v>0</v>
      </c>
      <c r="V110" s="250">
        <v>0</v>
      </c>
      <c r="W110" s="250">
        <v>0</v>
      </c>
      <c r="X110" s="250">
        <v>0</v>
      </c>
      <c r="Y110" s="250">
        <v>0</v>
      </c>
      <c r="Z110" s="250">
        <v>0</v>
      </c>
      <c r="AA110" s="250">
        <v>0</v>
      </c>
      <c r="AB110" s="250">
        <v>0</v>
      </c>
      <c r="AC110" s="250">
        <v>0</v>
      </c>
      <c r="AD110" s="250">
        <v>0</v>
      </c>
      <c r="AE110" s="251">
        <v>0</v>
      </c>
      <c r="AF110" s="251">
        <v>0</v>
      </c>
      <c r="AG110" s="251">
        <v>350</v>
      </c>
      <c r="AH110" s="251">
        <v>0</v>
      </c>
      <c r="AI110" s="250">
        <f t="shared" si="1"/>
        <v>1850</v>
      </c>
    </row>
    <row r="111" spans="1:35" x14ac:dyDescent="0.35">
      <c r="A111" s="5" t="s">
        <v>449</v>
      </c>
      <c r="B111" s="250">
        <v>0</v>
      </c>
      <c r="C111" s="250">
        <v>1500</v>
      </c>
      <c r="D111" s="250">
        <v>0</v>
      </c>
      <c r="E111" s="250">
        <v>0</v>
      </c>
      <c r="F111" s="250">
        <v>0</v>
      </c>
      <c r="G111" s="250">
        <v>0</v>
      </c>
      <c r="H111" s="250">
        <v>0</v>
      </c>
      <c r="I111" s="250">
        <v>0</v>
      </c>
      <c r="J111" s="250">
        <v>0</v>
      </c>
      <c r="K111" s="250">
        <v>0</v>
      </c>
      <c r="L111" s="250">
        <v>0</v>
      </c>
      <c r="M111" s="250">
        <v>0</v>
      </c>
      <c r="N111" s="250">
        <v>0</v>
      </c>
      <c r="O111" s="250">
        <v>0</v>
      </c>
      <c r="P111" s="250">
        <v>0</v>
      </c>
      <c r="Q111" s="250">
        <v>0</v>
      </c>
      <c r="R111" s="250">
        <v>0</v>
      </c>
      <c r="S111" s="250">
        <v>0</v>
      </c>
      <c r="T111" s="250">
        <v>0</v>
      </c>
      <c r="U111" s="250">
        <v>0</v>
      </c>
      <c r="V111" s="250">
        <v>0</v>
      </c>
      <c r="W111" s="250">
        <v>0</v>
      </c>
      <c r="X111" s="250">
        <v>0</v>
      </c>
      <c r="Y111" s="250">
        <v>0</v>
      </c>
      <c r="Z111" s="250">
        <v>0</v>
      </c>
      <c r="AA111" s="250">
        <v>0</v>
      </c>
      <c r="AB111" s="250">
        <v>0</v>
      </c>
      <c r="AC111" s="250">
        <v>0</v>
      </c>
      <c r="AD111" s="250">
        <v>0</v>
      </c>
      <c r="AE111" s="251">
        <v>0</v>
      </c>
      <c r="AF111" s="251">
        <v>0</v>
      </c>
      <c r="AG111" s="251">
        <v>350</v>
      </c>
      <c r="AH111" s="251">
        <v>0</v>
      </c>
      <c r="AI111" s="250">
        <f t="shared" si="1"/>
        <v>1850</v>
      </c>
    </row>
    <row r="112" spans="1:35" x14ac:dyDescent="0.35">
      <c r="A112" s="5" t="s">
        <v>1215</v>
      </c>
      <c r="B112" s="250">
        <v>0</v>
      </c>
      <c r="C112" s="250">
        <v>0</v>
      </c>
      <c r="D112" s="250">
        <v>0</v>
      </c>
      <c r="E112" s="250">
        <v>0</v>
      </c>
      <c r="F112" s="250">
        <v>0</v>
      </c>
      <c r="G112" s="250">
        <v>0</v>
      </c>
      <c r="H112" s="250">
        <v>0</v>
      </c>
      <c r="I112" s="250">
        <v>0</v>
      </c>
      <c r="J112" s="250">
        <v>0</v>
      </c>
      <c r="K112" s="250">
        <v>0</v>
      </c>
      <c r="L112" s="250">
        <v>0</v>
      </c>
      <c r="M112" s="250">
        <v>0</v>
      </c>
      <c r="N112" s="250">
        <v>0</v>
      </c>
      <c r="O112" s="250">
        <v>0</v>
      </c>
      <c r="P112" s="250">
        <v>0</v>
      </c>
      <c r="Q112" s="250">
        <v>0</v>
      </c>
      <c r="R112" s="250">
        <v>0</v>
      </c>
      <c r="S112" s="250">
        <v>0</v>
      </c>
      <c r="T112" s="250">
        <v>0</v>
      </c>
      <c r="U112" s="250">
        <v>0</v>
      </c>
      <c r="V112" s="250">
        <v>0</v>
      </c>
      <c r="W112" s="250">
        <v>0</v>
      </c>
      <c r="X112" s="250">
        <v>0</v>
      </c>
      <c r="Y112" s="250">
        <v>0</v>
      </c>
      <c r="Z112" s="250">
        <v>0</v>
      </c>
      <c r="AA112" s="250">
        <v>0</v>
      </c>
      <c r="AB112" s="250">
        <v>0</v>
      </c>
      <c r="AC112" s="250">
        <v>0</v>
      </c>
      <c r="AD112" s="250">
        <v>0</v>
      </c>
      <c r="AE112" s="251">
        <v>0</v>
      </c>
      <c r="AF112" s="251">
        <v>1500</v>
      </c>
      <c r="AG112" s="251">
        <v>350</v>
      </c>
      <c r="AH112" s="251">
        <v>0</v>
      </c>
      <c r="AI112" s="250">
        <f t="shared" si="1"/>
        <v>1850</v>
      </c>
    </row>
    <row r="113" spans="1:35" x14ac:dyDescent="0.35">
      <c r="A113" s="246" t="s">
        <v>330</v>
      </c>
      <c r="B113" s="247">
        <v>0</v>
      </c>
      <c r="C113" s="247">
        <v>1500</v>
      </c>
      <c r="D113" s="247">
        <v>0</v>
      </c>
      <c r="E113" s="247">
        <v>0</v>
      </c>
      <c r="F113" s="247">
        <v>0</v>
      </c>
      <c r="G113" s="247">
        <v>0</v>
      </c>
      <c r="H113" s="247">
        <v>0</v>
      </c>
      <c r="I113" s="247">
        <v>0</v>
      </c>
      <c r="J113" s="247">
        <v>0</v>
      </c>
      <c r="K113" s="247">
        <v>0</v>
      </c>
      <c r="L113" s="247">
        <v>0</v>
      </c>
      <c r="M113" s="247">
        <v>0</v>
      </c>
      <c r="N113" s="247">
        <v>0</v>
      </c>
      <c r="O113" s="247">
        <v>0</v>
      </c>
      <c r="P113" s="247">
        <v>0</v>
      </c>
      <c r="Q113" s="247">
        <v>0</v>
      </c>
      <c r="R113" s="247">
        <v>0</v>
      </c>
      <c r="S113" s="247">
        <v>0</v>
      </c>
      <c r="T113" s="247">
        <v>0</v>
      </c>
      <c r="U113" s="247">
        <v>0</v>
      </c>
      <c r="V113" s="247">
        <v>0</v>
      </c>
      <c r="W113" s="247">
        <v>0</v>
      </c>
      <c r="X113" s="247">
        <v>0</v>
      </c>
      <c r="Y113" s="247">
        <v>0</v>
      </c>
      <c r="Z113" s="247">
        <v>0</v>
      </c>
      <c r="AA113" s="247">
        <v>0</v>
      </c>
      <c r="AB113" s="247">
        <v>0</v>
      </c>
      <c r="AC113" s="247">
        <v>0</v>
      </c>
      <c r="AD113" s="247">
        <v>0</v>
      </c>
      <c r="AE113" s="248">
        <v>0</v>
      </c>
      <c r="AF113" s="248">
        <v>0</v>
      </c>
      <c r="AG113" s="248">
        <v>300</v>
      </c>
      <c r="AH113" s="248">
        <v>0</v>
      </c>
      <c r="AI113" s="250">
        <f t="shared" si="1"/>
        <v>1800</v>
      </c>
    </row>
    <row r="114" spans="1:35" x14ac:dyDescent="0.35">
      <c r="A114" s="246" t="s">
        <v>181</v>
      </c>
      <c r="B114" s="247">
        <v>0</v>
      </c>
      <c r="C114" s="247"/>
      <c r="D114" s="247"/>
      <c r="E114" s="247"/>
      <c r="F114" s="247"/>
      <c r="G114" s="247"/>
      <c r="H114" s="247"/>
      <c r="I114" s="247"/>
      <c r="J114" s="247"/>
      <c r="K114" s="247"/>
      <c r="L114" s="247"/>
      <c r="M114" s="247">
        <v>1795</v>
      </c>
      <c r="N114" s="247"/>
      <c r="O114" s="247"/>
      <c r="P114" s="247"/>
      <c r="Q114" s="247"/>
      <c r="R114" s="247"/>
      <c r="S114" s="247"/>
      <c r="T114" s="247"/>
      <c r="U114" s="247"/>
      <c r="V114" s="247"/>
      <c r="W114" s="247"/>
      <c r="X114" s="247"/>
      <c r="Y114" s="247"/>
      <c r="Z114" s="247"/>
      <c r="AA114" s="247"/>
      <c r="AB114" s="247"/>
      <c r="AC114" s="247"/>
      <c r="AD114" s="247"/>
      <c r="AE114" s="248"/>
      <c r="AF114" s="248"/>
      <c r="AG114" s="248"/>
      <c r="AH114" s="248"/>
      <c r="AI114" s="250">
        <f t="shared" si="1"/>
        <v>1795</v>
      </c>
    </row>
    <row r="115" spans="1:35" x14ac:dyDescent="0.35">
      <c r="A115" s="5" t="s">
        <v>1499</v>
      </c>
      <c r="B115" s="250"/>
      <c r="C115" s="250"/>
      <c r="D115" s="250"/>
      <c r="E115" s="250"/>
      <c r="F115" s="250"/>
      <c r="G115" s="250"/>
      <c r="H115" s="250"/>
      <c r="I115" s="250"/>
      <c r="J115" s="250"/>
      <c r="K115" s="250"/>
      <c r="L115" s="250"/>
      <c r="M115" s="250">
        <v>1795</v>
      </c>
      <c r="N115" s="250"/>
      <c r="O115" s="250"/>
      <c r="P115" s="250"/>
      <c r="Q115" s="250"/>
      <c r="R115" s="250"/>
      <c r="S115" s="250"/>
      <c r="T115" s="250"/>
      <c r="U115" s="250"/>
      <c r="V115" s="250"/>
      <c r="W115" s="250"/>
      <c r="X115" s="250"/>
      <c r="Y115" s="250"/>
      <c r="Z115" s="250"/>
      <c r="AA115" s="250"/>
      <c r="AB115" s="250"/>
      <c r="AC115" s="250"/>
      <c r="AD115" s="250"/>
      <c r="AE115" s="251"/>
      <c r="AF115" s="251"/>
      <c r="AG115" s="251"/>
      <c r="AH115" s="251"/>
      <c r="AI115" s="250">
        <f t="shared" si="1"/>
        <v>1795</v>
      </c>
    </row>
    <row r="116" spans="1:35" x14ac:dyDescent="0.35">
      <c r="A116" s="5" t="s">
        <v>1505</v>
      </c>
      <c r="B116" s="250"/>
      <c r="C116" s="250"/>
      <c r="D116" s="250"/>
      <c r="E116" s="250"/>
      <c r="F116" s="250"/>
      <c r="G116" s="250"/>
      <c r="H116" s="250"/>
      <c r="I116" s="250"/>
      <c r="J116" s="250"/>
      <c r="K116" s="250"/>
      <c r="L116" s="250"/>
      <c r="M116" s="250">
        <v>1795</v>
      </c>
      <c r="N116" s="250"/>
      <c r="O116" s="250"/>
      <c r="P116" s="250"/>
      <c r="Q116" s="250"/>
      <c r="R116" s="250"/>
      <c r="S116" s="250"/>
      <c r="T116" s="250"/>
      <c r="U116" s="250"/>
      <c r="V116" s="250"/>
      <c r="W116" s="250"/>
      <c r="X116" s="250"/>
      <c r="Y116" s="250"/>
      <c r="Z116" s="250"/>
      <c r="AA116" s="250"/>
      <c r="AB116" s="250"/>
      <c r="AC116" s="250"/>
      <c r="AD116" s="250"/>
      <c r="AE116" s="251"/>
      <c r="AF116" s="251"/>
      <c r="AG116" s="251"/>
      <c r="AH116" s="251"/>
      <c r="AI116" s="250">
        <f t="shared" si="1"/>
        <v>1795</v>
      </c>
    </row>
    <row r="117" spans="1:35" x14ac:dyDescent="0.35">
      <c r="A117" s="5" t="s">
        <v>1501</v>
      </c>
      <c r="B117" s="250"/>
      <c r="C117" s="250"/>
      <c r="D117" s="250"/>
      <c r="E117" s="250"/>
      <c r="F117" s="250"/>
      <c r="G117" s="250"/>
      <c r="H117" s="250"/>
      <c r="I117" s="250"/>
      <c r="J117" s="250"/>
      <c r="K117" s="250"/>
      <c r="L117" s="250"/>
      <c r="M117" s="250">
        <v>1795</v>
      </c>
      <c r="N117" s="250"/>
      <c r="O117" s="250"/>
      <c r="P117" s="250"/>
      <c r="Q117" s="250"/>
      <c r="R117" s="250"/>
      <c r="S117" s="250"/>
      <c r="T117" s="250"/>
      <c r="U117" s="250"/>
      <c r="V117" s="250"/>
      <c r="W117" s="250"/>
      <c r="X117" s="250"/>
      <c r="Y117" s="250"/>
      <c r="Z117" s="250"/>
      <c r="AA117" s="250"/>
      <c r="AB117" s="250"/>
      <c r="AC117" s="250"/>
      <c r="AD117" s="250"/>
      <c r="AE117" s="251"/>
      <c r="AF117" s="251"/>
      <c r="AG117" s="251"/>
      <c r="AH117" s="251"/>
      <c r="AI117" s="250">
        <f t="shared" si="1"/>
        <v>1795</v>
      </c>
    </row>
    <row r="118" spans="1:35" x14ac:dyDescent="0.35">
      <c r="A118" s="5" t="s">
        <v>1509</v>
      </c>
      <c r="B118" s="250"/>
      <c r="C118" s="250"/>
      <c r="D118" s="250"/>
      <c r="E118" s="250"/>
      <c r="F118" s="250"/>
      <c r="G118" s="250"/>
      <c r="H118" s="250"/>
      <c r="I118" s="250"/>
      <c r="J118" s="250"/>
      <c r="K118" s="250"/>
      <c r="L118" s="250"/>
      <c r="M118" s="250">
        <v>1795</v>
      </c>
      <c r="N118" s="250"/>
      <c r="O118" s="250"/>
      <c r="P118" s="250"/>
      <c r="Q118" s="250"/>
      <c r="R118" s="250"/>
      <c r="S118" s="250"/>
      <c r="T118" s="250"/>
      <c r="U118" s="250"/>
      <c r="V118" s="250"/>
      <c r="W118" s="250"/>
      <c r="X118" s="250"/>
      <c r="Y118" s="250"/>
      <c r="Z118" s="250"/>
      <c r="AA118" s="250"/>
      <c r="AB118" s="250"/>
      <c r="AC118" s="250"/>
      <c r="AD118" s="250"/>
      <c r="AE118" s="251"/>
      <c r="AF118" s="251"/>
      <c r="AG118" s="251"/>
      <c r="AH118" s="251"/>
      <c r="AI118" s="250">
        <f t="shared" si="1"/>
        <v>1795</v>
      </c>
    </row>
    <row r="119" spans="1:35" x14ac:dyDescent="0.35">
      <c r="A119" s="5" t="s">
        <v>1308</v>
      </c>
      <c r="B119" s="250"/>
      <c r="C119" s="250"/>
      <c r="D119" s="250"/>
      <c r="E119" s="250"/>
      <c r="F119" s="250"/>
      <c r="G119" s="250"/>
      <c r="H119" s="250"/>
      <c r="I119" s="250"/>
      <c r="J119" s="250"/>
      <c r="K119" s="250"/>
      <c r="L119" s="250"/>
      <c r="M119" s="250">
        <v>1795</v>
      </c>
      <c r="N119" s="250"/>
      <c r="O119" s="250"/>
      <c r="P119" s="250"/>
      <c r="Q119" s="250"/>
      <c r="R119" s="250"/>
      <c r="S119" s="250"/>
      <c r="T119" s="250"/>
      <c r="U119" s="250"/>
      <c r="V119" s="250"/>
      <c r="W119" s="250"/>
      <c r="X119" s="250"/>
      <c r="Y119" s="250"/>
      <c r="Z119" s="250"/>
      <c r="AA119" s="250"/>
      <c r="AB119" s="250"/>
      <c r="AC119" s="250"/>
      <c r="AD119" s="250"/>
      <c r="AE119" s="251"/>
      <c r="AF119" s="251"/>
      <c r="AG119" s="251"/>
      <c r="AH119" s="251"/>
      <c r="AI119" s="250">
        <f t="shared" si="1"/>
        <v>1795</v>
      </c>
    </row>
    <row r="120" spans="1:35" x14ac:dyDescent="0.35">
      <c r="A120" s="5" t="s">
        <v>896</v>
      </c>
      <c r="B120" s="250">
        <v>0</v>
      </c>
      <c r="C120" s="250">
        <v>0</v>
      </c>
      <c r="D120" s="250">
        <v>0</v>
      </c>
      <c r="E120" s="250">
        <v>0</v>
      </c>
      <c r="F120" s="250">
        <v>0</v>
      </c>
      <c r="G120" s="250">
        <v>500</v>
      </c>
      <c r="H120" s="250">
        <v>0</v>
      </c>
      <c r="I120" s="250">
        <v>0</v>
      </c>
      <c r="J120" s="250">
        <v>0</v>
      </c>
      <c r="K120" s="250">
        <v>0</v>
      </c>
      <c r="L120" s="250">
        <v>0</v>
      </c>
      <c r="M120" s="250">
        <v>0</v>
      </c>
      <c r="N120" s="250">
        <v>0</v>
      </c>
      <c r="O120" s="250">
        <v>0</v>
      </c>
      <c r="P120" s="250">
        <v>0</v>
      </c>
      <c r="Q120" s="250">
        <v>0</v>
      </c>
      <c r="R120" s="250">
        <v>0</v>
      </c>
      <c r="S120" s="250">
        <v>0</v>
      </c>
      <c r="T120" s="250">
        <v>0</v>
      </c>
      <c r="U120" s="250">
        <v>0</v>
      </c>
      <c r="V120" s="250">
        <v>0</v>
      </c>
      <c r="W120" s="250">
        <v>0</v>
      </c>
      <c r="X120" s="250">
        <v>0</v>
      </c>
      <c r="Y120" s="250">
        <v>0</v>
      </c>
      <c r="Z120" s="250">
        <v>500</v>
      </c>
      <c r="AA120" s="250">
        <v>0</v>
      </c>
      <c r="AB120" s="250">
        <v>0</v>
      </c>
      <c r="AC120" s="250">
        <v>0</v>
      </c>
      <c r="AD120" s="250">
        <v>0</v>
      </c>
      <c r="AE120" s="251">
        <v>0</v>
      </c>
      <c r="AF120" s="251">
        <v>0</v>
      </c>
      <c r="AG120" s="251">
        <v>775</v>
      </c>
      <c r="AH120" s="251">
        <v>0</v>
      </c>
      <c r="AI120" s="250">
        <f t="shared" si="1"/>
        <v>1775</v>
      </c>
    </row>
    <row r="121" spans="1:35" x14ac:dyDescent="0.35">
      <c r="A121" s="5" t="s">
        <v>2226</v>
      </c>
      <c r="B121" s="250">
        <v>0</v>
      </c>
      <c r="C121" s="250">
        <v>0</v>
      </c>
      <c r="D121" s="250">
        <v>0</v>
      </c>
      <c r="E121" s="250">
        <v>0</v>
      </c>
      <c r="F121" s="250">
        <v>0</v>
      </c>
      <c r="G121" s="250">
        <v>0</v>
      </c>
      <c r="H121" s="250">
        <v>0</v>
      </c>
      <c r="I121" s="250">
        <v>0</v>
      </c>
      <c r="J121" s="250">
        <v>0</v>
      </c>
      <c r="K121" s="250">
        <v>0</v>
      </c>
      <c r="L121" s="250">
        <v>0</v>
      </c>
      <c r="M121" s="250">
        <v>0</v>
      </c>
      <c r="N121" s="250">
        <v>0</v>
      </c>
      <c r="O121" s="250">
        <v>0</v>
      </c>
      <c r="P121" s="250">
        <v>0</v>
      </c>
      <c r="Q121" s="250">
        <v>0</v>
      </c>
      <c r="R121" s="250">
        <v>0</v>
      </c>
      <c r="S121" s="250">
        <v>0</v>
      </c>
      <c r="T121" s="250">
        <v>0</v>
      </c>
      <c r="U121" s="250">
        <v>0</v>
      </c>
      <c r="V121" s="250">
        <v>0</v>
      </c>
      <c r="W121" s="250">
        <v>0</v>
      </c>
      <c r="X121" s="250">
        <v>0</v>
      </c>
      <c r="Y121" s="250">
        <v>0</v>
      </c>
      <c r="Z121" s="250">
        <v>0</v>
      </c>
      <c r="AA121" s="250">
        <v>1000</v>
      </c>
      <c r="AB121" s="250">
        <v>0</v>
      </c>
      <c r="AC121" s="250">
        <v>0</v>
      </c>
      <c r="AD121" s="250">
        <v>0</v>
      </c>
      <c r="AE121" s="251">
        <v>0</v>
      </c>
      <c r="AF121" s="251">
        <v>0</v>
      </c>
      <c r="AG121" s="251">
        <v>775</v>
      </c>
      <c r="AH121" s="251">
        <v>0</v>
      </c>
      <c r="AI121" s="250">
        <f t="shared" si="1"/>
        <v>1775</v>
      </c>
    </row>
    <row r="122" spans="1:35" x14ac:dyDescent="0.35">
      <c r="A122" s="5" t="s">
        <v>912</v>
      </c>
      <c r="B122" s="250">
        <v>0</v>
      </c>
      <c r="C122" s="250">
        <v>0</v>
      </c>
      <c r="D122" s="250">
        <v>0</v>
      </c>
      <c r="E122" s="250">
        <v>0</v>
      </c>
      <c r="F122" s="250">
        <v>0</v>
      </c>
      <c r="G122" s="250">
        <v>500</v>
      </c>
      <c r="H122" s="250">
        <v>0</v>
      </c>
      <c r="I122" s="250">
        <v>0</v>
      </c>
      <c r="J122" s="250">
        <v>0</v>
      </c>
      <c r="K122" s="250">
        <v>0</v>
      </c>
      <c r="L122" s="250">
        <v>0</v>
      </c>
      <c r="M122" s="250">
        <v>0</v>
      </c>
      <c r="N122" s="250">
        <v>0</v>
      </c>
      <c r="O122" s="250">
        <v>0</v>
      </c>
      <c r="P122" s="250">
        <v>0</v>
      </c>
      <c r="Q122" s="250">
        <v>0</v>
      </c>
      <c r="R122" s="250">
        <v>0</v>
      </c>
      <c r="S122" s="250">
        <v>0</v>
      </c>
      <c r="T122" s="250">
        <v>0</v>
      </c>
      <c r="U122" s="250">
        <v>0</v>
      </c>
      <c r="V122" s="250">
        <v>0</v>
      </c>
      <c r="W122" s="250">
        <v>0</v>
      </c>
      <c r="X122" s="250">
        <v>0</v>
      </c>
      <c r="Y122" s="250">
        <v>0</v>
      </c>
      <c r="Z122" s="250">
        <v>0</v>
      </c>
      <c r="AA122" s="250">
        <v>0</v>
      </c>
      <c r="AB122" s="250">
        <v>0</v>
      </c>
      <c r="AC122" s="250">
        <v>0</v>
      </c>
      <c r="AD122" s="250">
        <v>1250</v>
      </c>
      <c r="AE122" s="251">
        <v>0</v>
      </c>
      <c r="AF122" s="251">
        <v>0</v>
      </c>
      <c r="AG122" s="251">
        <v>0</v>
      </c>
      <c r="AH122" s="251">
        <v>0</v>
      </c>
      <c r="AI122" s="250">
        <f t="shared" si="1"/>
        <v>1750</v>
      </c>
    </row>
    <row r="123" spans="1:35" x14ac:dyDescent="0.35">
      <c r="A123" s="5" t="s">
        <v>2616</v>
      </c>
      <c r="B123" s="250">
        <v>0</v>
      </c>
      <c r="C123" s="250">
        <v>0</v>
      </c>
      <c r="D123" s="250">
        <v>350</v>
      </c>
      <c r="E123" s="250">
        <v>0</v>
      </c>
      <c r="F123" s="250">
        <v>350</v>
      </c>
      <c r="G123" s="250">
        <v>500</v>
      </c>
      <c r="H123" s="250">
        <v>0</v>
      </c>
      <c r="I123" s="250">
        <v>0</v>
      </c>
      <c r="J123" s="250">
        <v>0</v>
      </c>
      <c r="K123" s="250">
        <v>0</v>
      </c>
      <c r="L123" s="250">
        <v>0</v>
      </c>
      <c r="M123" s="250">
        <v>0</v>
      </c>
      <c r="N123" s="250">
        <v>0</v>
      </c>
      <c r="O123" s="250">
        <v>0</v>
      </c>
      <c r="P123" s="250">
        <v>0</v>
      </c>
      <c r="Q123" s="250">
        <v>0</v>
      </c>
      <c r="R123" s="250">
        <v>0</v>
      </c>
      <c r="S123" s="250">
        <v>0</v>
      </c>
      <c r="T123" s="250">
        <v>0</v>
      </c>
      <c r="U123" s="250">
        <v>0</v>
      </c>
      <c r="V123" s="250">
        <v>0</v>
      </c>
      <c r="W123" s="250">
        <v>0</v>
      </c>
      <c r="X123" s="250">
        <v>0</v>
      </c>
      <c r="Y123" s="250">
        <v>0</v>
      </c>
      <c r="Z123" s="250">
        <v>0</v>
      </c>
      <c r="AA123" s="250">
        <v>0</v>
      </c>
      <c r="AB123" s="250">
        <v>0</v>
      </c>
      <c r="AC123" s="250">
        <v>0</v>
      </c>
      <c r="AD123" s="250">
        <v>0</v>
      </c>
      <c r="AE123" s="251">
        <v>0</v>
      </c>
      <c r="AF123" s="251">
        <v>0</v>
      </c>
      <c r="AG123" s="251">
        <v>550</v>
      </c>
      <c r="AH123" s="251">
        <v>0</v>
      </c>
      <c r="AI123" s="250">
        <f t="shared" si="1"/>
        <v>1750</v>
      </c>
    </row>
    <row r="124" spans="1:35" x14ac:dyDescent="0.35">
      <c r="A124" s="5" t="s">
        <v>573</v>
      </c>
      <c r="B124" s="250">
        <v>0</v>
      </c>
      <c r="C124" s="250">
        <v>0</v>
      </c>
      <c r="D124" s="250">
        <v>350</v>
      </c>
      <c r="E124" s="250">
        <v>0</v>
      </c>
      <c r="F124" s="250">
        <v>0</v>
      </c>
      <c r="G124" s="250">
        <v>0</v>
      </c>
      <c r="H124" s="250">
        <v>0</v>
      </c>
      <c r="I124" s="250">
        <v>0</v>
      </c>
      <c r="J124" s="250">
        <v>0</v>
      </c>
      <c r="K124" s="250">
        <v>0</v>
      </c>
      <c r="L124" s="250">
        <v>0</v>
      </c>
      <c r="M124" s="250">
        <v>0</v>
      </c>
      <c r="N124" s="250">
        <v>0</v>
      </c>
      <c r="O124" s="250">
        <v>0</v>
      </c>
      <c r="P124" s="250">
        <v>0</v>
      </c>
      <c r="Q124" s="250">
        <v>1000</v>
      </c>
      <c r="R124" s="250">
        <v>0</v>
      </c>
      <c r="S124" s="250">
        <v>0</v>
      </c>
      <c r="T124" s="250">
        <v>0</v>
      </c>
      <c r="U124" s="250">
        <v>0</v>
      </c>
      <c r="V124" s="250">
        <v>0</v>
      </c>
      <c r="W124" s="250">
        <v>0</v>
      </c>
      <c r="X124" s="250">
        <v>0</v>
      </c>
      <c r="Y124" s="250">
        <v>0</v>
      </c>
      <c r="Z124" s="250">
        <v>0</v>
      </c>
      <c r="AA124" s="250">
        <v>0</v>
      </c>
      <c r="AB124" s="250">
        <v>0</v>
      </c>
      <c r="AC124" s="250">
        <v>0</v>
      </c>
      <c r="AD124" s="250">
        <v>0</v>
      </c>
      <c r="AE124" s="251">
        <v>0</v>
      </c>
      <c r="AF124" s="251">
        <v>0</v>
      </c>
      <c r="AG124" s="251">
        <v>350</v>
      </c>
      <c r="AH124" s="251">
        <v>0</v>
      </c>
      <c r="AI124" s="250">
        <f t="shared" si="1"/>
        <v>1700</v>
      </c>
    </row>
    <row r="125" spans="1:35" x14ac:dyDescent="0.35">
      <c r="A125" s="5" t="s">
        <v>1620</v>
      </c>
      <c r="B125" s="250">
        <v>0</v>
      </c>
      <c r="C125" s="250">
        <v>0</v>
      </c>
      <c r="D125" s="250">
        <v>0</v>
      </c>
      <c r="E125" s="250">
        <v>0</v>
      </c>
      <c r="F125" s="250">
        <v>0</v>
      </c>
      <c r="G125" s="250">
        <v>0</v>
      </c>
      <c r="H125" s="250">
        <v>0</v>
      </c>
      <c r="I125" s="250">
        <v>0</v>
      </c>
      <c r="J125" s="250">
        <v>0</v>
      </c>
      <c r="K125" s="250">
        <v>0</v>
      </c>
      <c r="L125" s="250">
        <v>0</v>
      </c>
      <c r="M125" s="250">
        <v>0</v>
      </c>
      <c r="N125" s="250">
        <v>0</v>
      </c>
      <c r="O125" s="250">
        <v>0</v>
      </c>
      <c r="P125" s="250">
        <v>0</v>
      </c>
      <c r="Q125" s="250">
        <v>1000</v>
      </c>
      <c r="R125" s="250">
        <v>0</v>
      </c>
      <c r="S125" s="250">
        <v>0</v>
      </c>
      <c r="T125" s="250">
        <v>0</v>
      </c>
      <c r="U125" s="250">
        <v>0</v>
      </c>
      <c r="V125" s="250">
        <v>0</v>
      </c>
      <c r="W125" s="250">
        <v>0</v>
      </c>
      <c r="X125" s="250">
        <v>0</v>
      </c>
      <c r="Y125" s="250">
        <v>0</v>
      </c>
      <c r="Z125" s="250">
        <v>0</v>
      </c>
      <c r="AA125" s="250">
        <v>0</v>
      </c>
      <c r="AB125" s="250">
        <v>0</v>
      </c>
      <c r="AC125" s="250">
        <v>0</v>
      </c>
      <c r="AD125" s="250">
        <v>0</v>
      </c>
      <c r="AE125" s="251">
        <v>0</v>
      </c>
      <c r="AF125" s="251">
        <v>0</v>
      </c>
      <c r="AG125" s="251">
        <v>650</v>
      </c>
      <c r="AH125" s="251">
        <v>0</v>
      </c>
      <c r="AI125" s="250">
        <f t="shared" si="1"/>
        <v>1650</v>
      </c>
    </row>
    <row r="126" spans="1:35" x14ac:dyDescent="0.35">
      <c r="A126" s="5" t="s">
        <v>811</v>
      </c>
      <c r="B126" s="250">
        <v>0</v>
      </c>
      <c r="C126" s="250">
        <v>0</v>
      </c>
      <c r="D126" s="250">
        <v>0</v>
      </c>
      <c r="E126" s="250">
        <v>0</v>
      </c>
      <c r="F126" s="250">
        <v>0</v>
      </c>
      <c r="G126" s="250">
        <v>750</v>
      </c>
      <c r="H126" s="250">
        <v>0</v>
      </c>
      <c r="I126" s="250">
        <v>0</v>
      </c>
      <c r="J126" s="250">
        <v>0</v>
      </c>
      <c r="K126" s="250">
        <v>0</v>
      </c>
      <c r="L126" s="250">
        <v>0</v>
      </c>
      <c r="M126" s="250">
        <v>0</v>
      </c>
      <c r="N126" s="250">
        <v>0</v>
      </c>
      <c r="O126" s="250">
        <v>0</v>
      </c>
      <c r="P126" s="250">
        <v>0</v>
      </c>
      <c r="Q126" s="250">
        <v>0</v>
      </c>
      <c r="R126" s="250">
        <v>0</v>
      </c>
      <c r="S126" s="250">
        <v>0</v>
      </c>
      <c r="T126" s="250">
        <v>0</v>
      </c>
      <c r="U126" s="250">
        <v>0</v>
      </c>
      <c r="V126" s="250">
        <v>0</v>
      </c>
      <c r="W126" s="250">
        <v>0</v>
      </c>
      <c r="X126" s="250">
        <v>0</v>
      </c>
      <c r="Y126" s="250">
        <v>0</v>
      </c>
      <c r="Z126" s="250">
        <v>0</v>
      </c>
      <c r="AA126" s="250">
        <v>500</v>
      </c>
      <c r="AB126" s="250">
        <v>0</v>
      </c>
      <c r="AC126" s="250">
        <v>0</v>
      </c>
      <c r="AD126" s="250">
        <v>0</v>
      </c>
      <c r="AE126" s="251">
        <v>0</v>
      </c>
      <c r="AF126" s="251">
        <v>0</v>
      </c>
      <c r="AG126" s="251">
        <v>350</v>
      </c>
      <c r="AH126" s="251">
        <v>0</v>
      </c>
      <c r="AI126" s="250">
        <f t="shared" si="1"/>
        <v>1600</v>
      </c>
    </row>
    <row r="127" spans="1:35" x14ac:dyDescent="0.35">
      <c r="A127" s="5" t="s">
        <v>2617</v>
      </c>
      <c r="B127" s="250">
        <v>0</v>
      </c>
      <c r="C127" s="250">
        <v>0</v>
      </c>
      <c r="D127" s="250">
        <v>0</v>
      </c>
      <c r="E127" s="250">
        <v>0</v>
      </c>
      <c r="F127" s="250">
        <v>0</v>
      </c>
      <c r="G127" s="250">
        <v>1000</v>
      </c>
      <c r="H127" s="250">
        <v>0</v>
      </c>
      <c r="I127" s="250">
        <v>0</v>
      </c>
      <c r="J127" s="250">
        <v>0</v>
      </c>
      <c r="K127" s="250">
        <v>0</v>
      </c>
      <c r="L127" s="250">
        <v>0</v>
      </c>
      <c r="M127" s="250">
        <v>0</v>
      </c>
      <c r="N127" s="250">
        <v>0</v>
      </c>
      <c r="O127" s="250">
        <v>0</v>
      </c>
      <c r="P127" s="250">
        <v>0</v>
      </c>
      <c r="Q127" s="250">
        <v>0</v>
      </c>
      <c r="R127" s="250">
        <v>0</v>
      </c>
      <c r="S127" s="250">
        <v>0</v>
      </c>
      <c r="T127" s="250">
        <v>0</v>
      </c>
      <c r="U127" s="250">
        <v>0</v>
      </c>
      <c r="V127" s="250">
        <v>0</v>
      </c>
      <c r="W127" s="250">
        <v>0</v>
      </c>
      <c r="X127" s="250">
        <v>0</v>
      </c>
      <c r="Y127" s="250">
        <v>0</v>
      </c>
      <c r="Z127" s="250">
        <v>0</v>
      </c>
      <c r="AA127" s="250">
        <v>0</v>
      </c>
      <c r="AB127" s="250">
        <v>0</v>
      </c>
      <c r="AC127" s="250">
        <v>0</v>
      </c>
      <c r="AD127" s="250">
        <v>0</v>
      </c>
      <c r="AE127" s="251">
        <v>0</v>
      </c>
      <c r="AF127" s="251">
        <v>0</v>
      </c>
      <c r="AG127" s="251">
        <v>550</v>
      </c>
      <c r="AH127" s="251">
        <v>0</v>
      </c>
      <c r="AI127" s="250">
        <f t="shared" si="1"/>
        <v>1550</v>
      </c>
    </row>
    <row r="128" spans="1:35" x14ac:dyDescent="0.35">
      <c r="A128" s="246" t="s">
        <v>1784</v>
      </c>
      <c r="B128" s="247">
        <v>0</v>
      </c>
      <c r="C128" s="247">
        <v>0</v>
      </c>
      <c r="D128" s="247">
        <v>0</v>
      </c>
      <c r="E128" s="247">
        <v>0</v>
      </c>
      <c r="F128" s="247">
        <v>0</v>
      </c>
      <c r="G128" s="247">
        <v>0</v>
      </c>
      <c r="H128" s="247">
        <v>0</v>
      </c>
      <c r="I128" s="247">
        <v>0</v>
      </c>
      <c r="J128" s="247">
        <v>0</v>
      </c>
      <c r="K128" s="247">
        <v>0</v>
      </c>
      <c r="L128" s="247">
        <v>0</v>
      </c>
      <c r="M128" s="247">
        <v>0</v>
      </c>
      <c r="N128" s="247">
        <v>0</v>
      </c>
      <c r="O128" s="247">
        <v>0</v>
      </c>
      <c r="P128" s="247">
        <v>0</v>
      </c>
      <c r="Q128" s="247">
        <v>0</v>
      </c>
      <c r="R128" s="247">
        <v>0</v>
      </c>
      <c r="S128" s="247">
        <v>0</v>
      </c>
      <c r="T128" s="247">
        <v>0</v>
      </c>
      <c r="U128" s="247">
        <v>1500</v>
      </c>
      <c r="V128" s="247">
        <v>0</v>
      </c>
      <c r="W128" s="247">
        <v>0</v>
      </c>
      <c r="X128" s="247">
        <v>0</v>
      </c>
      <c r="Y128" s="247">
        <v>0</v>
      </c>
      <c r="Z128" s="247">
        <v>0</v>
      </c>
      <c r="AA128" s="247">
        <v>0</v>
      </c>
      <c r="AB128" s="247">
        <v>0</v>
      </c>
      <c r="AC128" s="247">
        <v>0</v>
      </c>
      <c r="AD128" s="247">
        <v>0</v>
      </c>
      <c r="AE128" s="248">
        <v>0</v>
      </c>
      <c r="AF128" s="248">
        <v>0</v>
      </c>
      <c r="AG128" s="248">
        <v>0</v>
      </c>
      <c r="AH128" s="248">
        <v>0</v>
      </c>
      <c r="AI128" s="247">
        <f t="shared" si="1"/>
        <v>1500</v>
      </c>
    </row>
    <row r="129" spans="1:35" x14ac:dyDescent="0.35">
      <c r="A129" s="5" t="s">
        <v>2603</v>
      </c>
      <c r="B129" s="250">
        <v>0</v>
      </c>
      <c r="C129" s="250">
        <v>0</v>
      </c>
      <c r="D129" s="250">
        <v>0</v>
      </c>
      <c r="E129" s="250">
        <v>0</v>
      </c>
      <c r="F129" s="250">
        <v>0</v>
      </c>
      <c r="G129" s="250">
        <v>0</v>
      </c>
      <c r="H129" s="250">
        <v>0</v>
      </c>
      <c r="I129" s="250">
        <v>0</v>
      </c>
      <c r="J129" s="250">
        <v>0</v>
      </c>
      <c r="K129" s="250">
        <v>0</v>
      </c>
      <c r="L129" s="250">
        <v>0</v>
      </c>
      <c r="M129" s="250">
        <v>0</v>
      </c>
      <c r="N129" s="250">
        <v>0</v>
      </c>
      <c r="O129" s="250">
        <v>0</v>
      </c>
      <c r="P129" s="250">
        <v>0</v>
      </c>
      <c r="Q129" s="250">
        <v>0</v>
      </c>
      <c r="R129" s="250">
        <v>0</v>
      </c>
      <c r="S129" s="250">
        <v>0</v>
      </c>
      <c r="T129" s="250">
        <v>0</v>
      </c>
      <c r="U129" s="250">
        <v>0</v>
      </c>
      <c r="V129" s="250">
        <v>0</v>
      </c>
      <c r="W129" s="250">
        <v>1500</v>
      </c>
      <c r="X129" s="250">
        <v>0</v>
      </c>
      <c r="Y129" s="250">
        <v>0</v>
      </c>
      <c r="Z129" s="250">
        <v>0</v>
      </c>
      <c r="AA129" s="250">
        <v>0</v>
      </c>
      <c r="AB129" s="250">
        <v>0</v>
      </c>
      <c r="AC129" s="250">
        <v>0</v>
      </c>
      <c r="AD129" s="250">
        <v>0</v>
      </c>
      <c r="AE129" s="251">
        <v>0</v>
      </c>
      <c r="AF129" s="251">
        <v>0</v>
      </c>
      <c r="AG129" s="251">
        <v>0</v>
      </c>
      <c r="AH129" s="251">
        <v>0</v>
      </c>
      <c r="AI129" s="250">
        <f t="shared" ref="AI129:AI192" si="2">SUM(B129:AH129)</f>
        <v>1500</v>
      </c>
    </row>
    <row r="130" spans="1:35" x14ac:dyDescent="0.35">
      <c r="A130" s="5" t="s">
        <v>2612</v>
      </c>
      <c r="B130" s="250"/>
      <c r="C130" s="250"/>
      <c r="D130" s="250"/>
      <c r="E130" s="250"/>
      <c r="F130" s="250"/>
      <c r="G130" s="250"/>
      <c r="H130" s="250"/>
      <c r="I130" s="250"/>
      <c r="J130" s="250"/>
      <c r="K130" s="250"/>
      <c r="L130" s="250"/>
      <c r="M130" s="250"/>
      <c r="N130" s="250"/>
      <c r="O130" s="250"/>
      <c r="P130" s="250"/>
      <c r="Q130" s="250"/>
      <c r="R130" s="250"/>
      <c r="S130" s="250"/>
      <c r="T130" s="250"/>
      <c r="U130" s="250"/>
      <c r="V130" s="250"/>
      <c r="W130" s="250"/>
      <c r="X130" s="250"/>
      <c r="Y130" s="250"/>
      <c r="Z130" s="250"/>
      <c r="AA130" s="250"/>
      <c r="AB130" s="250"/>
      <c r="AC130" s="250"/>
      <c r="AD130" s="250"/>
      <c r="AE130" s="251"/>
      <c r="AF130" s="251"/>
      <c r="AG130" s="251">
        <v>1500</v>
      </c>
      <c r="AH130" s="251">
        <v>0</v>
      </c>
      <c r="AI130" s="250">
        <f t="shared" si="2"/>
        <v>1500</v>
      </c>
    </row>
    <row r="131" spans="1:35" x14ac:dyDescent="0.35">
      <c r="A131" s="5" t="s">
        <v>1385</v>
      </c>
      <c r="B131" s="250">
        <v>0</v>
      </c>
      <c r="C131" s="250">
        <v>0</v>
      </c>
      <c r="D131" s="250">
        <v>0</v>
      </c>
      <c r="E131" s="250">
        <v>0</v>
      </c>
      <c r="F131" s="250">
        <v>0</v>
      </c>
      <c r="G131" s="250">
        <v>0</v>
      </c>
      <c r="H131" s="250">
        <v>0</v>
      </c>
      <c r="I131" s="250">
        <v>0</v>
      </c>
      <c r="J131" s="250">
        <v>0</v>
      </c>
      <c r="K131" s="250">
        <v>1495</v>
      </c>
      <c r="L131" s="250">
        <v>0</v>
      </c>
      <c r="M131" s="250">
        <v>0</v>
      </c>
      <c r="N131" s="250">
        <v>0</v>
      </c>
      <c r="O131" s="250">
        <v>0</v>
      </c>
      <c r="P131" s="250">
        <v>0</v>
      </c>
      <c r="Q131" s="250">
        <v>0</v>
      </c>
      <c r="R131" s="250">
        <v>0</v>
      </c>
      <c r="S131" s="250">
        <v>0</v>
      </c>
      <c r="T131" s="250">
        <v>0</v>
      </c>
      <c r="U131" s="250">
        <v>0</v>
      </c>
      <c r="V131" s="250">
        <v>0</v>
      </c>
      <c r="W131" s="250">
        <v>0</v>
      </c>
      <c r="X131" s="250">
        <v>0</v>
      </c>
      <c r="Y131" s="250">
        <v>0</v>
      </c>
      <c r="Z131" s="250">
        <v>0</v>
      </c>
      <c r="AA131" s="250">
        <v>0</v>
      </c>
      <c r="AB131" s="250">
        <v>0</v>
      </c>
      <c r="AC131" s="250">
        <v>0</v>
      </c>
      <c r="AD131" s="250">
        <v>0</v>
      </c>
      <c r="AE131" s="251">
        <v>0</v>
      </c>
      <c r="AF131" s="251">
        <v>0</v>
      </c>
      <c r="AG131" s="251">
        <v>0</v>
      </c>
      <c r="AH131" s="251">
        <v>0</v>
      </c>
      <c r="AI131" s="250">
        <f t="shared" si="2"/>
        <v>1495</v>
      </c>
    </row>
    <row r="132" spans="1:35" x14ac:dyDescent="0.35">
      <c r="A132" s="246" t="s">
        <v>2223</v>
      </c>
      <c r="B132" s="250">
        <v>0</v>
      </c>
      <c r="C132" s="250">
        <v>0</v>
      </c>
      <c r="D132" s="250">
        <v>0</v>
      </c>
      <c r="E132" s="250">
        <v>0</v>
      </c>
      <c r="F132" s="250">
        <v>0</v>
      </c>
      <c r="G132" s="250">
        <v>0</v>
      </c>
      <c r="H132" s="250">
        <v>0</v>
      </c>
      <c r="I132" s="250">
        <v>0</v>
      </c>
      <c r="J132" s="250">
        <v>0</v>
      </c>
      <c r="K132" s="250">
        <v>0</v>
      </c>
      <c r="L132" s="250">
        <v>0</v>
      </c>
      <c r="M132" s="250">
        <v>0</v>
      </c>
      <c r="N132" s="250">
        <v>0</v>
      </c>
      <c r="O132" s="250">
        <v>0</v>
      </c>
      <c r="P132" s="250">
        <v>0</v>
      </c>
      <c r="Q132" s="250">
        <v>0</v>
      </c>
      <c r="R132" s="250">
        <v>0</v>
      </c>
      <c r="S132" s="250">
        <v>0</v>
      </c>
      <c r="T132" s="250">
        <v>0</v>
      </c>
      <c r="U132" s="250">
        <v>0</v>
      </c>
      <c r="V132" s="250">
        <v>0</v>
      </c>
      <c r="W132" s="250">
        <v>0</v>
      </c>
      <c r="X132" s="250">
        <v>0</v>
      </c>
      <c r="Y132" s="250">
        <v>0</v>
      </c>
      <c r="Z132" s="250">
        <v>0</v>
      </c>
      <c r="AA132" s="250">
        <v>1000</v>
      </c>
      <c r="AB132" s="250">
        <v>0</v>
      </c>
      <c r="AC132" s="250">
        <v>0</v>
      </c>
      <c r="AD132" s="250">
        <v>0</v>
      </c>
      <c r="AE132" s="251">
        <v>0</v>
      </c>
      <c r="AF132" s="251">
        <v>0</v>
      </c>
      <c r="AG132" s="251">
        <v>480</v>
      </c>
      <c r="AH132" s="251">
        <v>0</v>
      </c>
      <c r="AI132" s="250">
        <f t="shared" si="2"/>
        <v>1480</v>
      </c>
    </row>
    <row r="133" spans="1:35" x14ac:dyDescent="0.35">
      <c r="A133" s="5" t="s">
        <v>2281</v>
      </c>
      <c r="B133" s="250">
        <v>0</v>
      </c>
      <c r="C133" s="250">
        <v>0</v>
      </c>
      <c r="D133" s="250">
        <v>0</v>
      </c>
      <c r="E133" s="250">
        <v>0</v>
      </c>
      <c r="F133" s="250">
        <v>0</v>
      </c>
      <c r="G133" s="250">
        <v>0</v>
      </c>
      <c r="H133" s="250">
        <v>0</v>
      </c>
      <c r="I133" s="250">
        <v>0</v>
      </c>
      <c r="J133" s="250">
        <v>0</v>
      </c>
      <c r="K133" s="250">
        <v>0</v>
      </c>
      <c r="L133" s="250">
        <v>0</v>
      </c>
      <c r="M133" s="250">
        <v>0</v>
      </c>
      <c r="N133" s="250">
        <v>0</v>
      </c>
      <c r="O133" s="250">
        <v>0</v>
      </c>
      <c r="P133" s="250">
        <v>0</v>
      </c>
      <c r="Q133" s="250">
        <v>0</v>
      </c>
      <c r="R133" s="250">
        <v>0</v>
      </c>
      <c r="S133" s="250">
        <v>0</v>
      </c>
      <c r="T133" s="250">
        <v>0</v>
      </c>
      <c r="U133" s="250">
        <v>0</v>
      </c>
      <c r="V133" s="250">
        <v>0</v>
      </c>
      <c r="W133" s="250">
        <v>0</v>
      </c>
      <c r="X133" s="250">
        <v>0</v>
      </c>
      <c r="Y133" s="250">
        <v>0</v>
      </c>
      <c r="Z133" s="250">
        <v>0</v>
      </c>
      <c r="AA133" s="250">
        <v>450</v>
      </c>
      <c r="AB133" s="250">
        <v>0</v>
      </c>
      <c r="AC133" s="250">
        <v>0</v>
      </c>
      <c r="AD133" s="250">
        <v>0</v>
      </c>
      <c r="AE133" s="251">
        <v>0</v>
      </c>
      <c r="AF133" s="251">
        <v>0</v>
      </c>
      <c r="AG133" s="251">
        <v>1000</v>
      </c>
      <c r="AH133" s="251">
        <v>0</v>
      </c>
      <c r="AI133" s="250">
        <f t="shared" si="2"/>
        <v>1450</v>
      </c>
    </row>
    <row r="134" spans="1:35" x14ac:dyDescent="0.35">
      <c r="A134" s="5" t="s">
        <v>2350</v>
      </c>
      <c r="B134" s="250">
        <v>0</v>
      </c>
      <c r="C134" s="250">
        <v>0</v>
      </c>
      <c r="D134" s="250">
        <v>0</v>
      </c>
      <c r="E134" s="250">
        <v>0</v>
      </c>
      <c r="F134" s="250">
        <v>0</v>
      </c>
      <c r="G134" s="250">
        <v>0</v>
      </c>
      <c r="H134" s="250">
        <v>0</v>
      </c>
      <c r="I134" s="250">
        <v>0</v>
      </c>
      <c r="J134" s="250">
        <v>0</v>
      </c>
      <c r="K134" s="250">
        <v>0</v>
      </c>
      <c r="L134" s="250">
        <v>0</v>
      </c>
      <c r="M134" s="250">
        <v>0</v>
      </c>
      <c r="N134" s="250">
        <v>0</v>
      </c>
      <c r="O134" s="250">
        <v>0</v>
      </c>
      <c r="P134" s="250">
        <v>0</v>
      </c>
      <c r="Q134" s="250">
        <v>0</v>
      </c>
      <c r="R134" s="250">
        <v>0</v>
      </c>
      <c r="S134" s="250">
        <v>0</v>
      </c>
      <c r="T134" s="250">
        <v>0</v>
      </c>
      <c r="U134" s="250">
        <v>0</v>
      </c>
      <c r="V134" s="250">
        <v>0</v>
      </c>
      <c r="W134" s="250">
        <v>0</v>
      </c>
      <c r="X134" s="250">
        <v>0</v>
      </c>
      <c r="Y134" s="250">
        <v>0</v>
      </c>
      <c r="Z134" s="250">
        <v>0</v>
      </c>
      <c r="AA134" s="250">
        <v>450</v>
      </c>
      <c r="AB134" s="250">
        <v>0</v>
      </c>
      <c r="AC134" s="250">
        <v>0</v>
      </c>
      <c r="AD134" s="250">
        <v>0</v>
      </c>
      <c r="AE134" s="251">
        <v>0</v>
      </c>
      <c r="AF134" s="251">
        <v>0</v>
      </c>
      <c r="AG134" s="251">
        <v>950</v>
      </c>
      <c r="AH134" s="251">
        <v>0</v>
      </c>
      <c r="AI134" s="250">
        <f t="shared" si="2"/>
        <v>1400</v>
      </c>
    </row>
    <row r="135" spans="1:35" x14ac:dyDescent="0.35">
      <c r="A135" s="5" t="s">
        <v>846</v>
      </c>
      <c r="B135" s="250">
        <v>0</v>
      </c>
      <c r="C135" s="250">
        <v>0</v>
      </c>
      <c r="D135" s="250">
        <v>0</v>
      </c>
      <c r="E135" s="250">
        <v>0</v>
      </c>
      <c r="F135" s="250">
        <v>0</v>
      </c>
      <c r="G135" s="250">
        <v>785</v>
      </c>
      <c r="H135" s="250">
        <v>0</v>
      </c>
      <c r="I135" s="250">
        <v>0</v>
      </c>
      <c r="J135" s="250">
        <v>0</v>
      </c>
      <c r="K135" s="250">
        <v>0</v>
      </c>
      <c r="L135" s="250">
        <v>0</v>
      </c>
      <c r="M135" s="250">
        <v>0</v>
      </c>
      <c r="N135" s="250">
        <v>0</v>
      </c>
      <c r="O135" s="250">
        <v>0</v>
      </c>
      <c r="P135" s="250">
        <v>0</v>
      </c>
      <c r="Q135" s="250">
        <v>0</v>
      </c>
      <c r="R135" s="250">
        <v>0</v>
      </c>
      <c r="S135" s="250">
        <v>0</v>
      </c>
      <c r="T135" s="250">
        <v>0</v>
      </c>
      <c r="U135" s="250">
        <v>0</v>
      </c>
      <c r="V135" s="250">
        <v>0</v>
      </c>
      <c r="W135" s="250">
        <v>0</v>
      </c>
      <c r="X135" s="250">
        <v>0</v>
      </c>
      <c r="Y135" s="250">
        <v>0</v>
      </c>
      <c r="Z135" s="250">
        <v>0</v>
      </c>
      <c r="AA135" s="250">
        <v>0</v>
      </c>
      <c r="AB135" s="250">
        <v>0</v>
      </c>
      <c r="AC135" s="250">
        <v>0</v>
      </c>
      <c r="AD135" s="250">
        <v>0</v>
      </c>
      <c r="AE135" s="251">
        <v>250</v>
      </c>
      <c r="AF135" s="251">
        <v>0</v>
      </c>
      <c r="AG135" s="251">
        <v>350</v>
      </c>
      <c r="AH135" s="251">
        <v>0</v>
      </c>
      <c r="AI135" s="250">
        <f t="shared" si="2"/>
        <v>1385</v>
      </c>
    </row>
    <row r="136" spans="1:35" x14ac:dyDescent="0.35">
      <c r="A136" s="246" t="s">
        <v>761</v>
      </c>
      <c r="B136" s="247">
        <v>0</v>
      </c>
      <c r="C136" s="247">
        <v>0</v>
      </c>
      <c r="D136" s="247">
        <v>0</v>
      </c>
      <c r="E136" s="247">
        <v>0</v>
      </c>
      <c r="F136" s="247">
        <v>0</v>
      </c>
      <c r="G136" s="247">
        <v>1000</v>
      </c>
      <c r="H136" s="247">
        <v>0</v>
      </c>
      <c r="I136" s="247">
        <v>0</v>
      </c>
      <c r="J136" s="247">
        <v>0</v>
      </c>
      <c r="K136" s="247">
        <v>0</v>
      </c>
      <c r="L136" s="247">
        <v>0</v>
      </c>
      <c r="M136" s="247">
        <v>0</v>
      </c>
      <c r="N136" s="247">
        <v>0</v>
      </c>
      <c r="O136" s="247">
        <v>0</v>
      </c>
      <c r="P136" s="247">
        <v>0</v>
      </c>
      <c r="Q136" s="247">
        <v>0</v>
      </c>
      <c r="R136" s="247">
        <v>0</v>
      </c>
      <c r="S136" s="247">
        <v>0</v>
      </c>
      <c r="T136" s="247">
        <v>0</v>
      </c>
      <c r="U136" s="247">
        <v>0</v>
      </c>
      <c r="V136" s="247">
        <v>0</v>
      </c>
      <c r="W136" s="247">
        <v>0</v>
      </c>
      <c r="X136" s="247">
        <v>0</v>
      </c>
      <c r="Y136" s="247">
        <v>0</v>
      </c>
      <c r="Z136" s="247">
        <v>0</v>
      </c>
      <c r="AA136" s="247">
        <v>0</v>
      </c>
      <c r="AB136" s="247">
        <v>0</v>
      </c>
      <c r="AC136" s="247">
        <v>0</v>
      </c>
      <c r="AD136" s="247">
        <v>0</v>
      </c>
      <c r="AE136" s="248">
        <v>0</v>
      </c>
      <c r="AF136" s="248">
        <v>0</v>
      </c>
      <c r="AG136" s="248">
        <v>350</v>
      </c>
      <c r="AH136" s="248">
        <v>0</v>
      </c>
      <c r="AI136" s="247">
        <f t="shared" si="2"/>
        <v>1350</v>
      </c>
    </row>
    <row r="137" spans="1:35" x14ac:dyDescent="0.35">
      <c r="A137" s="5" t="s">
        <v>1093</v>
      </c>
      <c r="B137" s="250">
        <v>0</v>
      </c>
      <c r="C137" s="250">
        <v>0</v>
      </c>
      <c r="D137" s="250">
        <v>0</v>
      </c>
      <c r="E137" s="250">
        <v>0</v>
      </c>
      <c r="F137" s="250">
        <v>0</v>
      </c>
      <c r="G137" s="250">
        <v>0</v>
      </c>
      <c r="H137" s="250">
        <v>0</v>
      </c>
      <c r="I137" s="250">
        <v>0</v>
      </c>
      <c r="J137" s="250">
        <v>0</v>
      </c>
      <c r="K137" s="250">
        <v>0</v>
      </c>
      <c r="L137" s="250">
        <v>0</v>
      </c>
      <c r="M137" s="250">
        <v>0</v>
      </c>
      <c r="N137" s="250">
        <v>0</v>
      </c>
      <c r="O137" s="250">
        <v>0</v>
      </c>
      <c r="P137" s="250">
        <v>0</v>
      </c>
      <c r="Q137" s="250">
        <v>0</v>
      </c>
      <c r="R137" s="250">
        <v>0</v>
      </c>
      <c r="S137" s="250">
        <v>0</v>
      </c>
      <c r="T137" s="250">
        <v>0</v>
      </c>
      <c r="U137" s="250">
        <v>0</v>
      </c>
      <c r="V137" s="250">
        <v>0</v>
      </c>
      <c r="W137" s="250">
        <v>0</v>
      </c>
      <c r="X137" s="250">
        <v>0</v>
      </c>
      <c r="Y137" s="247">
        <v>1000</v>
      </c>
      <c r="Z137" s="250">
        <v>0</v>
      </c>
      <c r="AA137" s="250">
        <v>0</v>
      </c>
      <c r="AB137" s="250">
        <v>0</v>
      </c>
      <c r="AC137" s="250">
        <v>0</v>
      </c>
      <c r="AD137" s="250">
        <v>0</v>
      </c>
      <c r="AE137" s="251">
        <v>0</v>
      </c>
      <c r="AF137" s="251">
        <v>0</v>
      </c>
      <c r="AG137" s="251">
        <v>350</v>
      </c>
      <c r="AH137" s="251">
        <v>0</v>
      </c>
      <c r="AI137" s="250">
        <f t="shared" si="2"/>
        <v>1350</v>
      </c>
    </row>
    <row r="138" spans="1:35" x14ac:dyDescent="0.35">
      <c r="A138" s="5" t="s">
        <v>610</v>
      </c>
      <c r="B138" s="250">
        <v>0</v>
      </c>
      <c r="C138" s="250">
        <v>0</v>
      </c>
      <c r="D138" s="250">
        <v>0</v>
      </c>
      <c r="E138" s="250">
        <v>0</v>
      </c>
      <c r="F138" s="250">
        <v>0</v>
      </c>
      <c r="G138" s="250">
        <v>0</v>
      </c>
      <c r="H138" s="250">
        <v>0</v>
      </c>
      <c r="I138" s="250">
        <v>0</v>
      </c>
      <c r="J138" s="250">
        <v>0</v>
      </c>
      <c r="K138" s="250">
        <v>0</v>
      </c>
      <c r="L138" s="250">
        <v>0</v>
      </c>
      <c r="M138" s="250">
        <v>0</v>
      </c>
      <c r="N138" s="250">
        <v>0</v>
      </c>
      <c r="O138" s="250">
        <v>0</v>
      </c>
      <c r="P138" s="250">
        <v>0</v>
      </c>
      <c r="Q138" s="250">
        <v>0</v>
      </c>
      <c r="R138" s="250">
        <v>0</v>
      </c>
      <c r="S138" s="250">
        <v>0</v>
      </c>
      <c r="T138" s="250">
        <v>0</v>
      </c>
      <c r="U138" s="250">
        <v>0</v>
      </c>
      <c r="V138" s="250">
        <v>0</v>
      </c>
      <c r="W138" s="250">
        <v>0</v>
      </c>
      <c r="X138" s="250">
        <v>0</v>
      </c>
      <c r="Y138" s="247">
        <v>1000</v>
      </c>
      <c r="Z138" s="250">
        <v>0</v>
      </c>
      <c r="AA138" s="250">
        <v>0</v>
      </c>
      <c r="AB138" s="250">
        <v>0</v>
      </c>
      <c r="AC138" s="250">
        <v>0</v>
      </c>
      <c r="AD138" s="250">
        <v>0</v>
      </c>
      <c r="AE138" s="251">
        <v>0</v>
      </c>
      <c r="AF138" s="251">
        <v>0</v>
      </c>
      <c r="AG138" s="251">
        <v>350</v>
      </c>
      <c r="AH138" s="251">
        <v>0</v>
      </c>
      <c r="AI138" s="250">
        <f t="shared" si="2"/>
        <v>1350</v>
      </c>
    </row>
    <row r="139" spans="1:35" x14ac:dyDescent="0.35">
      <c r="A139" s="5" t="s">
        <v>1750</v>
      </c>
      <c r="B139" s="250">
        <v>0</v>
      </c>
      <c r="C139" s="250">
        <v>0</v>
      </c>
      <c r="D139" s="250">
        <v>0</v>
      </c>
      <c r="E139" s="250">
        <v>0</v>
      </c>
      <c r="F139" s="250">
        <v>0</v>
      </c>
      <c r="G139" s="250">
        <v>0</v>
      </c>
      <c r="H139" s="250">
        <v>0</v>
      </c>
      <c r="I139" s="250">
        <v>0</v>
      </c>
      <c r="J139" s="250">
        <v>0</v>
      </c>
      <c r="K139" s="250">
        <v>0</v>
      </c>
      <c r="L139" s="250">
        <v>0</v>
      </c>
      <c r="M139" s="250">
        <v>0</v>
      </c>
      <c r="N139" s="250">
        <v>0</v>
      </c>
      <c r="O139" s="250">
        <v>0</v>
      </c>
      <c r="P139" s="250">
        <v>0</v>
      </c>
      <c r="Q139" s="250">
        <v>0</v>
      </c>
      <c r="R139" s="250">
        <v>0</v>
      </c>
      <c r="S139" s="250">
        <v>0</v>
      </c>
      <c r="T139" s="250">
        <v>1000</v>
      </c>
      <c r="U139" s="250">
        <v>0</v>
      </c>
      <c r="V139" s="250">
        <v>0</v>
      </c>
      <c r="W139" s="250">
        <v>0</v>
      </c>
      <c r="X139" s="250">
        <v>0</v>
      </c>
      <c r="Y139" s="250">
        <v>0</v>
      </c>
      <c r="Z139" s="250">
        <v>0</v>
      </c>
      <c r="AA139" s="250">
        <v>0</v>
      </c>
      <c r="AB139" s="250">
        <v>0</v>
      </c>
      <c r="AC139" s="250">
        <v>0</v>
      </c>
      <c r="AD139" s="250">
        <v>0</v>
      </c>
      <c r="AE139" s="251">
        <v>0</v>
      </c>
      <c r="AF139" s="251">
        <v>0</v>
      </c>
      <c r="AG139" s="251">
        <v>350</v>
      </c>
      <c r="AH139" s="251">
        <v>0</v>
      </c>
      <c r="AI139" s="250">
        <f t="shared" si="2"/>
        <v>1350</v>
      </c>
    </row>
    <row r="140" spans="1:35" x14ac:dyDescent="0.35">
      <c r="A140" s="246" t="s">
        <v>1532</v>
      </c>
      <c r="B140" s="250">
        <v>0</v>
      </c>
      <c r="C140" s="250">
        <v>0</v>
      </c>
      <c r="D140" s="250">
        <v>0</v>
      </c>
      <c r="E140" s="250">
        <v>0</v>
      </c>
      <c r="F140" s="250">
        <v>0</v>
      </c>
      <c r="G140" s="250">
        <v>0</v>
      </c>
      <c r="H140" s="250">
        <v>0</v>
      </c>
      <c r="I140" s="250">
        <v>0</v>
      </c>
      <c r="J140" s="250">
        <v>0</v>
      </c>
      <c r="K140" s="250">
        <v>0</v>
      </c>
      <c r="L140" s="250">
        <v>0</v>
      </c>
      <c r="M140" s="250">
        <v>0</v>
      </c>
      <c r="N140" s="250">
        <v>1000</v>
      </c>
      <c r="O140" s="250">
        <v>0</v>
      </c>
      <c r="P140" s="250">
        <v>0</v>
      </c>
      <c r="Q140" s="250">
        <v>0</v>
      </c>
      <c r="R140" s="250">
        <v>0</v>
      </c>
      <c r="S140" s="250">
        <v>0</v>
      </c>
      <c r="T140" s="250">
        <v>0</v>
      </c>
      <c r="U140" s="250">
        <v>0</v>
      </c>
      <c r="V140" s="250">
        <v>0</v>
      </c>
      <c r="W140" s="250">
        <v>0</v>
      </c>
      <c r="X140" s="250">
        <v>0</v>
      </c>
      <c r="Y140" s="250">
        <v>0</v>
      </c>
      <c r="Z140" s="250">
        <v>0</v>
      </c>
      <c r="AA140" s="250">
        <v>0</v>
      </c>
      <c r="AB140" s="250">
        <v>0</v>
      </c>
      <c r="AC140" s="250">
        <v>0</v>
      </c>
      <c r="AD140" s="250">
        <v>0</v>
      </c>
      <c r="AE140" s="251">
        <v>0</v>
      </c>
      <c r="AF140" s="251">
        <v>0</v>
      </c>
      <c r="AG140" s="251">
        <v>300</v>
      </c>
      <c r="AH140" s="251">
        <v>0</v>
      </c>
      <c r="AI140" s="250">
        <f t="shared" si="2"/>
        <v>1300</v>
      </c>
    </row>
    <row r="141" spans="1:35" x14ac:dyDescent="0.35">
      <c r="A141" s="5" t="s">
        <v>864</v>
      </c>
      <c r="B141" s="250">
        <v>0</v>
      </c>
      <c r="C141" s="250">
        <v>0</v>
      </c>
      <c r="D141" s="250">
        <v>0</v>
      </c>
      <c r="E141" s="250">
        <v>0</v>
      </c>
      <c r="F141" s="250">
        <v>0</v>
      </c>
      <c r="G141" s="250">
        <v>800</v>
      </c>
      <c r="H141" s="250">
        <v>0</v>
      </c>
      <c r="I141" s="250">
        <v>0</v>
      </c>
      <c r="J141" s="250">
        <v>0</v>
      </c>
      <c r="K141" s="250">
        <v>0</v>
      </c>
      <c r="L141" s="250">
        <v>0</v>
      </c>
      <c r="M141" s="250">
        <v>0</v>
      </c>
      <c r="N141" s="250">
        <v>0</v>
      </c>
      <c r="O141" s="250">
        <v>0</v>
      </c>
      <c r="P141" s="250">
        <v>0</v>
      </c>
      <c r="Q141" s="250">
        <v>0</v>
      </c>
      <c r="R141" s="250">
        <v>0</v>
      </c>
      <c r="S141" s="250">
        <v>0</v>
      </c>
      <c r="T141" s="250">
        <v>0</v>
      </c>
      <c r="U141" s="250">
        <v>0</v>
      </c>
      <c r="V141" s="250">
        <v>0</v>
      </c>
      <c r="W141" s="250">
        <v>0</v>
      </c>
      <c r="X141" s="250">
        <v>0</v>
      </c>
      <c r="Y141" s="250">
        <v>0</v>
      </c>
      <c r="Z141" s="250">
        <v>0</v>
      </c>
      <c r="AA141" s="250">
        <v>0</v>
      </c>
      <c r="AB141" s="250">
        <v>0</v>
      </c>
      <c r="AC141" s="250">
        <v>0</v>
      </c>
      <c r="AD141" s="250">
        <v>0</v>
      </c>
      <c r="AE141" s="251">
        <v>0</v>
      </c>
      <c r="AF141" s="251">
        <v>0</v>
      </c>
      <c r="AG141" s="251">
        <v>500</v>
      </c>
      <c r="AH141" s="251">
        <v>0</v>
      </c>
      <c r="AI141" s="250">
        <f t="shared" si="2"/>
        <v>1300</v>
      </c>
    </row>
    <row r="142" spans="1:35" x14ac:dyDescent="0.35">
      <c r="A142" s="5" t="s">
        <v>866</v>
      </c>
      <c r="B142" s="250">
        <v>0</v>
      </c>
      <c r="C142" s="250">
        <v>0</v>
      </c>
      <c r="D142" s="250">
        <v>0</v>
      </c>
      <c r="E142" s="250">
        <v>0</v>
      </c>
      <c r="F142" s="250">
        <v>0</v>
      </c>
      <c r="G142" s="250">
        <v>750</v>
      </c>
      <c r="H142" s="250">
        <v>0</v>
      </c>
      <c r="I142" s="250">
        <v>0</v>
      </c>
      <c r="J142" s="250">
        <v>0</v>
      </c>
      <c r="K142" s="250">
        <v>0</v>
      </c>
      <c r="L142" s="250">
        <v>0</v>
      </c>
      <c r="M142" s="250">
        <v>0</v>
      </c>
      <c r="N142" s="250">
        <v>0</v>
      </c>
      <c r="O142" s="250">
        <v>0</v>
      </c>
      <c r="P142" s="250">
        <v>0</v>
      </c>
      <c r="Q142" s="250">
        <v>0</v>
      </c>
      <c r="R142" s="250">
        <v>0</v>
      </c>
      <c r="S142" s="250">
        <v>0</v>
      </c>
      <c r="T142" s="250">
        <v>0</v>
      </c>
      <c r="U142" s="250">
        <v>0</v>
      </c>
      <c r="V142" s="250">
        <v>0</v>
      </c>
      <c r="W142" s="250">
        <v>0</v>
      </c>
      <c r="X142" s="250">
        <v>0</v>
      </c>
      <c r="Y142" s="250">
        <v>0</v>
      </c>
      <c r="Z142" s="250">
        <v>0</v>
      </c>
      <c r="AA142" s="250">
        <v>0</v>
      </c>
      <c r="AB142" s="250">
        <v>0</v>
      </c>
      <c r="AC142" s="250">
        <v>0</v>
      </c>
      <c r="AD142" s="250">
        <v>0</v>
      </c>
      <c r="AE142" s="251">
        <v>0</v>
      </c>
      <c r="AF142" s="251">
        <v>0</v>
      </c>
      <c r="AG142" s="251">
        <v>500</v>
      </c>
      <c r="AH142" s="251">
        <v>0</v>
      </c>
      <c r="AI142" s="250">
        <f t="shared" si="2"/>
        <v>1250</v>
      </c>
    </row>
    <row r="143" spans="1:35" x14ac:dyDescent="0.35">
      <c r="A143" s="5" t="s">
        <v>2002</v>
      </c>
      <c r="B143" s="250">
        <v>0</v>
      </c>
      <c r="C143" s="250">
        <v>0</v>
      </c>
      <c r="D143" s="250">
        <v>0</v>
      </c>
      <c r="E143" s="250">
        <v>0</v>
      </c>
      <c r="F143" s="250">
        <v>0</v>
      </c>
      <c r="G143" s="250">
        <v>0</v>
      </c>
      <c r="H143" s="250">
        <v>0</v>
      </c>
      <c r="I143" s="250">
        <v>0</v>
      </c>
      <c r="J143" s="250">
        <v>0</v>
      </c>
      <c r="K143" s="250">
        <v>0</v>
      </c>
      <c r="L143" s="250">
        <v>0</v>
      </c>
      <c r="M143" s="250">
        <v>0</v>
      </c>
      <c r="N143" s="250">
        <v>0</v>
      </c>
      <c r="O143" s="250">
        <v>0</v>
      </c>
      <c r="P143" s="250">
        <v>0</v>
      </c>
      <c r="Q143" s="250">
        <v>0</v>
      </c>
      <c r="R143" s="250">
        <v>0</v>
      </c>
      <c r="S143" s="250">
        <v>0</v>
      </c>
      <c r="T143" s="250">
        <v>0</v>
      </c>
      <c r="U143" s="250">
        <v>0</v>
      </c>
      <c r="V143" s="250">
        <v>0</v>
      </c>
      <c r="W143" s="250">
        <v>1250</v>
      </c>
      <c r="X143" s="250">
        <v>0</v>
      </c>
      <c r="Y143" s="250">
        <v>0</v>
      </c>
      <c r="Z143" s="250">
        <v>0</v>
      </c>
      <c r="AA143" s="250">
        <v>0</v>
      </c>
      <c r="AB143" s="250">
        <v>0</v>
      </c>
      <c r="AC143" s="250">
        <v>0</v>
      </c>
      <c r="AD143" s="250">
        <v>0</v>
      </c>
      <c r="AE143" s="251">
        <v>0</v>
      </c>
      <c r="AF143" s="251">
        <v>0</v>
      </c>
      <c r="AG143" s="251">
        <v>0</v>
      </c>
      <c r="AH143" s="251">
        <v>0</v>
      </c>
      <c r="AI143" s="250">
        <f t="shared" si="2"/>
        <v>1250</v>
      </c>
    </row>
    <row r="144" spans="1:35" x14ac:dyDescent="0.35">
      <c r="A144" s="5" t="s">
        <v>2613</v>
      </c>
      <c r="B144" s="250">
        <v>0</v>
      </c>
      <c r="C144" s="250">
        <v>0</v>
      </c>
      <c r="D144" s="250">
        <v>0</v>
      </c>
      <c r="E144" s="250">
        <v>0</v>
      </c>
      <c r="F144" s="250">
        <v>0</v>
      </c>
      <c r="G144" s="250">
        <v>0</v>
      </c>
      <c r="H144" s="250">
        <v>0</v>
      </c>
      <c r="I144" s="250">
        <v>0</v>
      </c>
      <c r="J144" s="250">
        <v>0</v>
      </c>
      <c r="K144" s="250">
        <v>0</v>
      </c>
      <c r="L144" s="250">
        <v>0</v>
      </c>
      <c r="M144" s="250">
        <v>0</v>
      </c>
      <c r="N144" s="250">
        <v>0</v>
      </c>
      <c r="O144" s="250">
        <v>0</v>
      </c>
      <c r="P144" s="250">
        <v>0</v>
      </c>
      <c r="Q144" s="250">
        <v>0</v>
      </c>
      <c r="R144" s="250">
        <v>0</v>
      </c>
      <c r="S144" s="250">
        <v>0</v>
      </c>
      <c r="T144" s="250">
        <v>0</v>
      </c>
      <c r="U144" s="250">
        <v>0</v>
      </c>
      <c r="V144" s="250">
        <v>0</v>
      </c>
      <c r="W144" s="250">
        <v>0</v>
      </c>
      <c r="X144" s="250">
        <v>0</v>
      </c>
      <c r="Y144" s="250">
        <v>0</v>
      </c>
      <c r="Z144" s="250">
        <v>0</v>
      </c>
      <c r="AA144" s="250">
        <v>450</v>
      </c>
      <c r="AB144" s="250">
        <v>0</v>
      </c>
      <c r="AC144" s="250">
        <v>0</v>
      </c>
      <c r="AD144" s="250">
        <v>0</v>
      </c>
      <c r="AE144" s="251">
        <v>0</v>
      </c>
      <c r="AF144" s="251">
        <v>0</v>
      </c>
      <c r="AG144" s="251">
        <v>775</v>
      </c>
      <c r="AH144" s="251">
        <v>0</v>
      </c>
      <c r="AI144" s="250">
        <f t="shared" si="2"/>
        <v>1225</v>
      </c>
    </row>
    <row r="145" spans="1:35" x14ac:dyDescent="0.35">
      <c r="A145" s="246" t="s">
        <v>694</v>
      </c>
      <c r="B145" s="247">
        <v>0</v>
      </c>
      <c r="C145" s="247">
        <v>0</v>
      </c>
      <c r="D145" s="247">
        <v>0</v>
      </c>
      <c r="E145" s="247">
        <v>0</v>
      </c>
      <c r="F145" s="247">
        <v>350</v>
      </c>
      <c r="G145" s="247">
        <v>500</v>
      </c>
      <c r="H145" s="247">
        <v>0</v>
      </c>
      <c r="I145" s="247">
        <v>0</v>
      </c>
      <c r="J145" s="247">
        <v>0</v>
      </c>
      <c r="K145" s="247">
        <v>0</v>
      </c>
      <c r="L145" s="247">
        <v>0</v>
      </c>
      <c r="M145" s="247">
        <v>0</v>
      </c>
      <c r="N145" s="247">
        <v>0</v>
      </c>
      <c r="O145" s="247">
        <v>0</v>
      </c>
      <c r="P145" s="247">
        <v>0</v>
      </c>
      <c r="Q145" s="247">
        <v>0</v>
      </c>
      <c r="R145" s="247">
        <v>0</v>
      </c>
      <c r="S145" s="247">
        <v>0</v>
      </c>
      <c r="T145" s="247">
        <v>0</v>
      </c>
      <c r="U145" s="247">
        <v>0</v>
      </c>
      <c r="V145" s="247">
        <v>0</v>
      </c>
      <c r="W145" s="247">
        <v>0</v>
      </c>
      <c r="X145" s="247">
        <v>0</v>
      </c>
      <c r="Y145" s="247">
        <v>0</v>
      </c>
      <c r="Z145" s="247">
        <v>0</v>
      </c>
      <c r="AA145" s="247">
        <v>0</v>
      </c>
      <c r="AB145" s="247">
        <v>0</v>
      </c>
      <c r="AC145" s="247">
        <v>0</v>
      </c>
      <c r="AD145" s="247">
        <v>0</v>
      </c>
      <c r="AE145" s="248">
        <v>0</v>
      </c>
      <c r="AF145" s="248">
        <v>0</v>
      </c>
      <c r="AG145" s="248">
        <v>350</v>
      </c>
      <c r="AH145" s="248">
        <v>0</v>
      </c>
      <c r="AI145" s="250">
        <f t="shared" si="2"/>
        <v>1200</v>
      </c>
    </row>
    <row r="146" spans="1:35" x14ac:dyDescent="0.35">
      <c r="A146" s="5" t="s">
        <v>857</v>
      </c>
      <c r="B146" s="250">
        <v>0</v>
      </c>
      <c r="C146" s="250">
        <v>0</v>
      </c>
      <c r="D146" s="250">
        <v>0</v>
      </c>
      <c r="E146" s="250">
        <v>0</v>
      </c>
      <c r="F146" s="250">
        <v>0</v>
      </c>
      <c r="G146" s="250">
        <v>820</v>
      </c>
      <c r="H146" s="250">
        <v>0</v>
      </c>
      <c r="I146" s="250">
        <v>0</v>
      </c>
      <c r="J146" s="250">
        <v>0</v>
      </c>
      <c r="K146" s="250">
        <v>0</v>
      </c>
      <c r="L146" s="250">
        <v>0</v>
      </c>
      <c r="M146" s="250">
        <v>0</v>
      </c>
      <c r="N146" s="250">
        <v>0</v>
      </c>
      <c r="O146" s="250">
        <v>0</v>
      </c>
      <c r="P146" s="250">
        <v>0</v>
      </c>
      <c r="Q146" s="250">
        <v>0</v>
      </c>
      <c r="R146" s="250">
        <v>0</v>
      </c>
      <c r="S146" s="250">
        <v>0</v>
      </c>
      <c r="T146" s="250">
        <v>0</v>
      </c>
      <c r="U146" s="250">
        <v>0</v>
      </c>
      <c r="V146" s="250">
        <v>0</v>
      </c>
      <c r="W146" s="250">
        <v>0</v>
      </c>
      <c r="X146" s="250">
        <v>0</v>
      </c>
      <c r="Y146" s="247">
        <v>0</v>
      </c>
      <c r="Z146" s="250">
        <v>0</v>
      </c>
      <c r="AA146" s="250">
        <v>0</v>
      </c>
      <c r="AB146" s="250">
        <v>0</v>
      </c>
      <c r="AC146" s="250">
        <v>0</v>
      </c>
      <c r="AD146" s="250">
        <v>0</v>
      </c>
      <c r="AE146" s="251">
        <v>0</v>
      </c>
      <c r="AF146" s="251">
        <v>0</v>
      </c>
      <c r="AG146" s="251">
        <v>350</v>
      </c>
      <c r="AH146" s="251">
        <v>0</v>
      </c>
      <c r="AI146" s="250">
        <f t="shared" si="2"/>
        <v>1170</v>
      </c>
    </row>
    <row r="147" spans="1:35" x14ac:dyDescent="0.35">
      <c r="A147" s="5" t="s">
        <v>2240</v>
      </c>
      <c r="B147" s="250">
        <v>0</v>
      </c>
      <c r="C147" s="250">
        <v>0</v>
      </c>
      <c r="D147" s="250">
        <v>0</v>
      </c>
      <c r="E147" s="250">
        <v>0</v>
      </c>
      <c r="F147" s="250">
        <v>0</v>
      </c>
      <c r="G147" s="250">
        <v>0</v>
      </c>
      <c r="H147" s="250">
        <v>0</v>
      </c>
      <c r="I147" s="250">
        <v>0</v>
      </c>
      <c r="J147" s="250">
        <v>0</v>
      </c>
      <c r="K147" s="250">
        <v>0</v>
      </c>
      <c r="L147" s="250">
        <v>0</v>
      </c>
      <c r="M147" s="250">
        <v>0</v>
      </c>
      <c r="N147" s="250">
        <v>0</v>
      </c>
      <c r="O147" s="250">
        <v>0</v>
      </c>
      <c r="P147" s="250">
        <v>0</v>
      </c>
      <c r="Q147" s="250">
        <v>0</v>
      </c>
      <c r="R147" s="250">
        <v>0</v>
      </c>
      <c r="S147" s="250">
        <v>0</v>
      </c>
      <c r="T147" s="250">
        <v>0</v>
      </c>
      <c r="U147" s="250">
        <v>0</v>
      </c>
      <c r="V147" s="250">
        <v>500</v>
      </c>
      <c r="W147" s="250">
        <v>0</v>
      </c>
      <c r="X147" s="250">
        <v>0</v>
      </c>
      <c r="Y147" s="247">
        <v>0</v>
      </c>
      <c r="Z147" s="250">
        <v>0</v>
      </c>
      <c r="AA147" s="250">
        <v>650</v>
      </c>
      <c r="AB147" s="250">
        <v>0</v>
      </c>
      <c r="AC147" s="250">
        <v>0</v>
      </c>
      <c r="AD147" s="250">
        <v>0</v>
      </c>
      <c r="AE147" s="251">
        <v>0</v>
      </c>
      <c r="AF147" s="251">
        <v>0</v>
      </c>
      <c r="AG147" s="251">
        <v>0</v>
      </c>
      <c r="AH147" s="251">
        <v>0</v>
      </c>
      <c r="AI147" s="250">
        <f t="shared" si="2"/>
        <v>1150</v>
      </c>
    </row>
    <row r="148" spans="1:35" x14ac:dyDescent="0.35">
      <c r="A148" s="5" t="s">
        <v>1476</v>
      </c>
      <c r="B148" s="250">
        <v>0</v>
      </c>
      <c r="C148" s="250">
        <v>0</v>
      </c>
      <c r="D148" s="250">
        <v>0</v>
      </c>
      <c r="E148" s="250">
        <v>0</v>
      </c>
      <c r="F148" s="250">
        <v>0</v>
      </c>
      <c r="G148" s="250">
        <v>0</v>
      </c>
      <c r="H148" s="250">
        <v>0</v>
      </c>
      <c r="I148" s="250">
        <v>0</v>
      </c>
      <c r="J148" s="250">
        <v>0</v>
      </c>
      <c r="K148" s="250">
        <v>0</v>
      </c>
      <c r="L148" s="250">
        <v>600</v>
      </c>
      <c r="M148" s="250">
        <v>0</v>
      </c>
      <c r="N148" s="250">
        <v>0</v>
      </c>
      <c r="O148" s="250">
        <v>0</v>
      </c>
      <c r="P148" s="250">
        <v>0</v>
      </c>
      <c r="Q148" s="250">
        <v>0</v>
      </c>
      <c r="R148" s="250">
        <v>0</v>
      </c>
      <c r="S148" s="250">
        <v>0</v>
      </c>
      <c r="T148" s="250">
        <v>0</v>
      </c>
      <c r="U148" s="250">
        <v>0</v>
      </c>
      <c r="V148" s="250">
        <v>0</v>
      </c>
      <c r="W148" s="250">
        <v>0</v>
      </c>
      <c r="X148" s="250">
        <v>0</v>
      </c>
      <c r="Y148" s="250">
        <v>0</v>
      </c>
      <c r="Z148" s="250">
        <v>0</v>
      </c>
      <c r="AA148" s="250">
        <v>0</v>
      </c>
      <c r="AB148" s="250">
        <v>0</v>
      </c>
      <c r="AC148" s="250">
        <v>0</v>
      </c>
      <c r="AD148" s="250">
        <v>0</v>
      </c>
      <c r="AE148" s="251">
        <v>0</v>
      </c>
      <c r="AF148" s="251">
        <v>0</v>
      </c>
      <c r="AG148" s="251">
        <v>550</v>
      </c>
      <c r="AH148" s="251">
        <v>0</v>
      </c>
      <c r="AI148" s="250">
        <f t="shared" si="2"/>
        <v>1150</v>
      </c>
    </row>
    <row r="149" spans="1:35" x14ac:dyDescent="0.35">
      <c r="A149" s="246" t="s">
        <v>862</v>
      </c>
      <c r="B149" s="250">
        <v>0</v>
      </c>
      <c r="C149" s="250">
        <v>0</v>
      </c>
      <c r="D149" s="250">
        <v>0</v>
      </c>
      <c r="E149" s="250">
        <v>0</v>
      </c>
      <c r="F149" s="250">
        <v>0</v>
      </c>
      <c r="G149" s="250">
        <v>785</v>
      </c>
      <c r="H149" s="250">
        <v>0</v>
      </c>
      <c r="I149" s="250">
        <v>0</v>
      </c>
      <c r="J149" s="250">
        <v>0</v>
      </c>
      <c r="K149" s="250">
        <v>0</v>
      </c>
      <c r="L149" s="250">
        <v>0</v>
      </c>
      <c r="M149" s="250">
        <v>0</v>
      </c>
      <c r="N149" s="250">
        <v>0</v>
      </c>
      <c r="O149" s="250">
        <v>0</v>
      </c>
      <c r="P149" s="250">
        <v>0</v>
      </c>
      <c r="Q149" s="250">
        <v>0</v>
      </c>
      <c r="R149" s="250">
        <v>0</v>
      </c>
      <c r="S149" s="250">
        <v>0</v>
      </c>
      <c r="T149" s="250">
        <v>0</v>
      </c>
      <c r="U149" s="250">
        <v>0</v>
      </c>
      <c r="V149" s="250">
        <v>0</v>
      </c>
      <c r="W149" s="250">
        <v>0</v>
      </c>
      <c r="X149" s="250">
        <v>0</v>
      </c>
      <c r="Y149" s="250">
        <v>0</v>
      </c>
      <c r="Z149" s="250">
        <v>0</v>
      </c>
      <c r="AA149" s="250">
        <v>0</v>
      </c>
      <c r="AB149" s="250">
        <v>0</v>
      </c>
      <c r="AC149" s="250">
        <v>0</v>
      </c>
      <c r="AD149" s="250">
        <v>0</v>
      </c>
      <c r="AE149" s="251">
        <v>0</v>
      </c>
      <c r="AF149" s="251">
        <v>0</v>
      </c>
      <c r="AG149" s="251">
        <v>350</v>
      </c>
      <c r="AH149" s="251">
        <v>0</v>
      </c>
      <c r="AI149" s="250">
        <f t="shared" si="2"/>
        <v>1135</v>
      </c>
    </row>
    <row r="150" spans="1:35" x14ac:dyDescent="0.35">
      <c r="A150" s="246" t="s">
        <v>2593</v>
      </c>
      <c r="B150" s="250">
        <v>0</v>
      </c>
      <c r="C150" s="250">
        <v>0</v>
      </c>
      <c r="D150" s="250">
        <v>0</v>
      </c>
      <c r="E150" s="250">
        <v>0</v>
      </c>
      <c r="F150" s="250">
        <v>0</v>
      </c>
      <c r="G150" s="250">
        <v>0</v>
      </c>
      <c r="H150" s="250">
        <v>0</v>
      </c>
      <c r="I150" s="250">
        <v>0</v>
      </c>
      <c r="J150" s="250">
        <v>0</v>
      </c>
      <c r="K150" s="250">
        <v>0</v>
      </c>
      <c r="L150" s="250">
        <v>0</v>
      </c>
      <c r="M150" s="250">
        <v>0</v>
      </c>
      <c r="N150" s="250">
        <v>0</v>
      </c>
      <c r="O150" s="250">
        <v>0</v>
      </c>
      <c r="P150" s="250">
        <v>0</v>
      </c>
      <c r="Q150" s="250">
        <v>0</v>
      </c>
      <c r="R150" s="250">
        <v>0</v>
      </c>
      <c r="S150" s="250">
        <v>0</v>
      </c>
      <c r="T150" s="250">
        <v>0</v>
      </c>
      <c r="U150" s="250">
        <v>0</v>
      </c>
      <c r="V150" s="250">
        <v>0</v>
      </c>
      <c r="W150" s="250">
        <v>750</v>
      </c>
      <c r="X150" s="250">
        <v>0</v>
      </c>
      <c r="Y150" s="250">
        <v>0</v>
      </c>
      <c r="Z150" s="250">
        <v>0</v>
      </c>
      <c r="AA150" s="250">
        <v>0</v>
      </c>
      <c r="AB150" s="250">
        <v>0</v>
      </c>
      <c r="AC150" s="250">
        <v>0</v>
      </c>
      <c r="AD150" s="250">
        <v>0</v>
      </c>
      <c r="AE150" s="251">
        <v>0</v>
      </c>
      <c r="AF150" s="251">
        <v>0</v>
      </c>
      <c r="AG150" s="251">
        <v>350</v>
      </c>
      <c r="AH150" s="251">
        <v>0</v>
      </c>
      <c r="AI150" s="250">
        <f t="shared" si="2"/>
        <v>1100</v>
      </c>
    </row>
    <row r="151" spans="1:35" x14ac:dyDescent="0.35">
      <c r="A151" s="5" t="s">
        <v>854</v>
      </c>
      <c r="B151" s="250">
        <v>0</v>
      </c>
      <c r="C151" s="250">
        <v>0</v>
      </c>
      <c r="D151" s="250">
        <v>0</v>
      </c>
      <c r="E151" s="250">
        <v>0</v>
      </c>
      <c r="F151" s="250">
        <v>0</v>
      </c>
      <c r="G151" s="250">
        <v>750</v>
      </c>
      <c r="H151" s="250">
        <v>0</v>
      </c>
      <c r="I151" s="250">
        <v>0</v>
      </c>
      <c r="J151" s="250">
        <v>0</v>
      </c>
      <c r="K151" s="250">
        <v>0</v>
      </c>
      <c r="L151" s="250">
        <v>0</v>
      </c>
      <c r="M151" s="250">
        <v>0</v>
      </c>
      <c r="N151" s="250">
        <v>0</v>
      </c>
      <c r="O151" s="250">
        <v>0</v>
      </c>
      <c r="P151" s="250">
        <v>0</v>
      </c>
      <c r="Q151" s="250">
        <v>0</v>
      </c>
      <c r="R151" s="250">
        <v>0</v>
      </c>
      <c r="S151" s="250">
        <v>0</v>
      </c>
      <c r="T151" s="250">
        <v>0</v>
      </c>
      <c r="U151" s="250">
        <v>0</v>
      </c>
      <c r="V151" s="250">
        <v>0</v>
      </c>
      <c r="W151" s="250">
        <v>0</v>
      </c>
      <c r="X151" s="250">
        <v>0</v>
      </c>
      <c r="Y151" s="250">
        <v>0</v>
      </c>
      <c r="Z151" s="250">
        <v>0</v>
      </c>
      <c r="AA151" s="250">
        <v>0</v>
      </c>
      <c r="AB151" s="250">
        <v>0</v>
      </c>
      <c r="AC151" s="250">
        <v>0</v>
      </c>
      <c r="AD151" s="250">
        <v>0</v>
      </c>
      <c r="AE151" s="251">
        <v>0</v>
      </c>
      <c r="AF151" s="251">
        <v>0</v>
      </c>
      <c r="AG151" s="251">
        <v>350</v>
      </c>
      <c r="AH151" s="251">
        <v>0</v>
      </c>
      <c r="AI151" s="250">
        <f t="shared" si="2"/>
        <v>1100</v>
      </c>
    </row>
    <row r="152" spans="1:35" x14ac:dyDescent="0.35">
      <c r="A152" s="5" t="s">
        <v>836</v>
      </c>
      <c r="B152" s="250">
        <v>0</v>
      </c>
      <c r="C152" s="250">
        <v>0</v>
      </c>
      <c r="D152" s="250">
        <v>0</v>
      </c>
      <c r="E152" s="250">
        <v>0</v>
      </c>
      <c r="F152" s="250">
        <v>0</v>
      </c>
      <c r="G152" s="250">
        <v>750</v>
      </c>
      <c r="H152" s="250">
        <v>0</v>
      </c>
      <c r="I152" s="250">
        <v>0</v>
      </c>
      <c r="J152" s="250">
        <v>0</v>
      </c>
      <c r="K152" s="250">
        <v>0</v>
      </c>
      <c r="L152" s="250">
        <v>0</v>
      </c>
      <c r="M152" s="250">
        <v>0</v>
      </c>
      <c r="N152" s="250">
        <v>0</v>
      </c>
      <c r="O152" s="250">
        <v>0</v>
      </c>
      <c r="P152" s="250">
        <v>0</v>
      </c>
      <c r="Q152" s="250">
        <v>0</v>
      </c>
      <c r="R152" s="250">
        <v>0</v>
      </c>
      <c r="S152" s="250">
        <v>0</v>
      </c>
      <c r="T152" s="250">
        <v>0</v>
      </c>
      <c r="U152" s="250">
        <v>0</v>
      </c>
      <c r="V152" s="250">
        <v>0</v>
      </c>
      <c r="W152" s="250">
        <v>0</v>
      </c>
      <c r="X152" s="250">
        <v>0</v>
      </c>
      <c r="Y152" s="250">
        <v>0</v>
      </c>
      <c r="Z152" s="250">
        <v>0</v>
      </c>
      <c r="AA152" s="250">
        <v>0</v>
      </c>
      <c r="AB152" s="250">
        <v>0</v>
      </c>
      <c r="AC152" s="250">
        <v>0</v>
      </c>
      <c r="AD152" s="250">
        <v>0</v>
      </c>
      <c r="AE152" s="251">
        <v>0</v>
      </c>
      <c r="AF152" s="251">
        <v>0</v>
      </c>
      <c r="AG152" s="251">
        <v>350</v>
      </c>
      <c r="AH152" s="251">
        <v>0</v>
      </c>
      <c r="AI152" s="250">
        <f t="shared" si="2"/>
        <v>1100</v>
      </c>
    </row>
    <row r="153" spans="1:35" x14ac:dyDescent="0.35">
      <c r="A153" s="5" t="s">
        <v>2103</v>
      </c>
      <c r="B153" s="250">
        <v>0</v>
      </c>
      <c r="C153" s="250">
        <v>0</v>
      </c>
      <c r="D153" s="250">
        <v>0</v>
      </c>
      <c r="E153" s="250">
        <v>0</v>
      </c>
      <c r="F153" s="250">
        <v>0</v>
      </c>
      <c r="G153" s="250">
        <v>0</v>
      </c>
      <c r="H153" s="250">
        <v>0</v>
      </c>
      <c r="I153" s="250">
        <v>0</v>
      </c>
      <c r="J153" s="250">
        <v>0</v>
      </c>
      <c r="K153" s="250">
        <v>0</v>
      </c>
      <c r="L153" s="250">
        <v>0</v>
      </c>
      <c r="M153" s="250">
        <v>0</v>
      </c>
      <c r="N153" s="250">
        <v>0</v>
      </c>
      <c r="O153" s="250">
        <v>0</v>
      </c>
      <c r="P153" s="250">
        <v>0</v>
      </c>
      <c r="Q153" s="250">
        <v>0</v>
      </c>
      <c r="R153" s="250">
        <v>0</v>
      </c>
      <c r="S153" s="250">
        <v>0</v>
      </c>
      <c r="T153" s="250">
        <v>0</v>
      </c>
      <c r="U153" s="250">
        <v>0</v>
      </c>
      <c r="V153" s="250">
        <v>0</v>
      </c>
      <c r="W153" s="250">
        <v>750</v>
      </c>
      <c r="X153" s="250">
        <v>0</v>
      </c>
      <c r="Y153" s="247">
        <v>0</v>
      </c>
      <c r="Z153" s="250">
        <v>0</v>
      </c>
      <c r="AA153" s="250">
        <v>0</v>
      </c>
      <c r="AB153" s="250">
        <v>0</v>
      </c>
      <c r="AC153" s="250">
        <v>0</v>
      </c>
      <c r="AD153" s="250">
        <v>0</v>
      </c>
      <c r="AE153" s="251">
        <v>0</v>
      </c>
      <c r="AF153" s="251">
        <v>0</v>
      </c>
      <c r="AG153" s="251">
        <v>350</v>
      </c>
      <c r="AH153" s="251">
        <v>0</v>
      </c>
      <c r="AI153" s="250">
        <f t="shared" si="2"/>
        <v>1100</v>
      </c>
    </row>
    <row r="154" spans="1:35" x14ac:dyDescent="0.35">
      <c r="A154" s="5" t="s">
        <v>680</v>
      </c>
      <c r="B154" s="250"/>
      <c r="C154" s="250"/>
      <c r="D154" s="250"/>
      <c r="E154" s="250"/>
      <c r="F154" s="250"/>
      <c r="G154" s="250"/>
      <c r="H154" s="250"/>
      <c r="I154" s="250"/>
      <c r="J154" s="250"/>
      <c r="K154" s="250"/>
      <c r="L154" s="250"/>
      <c r="M154" s="250"/>
      <c r="N154" s="250"/>
      <c r="O154" s="250"/>
      <c r="P154" s="250"/>
      <c r="Q154" s="250"/>
      <c r="R154" s="250"/>
      <c r="S154" s="250"/>
      <c r="T154" s="250"/>
      <c r="U154" s="250"/>
      <c r="V154" s="250"/>
      <c r="W154" s="250"/>
      <c r="X154" s="250"/>
      <c r="Y154" s="250"/>
      <c r="Z154" s="250"/>
      <c r="AA154" s="250"/>
      <c r="AB154" s="250"/>
      <c r="AC154" s="250"/>
      <c r="AD154" s="250"/>
      <c r="AE154" s="251"/>
      <c r="AF154" s="251"/>
      <c r="AG154" s="251">
        <v>1075</v>
      </c>
      <c r="AH154" s="251">
        <v>0</v>
      </c>
      <c r="AI154" s="250">
        <f t="shared" si="2"/>
        <v>1075</v>
      </c>
    </row>
    <row r="155" spans="1:35" x14ac:dyDescent="0.35">
      <c r="A155" s="5" t="s">
        <v>2314</v>
      </c>
      <c r="B155" s="250">
        <v>0</v>
      </c>
      <c r="C155" s="250">
        <v>0</v>
      </c>
      <c r="D155" s="250">
        <v>0</v>
      </c>
      <c r="E155" s="250">
        <v>0</v>
      </c>
      <c r="F155" s="250">
        <v>0</v>
      </c>
      <c r="G155" s="250">
        <v>0</v>
      </c>
      <c r="H155" s="250">
        <v>0</v>
      </c>
      <c r="I155" s="250">
        <v>0</v>
      </c>
      <c r="J155" s="250">
        <v>0</v>
      </c>
      <c r="K155" s="250">
        <v>0</v>
      </c>
      <c r="L155" s="250">
        <v>0</v>
      </c>
      <c r="M155" s="250">
        <v>0</v>
      </c>
      <c r="N155" s="250">
        <v>0</v>
      </c>
      <c r="O155" s="250">
        <v>0</v>
      </c>
      <c r="P155" s="250">
        <v>0</v>
      </c>
      <c r="Q155" s="250">
        <v>0</v>
      </c>
      <c r="R155" s="250">
        <v>0</v>
      </c>
      <c r="S155" s="250">
        <v>0</v>
      </c>
      <c r="T155" s="250">
        <v>0</v>
      </c>
      <c r="U155" s="250">
        <v>0</v>
      </c>
      <c r="V155" s="250">
        <v>0</v>
      </c>
      <c r="W155" s="250">
        <v>0</v>
      </c>
      <c r="X155" s="250">
        <v>0</v>
      </c>
      <c r="Y155" s="250">
        <v>0</v>
      </c>
      <c r="Z155" s="250">
        <v>0</v>
      </c>
      <c r="AA155" s="250">
        <v>450</v>
      </c>
      <c r="AB155" s="250">
        <v>0</v>
      </c>
      <c r="AC155" s="250">
        <v>0</v>
      </c>
      <c r="AD155" s="250">
        <v>0</v>
      </c>
      <c r="AE155" s="251">
        <v>250</v>
      </c>
      <c r="AF155" s="251">
        <v>0</v>
      </c>
      <c r="AG155" s="251">
        <v>350</v>
      </c>
      <c r="AH155" s="251">
        <v>0</v>
      </c>
      <c r="AI155" s="250">
        <f t="shared" si="2"/>
        <v>1050</v>
      </c>
    </row>
    <row r="156" spans="1:35" x14ac:dyDescent="0.35">
      <c r="A156" s="5" t="s">
        <v>2599</v>
      </c>
      <c r="B156" s="250"/>
      <c r="C156" s="250"/>
      <c r="D156" s="250"/>
      <c r="E156" s="250"/>
      <c r="F156" s="250"/>
      <c r="G156" s="250"/>
      <c r="H156" s="250"/>
      <c r="I156" s="250"/>
      <c r="J156" s="250"/>
      <c r="K156" s="250"/>
      <c r="L156" s="250"/>
      <c r="M156" s="250"/>
      <c r="N156" s="250"/>
      <c r="O156" s="250"/>
      <c r="P156" s="250"/>
      <c r="Q156" s="250"/>
      <c r="R156" s="250"/>
      <c r="S156" s="250"/>
      <c r="T156" s="250"/>
      <c r="U156" s="250"/>
      <c r="V156" s="250"/>
      <c r="W156" s="250"/>
      <c r="X156" s="250"/>
      <c r="Y156" s="250"/>
      <c r="Z156" s="250"/>
      <c r="AA156" s="250"/>
      <c r="AB156" s="250"/>
      <c r="AC156" s="250"/>
      <c r="AD156" s="250"/>
      <c r="AE156" s="251"/>
      <c r="AF156" s="251"/>
      <c r="AG156" s="251">
        <v>1000</v>
      </c>
      <c r="AH156" s="251">
        <v>0</v>
      </c>
      <c r="AI156" s="250">
        <f t="shared" si="2"/>
        <v>1000</v>
      </c>
    </row>
    <row r="157" spans="1:35" x14ac:dyDescent="0.35">
      <c r="A157" s="5" t="s">
        <v>861</v>
      </c>
      <c r="B157" s="250"/>
      <c r="C157" s="250"/>
      <c r="D157" s="250"/>
      <c r="E157" s="250"/>
      <c r="F157" s="250"/>
      <c r="G157" s="250"/>
      <c r="H157" s="250"/>
      <c r="I157" s="250"/>
      <c r="J157" s="250"/>
      <c r="K157" s="250"/>
      <c r="L157" s="250"/>
      <c r="M157" s="250"/>
      <c r="N157" s="250"/>
      <c r="O157" s="250"/>
      <c r="P157" s="250"/>
      <c r="Q157" s="250"/>
      <c r="R157" s="250"/>
      <c r="S157" s="250"/>
      <c r="T157" s="250"/>
      <c r="U157" s="250"/>
      <c r="V157" s="250"/>
      <c r="W157" s="250"/>
      <c r="X157" s="250"/>
      <c r="Y157" s="247">
        <v>1000</v>
      </c>
      <c r="Z157" s="250"/>
      <c r="AA157" s="250"/>
      <c r="AB157" s="250"/>
      <c r="AC157" s="250"/>
      <c r="AD157" s="250"/>
      <c r="AE157" s="251"/>
      <c r="AF157" s="251"/>
      <c r="AG157" s="251"/>
      <c r="AH157" s="251"/>
      <c r="AI157" s="250">
        <f t="shared" si="2"/>
        <v>1000</v>
      </c>
    </row>
    <row r="158" spans="1:35" x14ac:dyDescent="0.35">
      <c r="A158" s="5" t="s">
        <v>2243</v>
      </c>
      <c r="B158" s="250">
        <v>0</v>
      </c>
      <c r="C158" s="250">
        <v>0</v>
      </c>
      <c r="D158" s="250">
        <v>0</v>
      </c>
      <c r="E158" s="250">
        <v>0</v>
      </c>
      <c r="F158" s="250">
        <v>0</v>
      </c>
      <c r="G158" s="250">
        <v>0</v>
      </c>
      <c r="H158" s="250">
        <v>0</v>
      </c>
      <c r="I158" s="250">
        <v>0</v>
      </c>
      <c r="J158" s="250">
        <v>0</v>
      </c>
      <c r="K158" s="250">
        <v>0</v>
      </c>
      <c r="L158" s="250">
        <v>0</v>
      </c>
      <c r="M158" s="250">
        <v>0</v>
      </c>
      <c r="N158" s="250">
        <v>0</v>
      </c>
      <c r="O158" s="250">
        <v>0</v>
      </c>
      <c r="P158" s="250">
        <v>0</v>
      </c>
      <c r="Q158" s="250">
        <v>0</v>
      </c>
      <c r="R158" s="250">
        <v>0</v>
      </c>
      <c r="S158" s="250">
        <v>0</v>
      </c>
      <c r="T158" s="250">
        <v>0</v>
      </c>
      <c r="U158" s="250">
        <v>0</v>
      </c>
      <c r="V158" s="250">
        <v>0</v>
      </c>
      <c r="W158" s="250">
        <v>0</v>
      </c>
      <c r="X158" s="250">
        <v>0</v>
      </c>
      <c r="Y158" s="250">
        <v>0</v>
      </c>
      <c r="Z158" s="250">
        <v>0</v>
      </c>
      <c r="AA158" s="250">
        <v>650</v>
      </c>
      <c r="AB158" s="250">
        <v>0</v>
      </c>
      <c r="AC158" s="250">
        <v>0</v>
      </c>
      <c r="AD158" s="250">
        <v>0</v>
      </c>
      <c r="AE158" s="251">
        <v>0</v>
      </c>
      <c r="AF158" s="251">
        <v>0</v>
      </c>
      <c r="AG158" s="251">
        <v>350</v>
      </c>
      <c r="AH158" s="251">
        <v>0</v>
      </c>
      <c r="AI158" s="250">
        <f t="shared" si="2"/>
        <v>1000</v>
      </c>
    </row>
    <row r="159" spans="1:35" x14ac:dyDescent="0.35">
      <c r="A159" s="5" t="s">
        <v>2609</v>
      </c>
      <c r="B159" s="250"/>
      <c r="C159" s="250"/>
      <c r="D159" s="250"/>
      <c r="E159" s="250"/>
      <c r="F159" s="250"/>
      <c r="G159" s="250"/>
      <c r="H159" s="250"/>
      <c r="I159" s="250"/>
      <c r="J159" s="250"/>
      <c r="K159" s="250"/>
      <c r="L159" s="250"/>
      <c r="M159" s="250"/>
      <c r="N159" s="250"/>
      <c r="O159" s="250"/>
      <c r="P159" s="250"/>
      <c r="Q159" s="250"/>
      <c r="R159" s="250"/>
      <c r="S159" s="250"/>
      <c r="T159" s="250"/>
      <c r="U159" s="250"/>
      <c r="V159" s="250"/>
      <c r="W159" s="250"/>
      <c r="X159" s="250"/>
      <c r="Y159" s="247">
        <v>1000</v>
      </c>
      <c r="Z159" s="250"/>
      <c r="AA159" s="250"/>
      <c r="AB159" s="250"/>
      <c r="AC159" s="250"/>
      <c r="AD159" s="250"/>
      <c r="AE159" s="251"/>
      <c r="AF159" s="251"/>
      <c r="AG159" s="251"/>
      <c r="AH159" s="251"/>
      <c r="AI159" s="250">
        <f t="shared" si="2"/>
        <v>1000</v>
      </c>
    </row>
    <row r="160" spans="1:35" x14ac:dyDescent="0.35">
      <c r="A160" s="5" t="s">
        <v>789</v>
      </c>
      <c r="B160" s="250">
        <v>0</v>
      </c>
      <c r="C160" s="250">
        <v>0</v>
      </c>
      <c r="D160" s="250">
        <v>0</v>
      </c>
      <c r="E160" s="250">
        <v>0</v>
      </c>
      <c r="F160" s="250">
        <v>0</v>
      </c>
      <c r="G160" s="250">
        <v>1000</v>
      </c>
      <c r="H160" s="250">
        <v>0</v>
      </c>
      <c r="I160" s="250">
        <v>0</v>
      </c>
      <c r="J160" s="250">
        <v>0</v>
      </c>
      <c r="K160" s="250">
        <v>0</v>
      </c>
      <c r="L160" s="250">
        <v>0</v>
      </c>
      <c r="M160" s="250">
        <v>0</v>
      </c>
      <c r="N160" s="250">
        <v>0</v>
      </c>
      <c r="O160" s="250">
        <v>0</v>
      </c>
      <c r="P160" s="250">
        <v>0</v>
      </c>
      <c r="Q160" s="250">
        <v>0</v>
      </c>
      <c r="R160" s="250">
        <v>0</v>
      </c>
      <c r="S160" s="250">
        <v>0</v>
      </c>
      <c r="T160" s="250">
        <v>0</v>
      </c>
      <c r="U160" s="250">
        <v>0</v>
      </c>
      <c r="V160" s="250">
        <v>0</v>
      </c>
      <c r="W160" s="250">
        <v>0</v>
      </c>
      <c r="X160" s="250">
        <v>0</v>
      </c>
      <c r="Y160" s="250">
        <v>0</v>
      </c>
      <c r="Z160" s="250">
        <v>0</v>
      </c>
      <c r="AA160" s="250">
        <v>0</v>
      </c>
      <c r="AB160" s="250">
        <v>0</v>
      </c>
      <c r="AC160" s="250">
        <v>0</v>
      </c>
      <c r="AD160" s="250">
        <v>0</v>
      </c>
      <c r="AE160" s="251">
        <v>0</v>
      </c>
      <c r="AF160" s="251">
        <v>0</v>
      </c>
      <c r="AG160" s="251">
        <v>0</v>
      </c>
      <c r="AH160" s="251">
        <v>0</v>
      </c>
      <c r="AI160" s="250">
        <f t="shared" si="2"/>
        <v>1000</v>
      </c>
    </row>
    <row r="161" spans="1:35" x14ac:dyDescent="0.35">
      <c r="A161" s="5" t="s">
        <v>1041</v>
      </c>
      <c r="B161" s="250"/>
      <c r="C161" s="250"/>
      <c r="D161" s="250"/>
      <c r="E161" s="250"/>
      <c r="F161" s="250"/>
      <c r="G161" s="250"/>
      <c r="H161" s="250"/>
      <c r="I161" s="250"/>
      <c r="J161" s="250"/>
      <c r="K161" s="250"/>
      <c r="L161" s="250"/>
      <c r="M161" s="250"/>
      <c r="N161" s="250"/>
      <c r="O161" s="250"/>
      <c r="P161" s="250"/>
      <c r="Q161" s="250"/>
      <c r="R161" s="250"/>
      <c r="S161" s="250"/>
      <c r="T161" s="250"/>
      <c r="U161" s="250"/>
      <c r="V161" s="250"/>
      <c r="W161" s="250"/>
      <c r="X161" s="250"/>
      <c r="Y161" s="247">
        <v>1000</v>
      </c>
      <c r="Z161" s="250"/>
      <c r="AA161" s="250"/>
      <c r="AB161" s="250"/>
      <c r="AC161" s="250"/>
      <c r="AD161" s="250"/>
      <c r="AE161" s="251"/>
      <c r="AF161" s="251"/>
      <c r="AG161" s="251"/>
      <c r="AH161" s="251"/>
      <c r="AI161" s="250">
        <f t="shared" si="2"/>
        <v>1000</v>
      </c>
    </row>
    <row r="162" spans="1:35" x14ac:dyDescent="0.35">
      <c r="A162" s="5" t="s">
        <v>572</v>
      </c>
      <c r="B162" s="250">
        <v>0</v>
      </c>
      <c r="C162" s="250">
        <v>0</v>
      </c>
      <c r="D162" s="250">
        <v>0</v>
      </c>
      <c r="E162" s="250">
        <v>0</v>
      </c>
      <c r="F162" s="250">
        <v>0</v>
      </c>
      <c r="G162" s="250">
        <v>0</v>
      </c>
      <c r="H162" s="250">
        <v>0</v>
      </c>
      <c r="I162" s="250">
        <v>0</v>
      </c>
      <c r="J162" s="250">
        <v>0</v>
      </c>
      <c r="K162" s="250">
        <v>0</v>
      </c>
      <c r="L162" s="250">
        <v>0</v>
      </c>
      <c r="M162" s="250">
        <v>0</v>
      </c>
      <c r="N162" s="250">
        <v>0</v>
      </c>
      <c r="O162" s="250">
        <v>0</v>
      </c>
      <c r="P162" s="250">
        <v>0</v>
      </c>
      <c r="Q162" s="250">
        <v>0</v>
      </c>
      <c r="R162" s="250">
        <v>0</v>
      </c>
      <c r="S162" s="250">
        <v>0</v>
      </c>
      <c r="T162" s="250">
        <v>0</v>
      </c>
      <c r="U162" s="250">
        <v>0</v>
      </c>
      <c r="V162" s="250">
        <v>0</v>
      </c>
      <c r="W162" s="250">
        <v>0</v>
      </c>
      <c r="X162" s="250">
        <v>0</v>
      </c>
      <c r="Y162" s="250">
        <v>0</v>
      </c>
      <c r="Z162" s="250">
        <v>0</v>
      </c>
      <c r="AA162" s="250">
        <v>650</v>
      </c>
      <c r="AB162" s="250">
        <v>0</v>
      </c>
      <c r="AC162" s="250">
        <v>0</v>
      </c>
      <c r="AD162" s="250">
        <v>0</v>
      </c>
      <c r="AE162" s="251">
        <v>0</v>
      </c>
      <c r="AF162" s="251">
        <v>0</v>
      </c>
      <c r="AG162" s="251">
        <v>350</v>
      </c>
      <c r="AH162" s="251">
        <v>0</v>
      </c>
      <c r="AI162" s="250">
        <f t="shared" si="2"/>
        <v>1000</v>
      </c>
    </row>
    <row r="163" spans="1:35" x14ac:dyDescent="0.35">
      <c r="A163" s="5" t="s">
        <v>1755</v>
      </c>
      <c r="B163" s="250">
        <v>0</v>
      </c>
      <c r="C163" s="250">
        <v>0</v>
      </c>
      <c r="D163" s="250">
        <v>0</v>
      </c>
      <c r="E163" s="250">
        <v>0</v>
      </c>
      <c r="F163" s="250">
        <v>0</v>
      </c>
      <c r="G163" s="250">
        <v>0</v>
      </c>
      <c r="H163" s="250">
        <v>0</v>
      </c>
      <c r="I163" s="250">
        <v>0</v>
      </c>
      <c r="J163" s="250">
        <v>0</v>
      </c>
      <c r="K163" s="250">
        <v>0</v>
      </c>
      <c r="L163" s="250">
        <v>0</v>
      </c>
      <c r="M163" s="250">
        <v>0</v>
      </c>
      <c r="N163" s="250">
        <v>0</v>
      </c>
      <c r="O163" s="250">
        <v>0</v>
      </c>
      <c r="P163" s="250">
        <v>0</v>
      </c>
      <c r="Q163" s="250">
        <v>0</v>
      </c>
      <c r="R163" s="250">
        <v>0</v>
      </c>
      <c r="S163" s="250">
        <v>0</v>
      </c>
      <c r="T163" s="250">
        <v>1000</v>
      </c>
      <c r="U163" s="250">
        <v>0</v>
      </c>
      <c r="V163" s="250">
        <v>0</v>
      </c>
      <c r="W163" s="250">
        <v>0</v>
      </c>
      <c r="X163" s="250">
        <v>0</v>
      </c>
      <c r="Y163" s="250">
        <v>0</v>
      </c>
      <c r="Z163" s="250">
        <v>0</v>
      </c>
      <c r="AA163" s="250">
        <v>0</v>
      </c>
      <c r="AB163" s="250">
        <v>0</v>
      </c>
      <c r="AC163" s="250">
        <v>0</v>
      </c>
      <c r="AD163" s="250">
        <v>0</v>
      </c>
      <c r="AE163" s="251">
        <v>0</v>
      </c>
      <c r="AF163" s="251">
        <v>0</v>
      </c>
      <c r="AG163" s="251">
        <v>0</v>
      </c>
      <c r="AH163" s="251">
        <v>0</v>
      </c>
      <c r="AI163" s="250">
        <f t="shared" si="2"/>
        <v>1000</v>
      </c>
    </row>
    <row r="164" spans="1:35" x14ac:dyDescent="0.35">
      <c r="A164" s="5" t="s">
        <v>998</v>
      </c>
      <c r="B164" s="250">
        <v>0</v>
      </c>
      <c r="C164" s="250">
        <v>0</v>
      </c>
      <c r="D164" s="250">
        <v>0</v>
      </c>
      <c r="E164" s="250">
        <v>0</v>
      </c>
      <c r="F164" s="250">
        <v>0</v>
      </c>
      <c r="G164" s="250">
        <v>535</v>
      </c>
      <c r="H164" s="250">
        <v>0</v>
      </c>
      <c r="I164" s="250">
        <v>0</v>
      </c>
      <c r="J164" s="250">
        <v>0</v>
      </c>
      <c r="K164" s="250">
        <v>0</v>
      </c>
      <c r="L164" s="250">
        <v>0</v>
      </c>
      <c r="M164" s="250">
        <v>0</v>
      </c>
      <c r="N164" s="250">
        <v>0</v>
      </c>
      <c r="O164" s="250">
        <v>0</v>
      </c>
      <c r="P164" s="250">
        <v>0</v>
      </c>
      <c r="Q164" s="250">
        <v>0</v>
      </c>
      <c r="R164" s="250">
        <v>0</v>
      </c>
      <c r="S164" s="250">
        <v>0</v>
      </c>
      <c r="T164" s="250">
        <v>0</v>
      </c>
      <c r="U164" s="250">
        <v>0</v>
      </c>
      <c r="V164" s="250">
        <v>0</v>
      </c>
      <c r="W164" s="250">
        <v>0</v>
      </c>
      <c r="X164" s="250">
        <v>0</v>
      </c>
      <c r="Y164" s="247">
        <v>0</v>
      </c>
      <c r="Z164" s="250">
        <v>0</v>
      </c>
      <c r="AA164" s="250">
        <v>0</v>
      </c>
      <c r="AB164" s="250">
        <v>0</v>
      </c>
      <c r="AC164" s="250">
        <v>0</v>
      </c>
      <c r="AD164" s="250">
        <v>0</v>
      </c>
      <c r="AE164" s="251">
        <v>0</v>
      </c>
      <c r="AF164" s="251">
        <v>0</v>
      </c>
      <c r="AG164" s="251">
        <v>430</v>
      </c>
      <c r="AH164" s="251">
        <v>0</v>
      </c>
      <c r="AI164" s="250">
        <f t="shared" si="2"/>
        <v>965</v>
      </c>
    </row>
    <row r="165" spans="1:35" x14ac:dyDescent="0.35">
      <c r="A165" s="5" t="s">
        <v>937</v>
      </c>
      <c r="B165" s="250">
        <v>0</v>
      </c>
      <c r="C165" s="250">
        <v>0</v>
      </c>
      <c r="D165" s="250">
        <v>0</v>
      </c>
      <c r="E165" s="250">
        <v>0</v>
      </c>
      <c r="F165" s="250">
        <v>0</v>
      </c>
      <c r="G165" s="250">
        <v>600</v>
      </c>
      <c r="H165" s="250">
        <v>0</v>
      </c>
      <c r="I165" s="250">
        <v>0</v>
      </c>
      <c r="J165" s="250">
        <v>0</v>
      </c>
      <c r="K165" s="250">
        <v>0</v>
      </c>
      <c r="L165" s="250">
        <v>0</v>
      </c>
      <c r="M165" s="250">
        <v>0</v>
      </c>
      <c r="N165" s="250">
        <v>0</v>
      </c>
      <c r="O165" s="250">
        <v>0</v>
      </c>
      <c r="P165" s="250">
        <v>0</v>
      </c>
      <c r="Q165" s="250">
        <v>0</v>
      </c>
      <c r="R165" s="250">
        <v>0</v>
      </c>
      <c r="S165" s="250">
        <v>0</v>
      </c>
      <c r="T165" s="250">
        <v>0</v>
      </c>
      <c r="U165" s="250">
        <v>0</v>
      </c>
      <c r="V165" s="250">
        <v>0</v>
      </c>
      <c r="W165" s="250">
        <v>0</v>
      </c>
      <c r="X165" s="250">
        <v>0</v>
      </c>
      <c r="Y165" s="250">
        <v>0</v>
      </c>
      <c r="Z165" s="250">
        <v>0</v>
      </c>
      <c r="AA165" s="250">
        <v>0</v>
      </c>
      <c r="AB165" s="250">
        <v>0</v>
      </c>
      <c r="AC165" s="250">
        <v>0</v>
      </c>
      <c r="AD165" s="250">
        <v>0</v>
      </c>
      <c r="AE165" s="251">
        <v>0</v>
      </c>
      <c r="AF165" s="251">
        <v>0</v>
      </c>
      <c r="AG165" s="251">
        <v>350</v>
      </c>
      <c r="AH165" s="251">
        <v>0</v>
      </c>
      <c r="AI165" s="250">
        <f t="shared" si="2"/>
        <v>950</v>
      </c>
    </row>
    <row r="166" spans="1:35" x14ac:dyDescent="0.35">
      <c r="A166" s="5" t="s">
        <v>980</v>
      </c>
      <c r="B166" s="250">
        <v>0</v>
      </c>
      <c r="C166" s="250">
        <v>0</v>
      </c>
      <c r="D166" s="250">
        <v>0</v>
      </c>
      <c r="E166" s="250">
        <v>0</v>
      </c>
      <c r="F166" s="250">
        <v>0</v>
      </c>
      <c r="G166" s="250">
        <v>0</v>
      </c>
      <c r="H166" s="250">
        <v>0</v>
      </c>
      <c r="I166" s="250">
        <v>0</v>
      </c>
      <c r="J166" s="250">
        <v>0</v>
      </c>
      <c r="K166" s="250">
        <v>0</v>
      </c>
      <c r="L166" s="250">
        <v>0</v>
      </c>
      <c r="M166" s="250">
        <v>0</v>
      </c>
      <c r="N166" s="250">
        <v>0</v>
      </c>
      <c r="O166" s="250">
        <v>0</v>
      </c>
      <c r="P166" s="250">
        <v>0</v>
      </c>
      <c r="Q166" s="250">
        <v>0</v>
      </c>
      <c r="R166" s="250">
        <v>0</v>
      </c>
      <c r="S166" s="250">
        <v>0</v>
      </c>
      <c r="T166" s="250">
        <v>0</v>
      </c>
      <c r="U166" s="250">
        <v>0</v>
      </c>
      <c r="V166" s="250">
        <v>0</v>
      </c>
      <c r="W166" s="250">
        <v>0</v>
      </c>
      <c r="X166" s="250">
        <v>0</v>
      </c>
      <c r="Y166" s="247">
        <v>0</v>
      </c>
      <c r="Z166" s="250">
        <v>0</v>
      </c>
      <c r="AA166" s="250">
        <v>500</v>
      </c>
      <c r="AB166" s="250">
        <v>0</v>
      </c>
      <c r="AC166" s="250">
        <v>0</v>
      </c>
      <c r="AD166" s="250">
        <v>0</v>
      </c>
      <c r="AE166" s="251">
        <v>0</v>
      </c>
      <c r="AF166" s="251">
        <v>0</v>
      </c>
      <c r="AG166" s="251">
        <v>430</v>
      </c>
      <c r="AH166" s="251">
        <v>0</v>
      </c>
      <c r="AI166" s="250">
        <f t="shared" si="2"/>
        <v>930</v>
      </c>
    </row>
    <row r="167" spans="1:35" x14ac:dyDescent="0.35">
      <c r="A167" s="5" t="s">
        <v>2307</v>
      </c>
      <c r="B167" s="250">
        <v>0</v>
      </c>
      <c r="C167" s="250">
        <v>0</v>
      </c>
      <c r="D167" s="250">
        <v>0</v>
      </c>
      <c r="E167" s="250">
        <v>0</v>
      </c>
      <c r="F167" s="250">
        <v>0</v>
      </c>
      <c r="G167" s="250">
        <v>0</v>
      </c>
      <c r="H167" s="250">
        <v>0</v>
      </c>
      <c r="I167" s="250">
        <v>0</v>
      </c>
      <c r="J167" s="250">
        <v>0</v>
      </c>
      <c r="K167" s="250">
        <v>0</v>
      </c>
      <c r="L167" s="250">
        <v>0</v>
      </c>
      <c r="M167" s="250">
        <v>0</v>
      </c>
      <c r="N167" s="250">
        <v>0</v>
      </c>
      <c r="O167" s="250">
        <v>0</v>
      </c>
      <c r="P167" s="250">
        <v>0</v>
      </c>
      <c r="Q167" s="250">
        <v>0</v>
      </c>
      <c r="R167" s="250">
        <v>0</v>
      </c>
      <c r="S167" s="250">
        <v>0</v>
      </c>
      <c r="T167" s="250">
        <v>0</v>
      </c>
      <c r="U167" s="250">
        <v>0</v>
      </c>
      <c r="V167" s="250">
        <v>0</v>
      </c>
      <c r="W167" s="250">
        <v>0</v>
      </c>
      <c r="X167" s="250">
        <v>0</v>
      </c>
      <c r="Y167" s="250">
        <v>0</v>
      </c>
      <c r="Z167" s="250">
        <v>0</v>
      </c>
      <c r="AA167" s="250">
        <v>450</v>
      </c>
      <c r="AB167" s="250">
        <v>0</v>
      </c>
      <c r="AC167" s="250">
        <v>0</v>
      </c>
      <c r="AD167" s="250">
        <v>0</v>
      </c>
      <c r="AE167" s="251">
        <v>0</v>
      </c>
      <c r="AF167" s="251">
        <v>0</v>
      </c>
      <c r="AG167" s="251">
        <v>480</v>
      </c>
      <c r="AH167" s="251">
        <v>0</v>
      </c>
      <c r="AI167" s="250">
        <f t="shared" si="2"/>
        <v>930</v>
      </c>
    </row>
    <row r="168" spans="1:35" x14ac:dyDescent="0.35">
      <c r="A168" s="5" t="s">
        <v>1001</v>
      </c>
      <c r="B168" s="250">
        <v>0</v>
      </c>
      <c r="C168" s="250">
        <v>0</v>
      </c>
      <c r="D168" s="250">
        <v>0</v>
      </c>
      <c r="E168" s="250">
        <v>0</v>
      </c>
      <c r="F168" s="250">
        <v>0</v>
      </c>
      <c r="G168" s="250">
        <v>500</v>
      </c>
      <c r="H168" s="250">
        <v>0</v>
      </c>
      <c r="I168" s="250">
        <v>0</v>
      </c>
      <c r="J168" s="250">
        <v>0</v>
      </c>
      <c r="K168" s="250">
        <v>0</v>
      </c>
      <c r="L168" s="250">
        <v>0</v>
      </c>
      <c r="M168" s="250">
        <v>0</v>
      </c>
      <c r="N168" s="250">
        <v>0</v>
      </c>
      <c r="O168" s="250">
        <v>0</v>
      </c>
      <c r="P168" s="250">
        <v>0</v>
      </c>
      <c r="Q168" s="250">
        <v>0</v>
      </c>
      <c r="R168" s="250">
        <v>0</v>
      </c>
      <c r="S168" s="250">
        <v>0</v>
      </c>
      <c r="T168" s="250">
        <v>0</v>
      </c>
      <c r="U168" s="250">
        <v>0</v>
      </c>
      <c r="V168" s="250">
        <v>0</v>
      </c>
      <c r="W168" s="250">
        <v>0</v>
      </c>
      <c r="X168" s="250">
        <v>0</v>
      </c>
      <c r="Y168" s="247">
        <v>0</v>
      </c>
      <c r="Z168" s="250">
        <v>0</v>
      </c>
      <c r="AA168" s="250">
        <v>0</v>
      </c>
      <c r="AB168" s="250">
        <v>0</v>
      </c>
      <c r="AC168" s="250">
        <v>0</v>
      </c>
      <c r="AD168" s="250">
        <v>0</v>
      </c>
      <c r="AE168" s="251">
        <v>0</v>
      </c>
      <c r="AF168" s="251">
        <v>0</v>
      </c>
      <c r="AG168" s="251">
        <v>430</v>
      </c>
      <c r="AH168" s="251">
        <v>0</v>
      </c>
      <c r="AI168" s="250">
        <f t="shared" si="2"/>
        <v>930</v>
      </c>
    </row>
    <row r="169" spans="1:35" x14ac:dyDescent="0.35">
      <c r="A169" s="5" t="s">
        <v>963</v>
      </c>
      <c r="B169" s="250">
        <v>0</v>
      </c>
      <c r="C169" s="250">
        <v>0</v>
      </c>
      <c r="D169" s="250">
        <v>0</v>
      </c>
      <c r="E169" s="250">
        <v>0</v>
      </c>
      <c r="F169" s="250">
        <v>0</v>
      </c>
      <c r="G169" s="250">
        <v>570</v>
      </c>
      <c r="H169" s="250">
        <v>0</v>
      </c>
      <c r="I169" s="250">
        <v>0</v>
      </c>
      <c r="J169" s="250">
        <v>0</v>
      </c>
      <c r="K169" s="250">
        <v>0</v>
      </c>
      <c r="L169" s="250">
        <v>0</v>
      </c>
      <c r="M169" s="250">
        <v>0</v>
      </c>
      <c r="N169" s="250">
        <v>0</v>
      </c>
      <c r="O169" s="250">
        <v>0</v>
      </c>
      <c r="P169" s="250">
        <v>0</v>
      </c>
      <c r="Q169" s="250">
        <v>0</v>
      </c>
      <c r="R169" s="250">
        <v>0</v>
      </c>
      <c r="S169" s="250">
        <v>0</v>
      </c>
      <c r="T169" s="250">
        <v>0</v>
      </c>
      <c r="U169" s="250">
        <v>0</v>
      </c>
      <c r="V169" s="250">
        <v>0</v>
      </c>
      <c r="W169" s="250">
        <v>0</v>
      </c>
      <c r="X169" s="250">
        <v>0</v>
      </c>
      <c r="Y169" s="250">
        <v>0</v>
      </c>
      <c r="Z169" s="250">
        <v>0</v>
      </c>
      <c r="AA169" s="250">
        <v>0</v>
      </c>
      <c r="AB169" s="250">
        <v>0</v>
      </c>
      <c r="AC169" s="250">
        <v>0</v>
      </c>
      <c r="AD169" s="250">
        <v>0</v>
      </c>
      <c r="AE169" s="251">
        <v>0</v>
      </c>
      <c r="AF169" s="251">
        <v>0</v>
      </c>
      <c r="AG169" s="251">
        <v>350</v>
      </c>
      <c r="AH169" s="251">
        <v>0</v>
      </c>
      <c r="AI169" s="250">
        <f t="shared" si="2"/>
        <v>920</v>
      </c>
    </row>
    <row r="170" spans="1:35" x14ac:dyDescent="0.35">
      <c r="A170" s="246" t="s">
        <v>2587</v>
      </c>
      <c r="B170" s="247">
        <v>0</v>
      </c>
      <c r="C170" s="247">
        <v>0</v>
      </c>
      <c r="D170" s="247">
        <v>0</v>
      </c>
      <c r="E170" s="247">
        <v>0</v>
      </c>
      <c r="F170" s="247">
        <v>0</v>
      </c>
      <c r="G170" s="247">
        <v>530</v>
      </c>
      <c r="H170" s="247">
        <v>0</v>
      </c>
      <c r="I170" s="247">
        <v>0</v>
      </c>
      <c r="J170" s="247">
        <v>0</v>
      </c>
      <c r="K170" s="247">
        <v>0</v>
      </c>
      <c r="L170" s="247">
        <v>0</v>
      </c>
      <c r="M170" s="247">
        <v>0</v>
      </c>
      <c r="N170" s="247">
        <v>0</v>
      </c>
      <c r="O170" s="247">
        <v>0</v>
      </c>
      <c r="P170" s="247">
        <v>0</v>
      </c>
      <c r="Q170" s="247">
        <v>0</v>
      </c>
      <c r="R170" s="247">
        <v>0</v>
      </c>
      <c r="S170" s="247">
        <v>0</v>
      </c>
      <c r="T170" s="247">
        <v>0</v>
      </c>
      <c r="U170" s="247">
        <v>0</v>
      </c>
      <c r="V170" s="247">
        <v>0</v>
      </c>
      <c r="W170" s="247">
        <v>0</v>
      </c>
      <c r="X170" s="247">
        <v>0</v>
      </c>
      <c r="Y170" s="247">
        <v>0</v>
      </c>
      <c r="Z170" s="247">
        <v>0</v>
      </c>
      <c r="AA170" s="247">
        <v>0</v>
      </c>
      <c r="AB170" s="247">
        <v>0</v>
      </c>
      <c r="AC170" s="247">
        <v>0</v>
      </c>
      <c r="AD170" s="247">
        <v>0</v>
      </c>
      <c r="AE170" s="248">
        <v>0</v>
      </c>
      <c r="AF170" s="248">
        <v>0</v>
      </c>
      <c r="AG170" s="248">
        <v>350</v>
      </c>
      <c r="AH170" s="248">
        <v>0</v>
      </c>
      <c r="AI170" s="247">
        <f t="shared" si="2"/>
        <v>880</v>
      </c>
    </row>
    <row r="171" spans="1:35" ht="15.75" customHeight="1" x14ac:dyDescent="0.35">
      <c r="A171" s="246" t="s">
        <v>2198</v>
      </c>
      <c r="B171" s="247">
        <v>0</v>
      </c>
      <c r="C171" s="247">
        <v>0</v>
      </c>
      <c r="D171" s="247">
        <v>0</v>
      </c>
      <c r="E171" s="247">
        <v>0</v>
      </c>
      <c r="F171" s="247">
        <v>0</v>
      </c>
      <c r="G171" s="247">
        <v>0</v>
      </c>
      <c r="H171" s="247">
        <v>0</v>
      </c>
      <c r="I171" s="247">
        <v>0</v>
      </c>
      <c r="J171" s="247">
        <v>0</v>
      </c>
      <c r="K171" s="247">
        <v>0</v>
      </c>
      <c r="L171" s="247">
        <v>0</v>
      </c>
      <c r="M171" s="247">
        <v>0</v>
      </c>
      <c r="N171" s="247">
        <v>0</v>
      </c>
      <c r="O171" s="247">
        <v>0</v>
      </c>
      <c r="P171" s="247">
        <v>0</v>
      </c>
      <c r="Q171" s="247">
        <v>0</v>
      </c>
      <c r="R171" s="247">
        <v>0</v>
      </c>
      <c r="S171" s="247">
        <v>0</v>
      </c>
      <c r="T171" s="247">
        <v>0</v>
      </c>
      <c r="U171" s="247">
        <v>0</v>
      </c>
      <c r="V171" s="247">
        <v>0</v>
      </c>
      <c r="W171" s="247">
        <v>0</v>
      </c>
      <c r="X171" s="247">
        <v>0</v>
      </c>
      <c r="Y171" s="247">
        <v>0</v>
      </c>
      <c r="Z171" s="247">
        <v>0</v>
      </c>
      <c r="AA171" s="247">
        <v>450</v>
      </c>
      <c r="AB171" s="247">
        <v>0</v>
      </c>
      <c r="AC171" s="247">
        <v>0</v>
      </c>
      <c r="AD171" s="247">
        <v>0</v>
      </c>
      <c r="AE171" s="248">
        <v>0</v>
      </c>
      <c r="AF171" s="248">
        <v>0</v>
      </c>
      <c r="AG171" s="248">
        <v>430</v>
      </c>
      <c r="AH171" s="248">
        <v>0</v>
      </c>
      <c r="AI171" s="247">
        <f t="shared" si="2"/>
        <v>880</v>
      </c>
    </row>
    <row r="172" spans="1:35" x14ac:dyDescent="0.35">
      <c r="A172" s="246" t="s">
        <v>2594</v>
      </c>
      <c r="B172" s="250">
        <v>0</v>
      </c>
      <c r="C172" s="250">
        <v>0</v>
      </c>
      <c r="D172" s="250">
        <v>0</v>
      </c>
      <c r="E172" s="250">
        <v>0</v>
      </c>
      <c r="F172" s="250">
        <v>0</v>
      </c>
      <c r="G172" s="250">
        <v>0</v>
      </c>
      <c r="H172" s="250">
        <v>0</v>
      </c>
      <c r="I172" s="250">
        <v>0</v>
      </c>
      <c r="J172" s="250">
        <v>0</v>
      </c>
      <c r="K172" s="250">
        <v>0</v>
      </c>
      <c r="L172" s="250">
        <v>0</v>
      </c>
      <c r="M172" s="250">
        <v>0</v>
      </c>
      <c r="N172" s="250">
        <v>0</v>
      </c>
      <c r="O172" s="250">
        <v>0</v>
      </c>
      <c r="P172" s="250">
        <v>0</v>
      </c>
      <c r="Q172" s="250">
        <v>0</v>
      </c>
      <c r="R172" s="250">
        <v>0</v>
      </c>
      <c r="S172" s="250">
        <v>0</v>
      </c>
      <c r="T172" s="250">
        <v>0</v>
      </c>
      <c r="U172" s="250">
        <v>0</v>
      </c>
      <c r="V172" s="250">
        <v>0</v>
      </c>
      <c r="W172" s="250">
        <v>0</v>
      </c>
      <c r="X172" s="250">
        <v>0</v>
      </c>
      <c r="Y172" s="250">
        <v>0</v>
      </c>
      <c r="Z172" s="250">
        <v>0</v>
      </c>
      <c r="AA172" s="250">
        <v>450</v>
      </c>
      <c r="AB172" s="250">
        <v>0</v>
      </c>
      <c r="AC172" s="250">
        <v>0</v>
      </c>
      <c r="AD172" s="250">
        <v>0</v>
      </c>
      <c r="AE172" s="251">
        <v>0</v>
      </c>
      <c r="AF172" s="251">
        <v>0</v>
      </c>
      <c r="AG172" s="251">
        <v>430</v>
      </c>
      <c r="AH172" s="251">
        <v>0</v>
      </c>
      <c r="AI172" s="250">
        <f t="shared" si="2"/>
        <v>880</v>
      </c>
    </row>
    <row r="173" spans="1:35" x14ac:dyDescent="0.35">
      <c r="A173" s="5" t="s">
        <v>1283</v>
      </c>
      <c r="B173" s="250">
        <v>0</v>
      </c>
      <c r="C173" s="250">
        <v>0</v>
      </c>
      <c r="D173" s="250">
        <v>0</v>
      </c>
      <c r="E173" s="250">
        <v>0</v>
      </c>
      <c r="F173" s="250">
        <v>0</v>
      </c>
      <c r="G173" s="250">
        <v>0</v>
      </c>
      <c r="H173" s="250">
        <v>0</v>
      </c>
      <c r="I173" s="250">
        <v>0</v>
      </c>
      <c r="J173" s="250">
        <v>0</v>
      </c>
      <c r="K173" s="250">
        <v>0</v>
      </c>
      <c r="L173" s="250">
        <v>0</v>
      </c>
      <c r="M173" s="250">
        <v>0</v>
      </c>
      <c r="N173" s="250">
        <v>0</v>
      </c>
      <c r="O173" s="250">
        <v>0</v>
      </c>
      <c r="P173" s="250">
        <v>0</v>
      </c>
      <c r="Q173" s="250">
        <v>0</v>
      </c>
      <c r="R173" s="250">
        <v>0</v>
      </c>
      <c r="S173" s="250">
        <v>0</v>
      </c>
      <c r="T173" s="250">
        <v>0</v>
      </c>
      <c r="U173" s="250">
        <v>0</v>
      </c>
      <c r="V173" s="250">
        <v>0</v>
      </c>
      <c r="W173" s="250">
        <v>0</v>
      </c>
      <c r="X173" s="250">
        <v>0</v>
      </c>
      <c r="Y173" s="250">
        <v>0</v>
      </c>
      <c r="Z173" s="250">
        <v>0</v>
      </c>
      <c r="AA173" s="250">
        <v>450</v>
      </c>
      <c r="AB173" s="250">
        <v>0</v>
      </c>
      <c r="AC173" s="250">
        <v>0</v>
      </c>
      <c r="AD173" s="250">
        <v>0</v>
      </c>
      <c r="AE173" s="251">
        <v>0</v>
      </c>
      <c r="AF173" s="251">
        <v>0</v>
      </c>
      <c r="AG173" s="251">
        <v>430</v>
      </c>
      <c r="AH173" s="251">
        <v>0</v>
      </c>
      <c r="AI173" s="250">
        <f t="shared" si="2"/>
        <v>880</v>
      </c>
    </row>
    <row r="174" spans="1:35" x14ac:dyDescent="0.35">
      <c r="A174" s="5" t="s">
        <v>971</v>
      </c>
      <c r="B174" s="250">
        <v>0</v>
      </c>
      <c r="C174" s="250">
        <v>0</v>
      </c>
      <c r="D174" s="250">
        <v>0</v>
      </c>
      <c r="E174" s="250">
        <v>0</v>
      </c>
      <c r="F174" s="250">
        <v>0</v>
      </c>
      <c r="G174" s="250">
        <v>530</v>
      </c>
      <c r="H174" s="250">
        <v>0</v>
      </c>
      <c r="I174" s="250">
        <v>0</v>
      </c>
      <c r="J174" s="250">
        <v>0</v>
      </c>
      <c r="K174" s="250">
        <v>0</v>
      </c>
      <c r="L174" s="250">
        <v>0</v>
      </c>
      <c r="M174" s="250">
        <v>0</v>
      </c>
      <c r="N174" s="250">
        <v>0</v>
      </c>
      <c r="O174" s="250">
        <v>0</v>
      </c>
      <c r="P174" s="250">
        <v>0</v>
      </c>
      <c r="Q174" s="250">
        <v>0</v>
      </c>
      <c r="R174" s="250">
        <v>0</v>
      </c>
      <c r="S174" s="250">
        <v>0</v>
      </c>
      <c r="T174" s="250">
        <v>0</v>
      </c>
      <c r="U174" s="250">
        <v>0</v>
      </c>
      <c r="V174" s="250">
        <v>0</v>
      </c>
      <c r="W174" s="250">
        <v>0</v>
      </c>
      <c r="X174" s="250">
        <v>0</v>
      </c>
      <c r="Y174" s="250">
        <v>0</v>
      </c>
      <c r="Z174" s="250">
        <v>0</v>
      </c>
      <c r="AA174" s="250">
        <v>0</v>
      </c>
      <c r="AB174" s="250">
        <v>0</v>
      </c>
      <c r="AC174" s="250">
        <v>0</v>
      </c>
      <c r="AD174" s="250">
        <v>0</v>
      </c>
      <c r="AE174" s="251">
        <v>0</v>
      </c>
      <c r="AF174" s="251">
        <v>0</v>
      </c>
      <c r="AG174" s="251">
        <v>350</v>
      </c>
      <c r="AH174" s="251">
        <v>0</v>
      </c>
      <c r="AI174" s="250">
        <f t="shared" si="2"/>
        <v>880</v>
      </c>
    </row>
    <row r="175" spans="1:35" x14ac:dyDescent="0.35">
      <c r="A175" s="246" t="s">
        <v>1929</v>
      </c>
      <c r="B175" s="250">
        <v>0</v>
      </c>
      <c r="C175" s="250">
        <v>0</v>
      </c>
      <c r="D175" s="250">
        <v>0</v>
      </c>
      <c r="E175" s="250">
        <v>0</v>
      </c>
      <c r="F175" s="250">
        <v>0</v>
      </c>
      <c r="G175" s="250">
        <v>0</v>
      </c>
      <c r="H175" s="250">
        <v>0</v>
      </c>
      <c r="I175" s="250">
        <v>0</v>
      </c>
      <c r="J175" s="250">
        <v>0</v>
      </c>
      <c r="K175" s="250">
        <v>0</v>
      </c>
      <c r="L175" s="250">
        <v>0</v>
      </c>
      <c r="M175" s="250">
        <v>0</v>
      </c>
      <c r="N175" s="250">
        <v>0</v>
      </c>
      <c r="O175" s="250">
        <v>0</v>
      </c>
      <c r="P175" s="250">
        <v>0</v>
      </c>
      <c r="Q175" s="250">
        <v>0</v>
      </c>
      <c r="R175" s="250">
        <v>0</v>
      </c>
      <c r="S175" s="250">
        <v>0</v>
      </c>
      <c r="T175" s="250">
        <v>0</v>
      </c>
      <c r="U175" s="250">
        <v>0</v>
      </c>
      <c r="V175" s="250">
        <v>0</v>
      </c>
      <c r="W175" s="250">
        <v>871</v>
      </c>
      <c r="X175" s="250">
        <v>0</v>
      </c>
      <c r="Y175" s="250">
        <v>0</v>
      </c>
      <c r="Z175" s="250">
        <v>0</v>
      </c>
      <c r="AA175" s="250">
        <v>0</v>
      </c>
      <c r="AB175" s="250">
        <v>0</v>
      </c>
      <c r="AC175" s="250">
        <v>0</v>
      </c>
      <c r="AD175" s="250">
        <v>0</v>
      </c>
      <c r="AE175" s="251">
        <v>0</v>
      </c>
      <c r="AF175" s="251">
        <v>0</v>
      </c>
      <c r="AG175" s="251">
        <v>0</v>
      </c>
      <c r="AH175" s="251">
        <v>0</v>
      </c>
      <c r="AI175" s="250">
        <f t="shared" si="2"/>
        <v>871</v>
      </c>
    </row>
    <row r="176" spans="1:35" x14ac:dyDescent="0.35">
      <c r="A176" s="246" t="s">
        <v>989</v>
      </c>
      <c r="B176" s="247">
        <v>0</v>
      </c>
      <c r="C176" s="247">
        <v>0</v>
      </c>
      <c r="D176" s="247">
        <v>0</v>
      </c>
      <c r="E176" s="247">
        <v>0</v>
      </c>
      <c r="F176" s="247">
        <v>0</v>
      </c>
      <c r="G176" s="247">
        <v>500</v>
      </c>
      <c r="H176" s="247">
        <v>0</v>
      </c>
      <c r="I176" s="247">
        <v>0</v>
      </c>
      <c r="J176" s="247">
        <v>0</v>
      </c>
      <c r="K176" s="247">
        <v>0</v>
      </c>
      <c r="L176" s="247">
        <v>0</v>
      </c>
      <c r="M176" s="247">
        <v>0</v>
      </c>
      <c r="N176" s="247">
        <v>0</v>
      </c>
      <c r="O176" s="247">
        <v>0</v>
      </c>
      <c r="P176" s="247">
        <v>0</v>
      </c>
      <c r="Q176" s="247">
        <v>0</v>
      </c>
      <c r="R176" s="247">
        <v>0</v>
      </c>
      <c r="S176" s="247">
        <v>0</v>
      </c>
      <c r="T176" s="247">
        <v>0</v>
      </c>
      <c r="U176" s="247">
        <v>0</v>
      </c>
      <c r="V176" s="247">
        <v>0</v>
      </c>
      <c r="W176" s="247">
        <v>0</v>
      </c>
      <c r="X176" s="247">
        <v>0</v>
      </c>
      <c r="Y176" s="247">
        <v>0</v>
      </c>
      <c r="Z176" s="247">
        <v>0</v>
      </c>
      <c r="AA176" s="247">
        <v>0</v>
      </c>
      <c r="AB176" s="247">
        <v>0</v>
      </c>
      <c r="AC176" s="247">
        <v>0</v>
      </c>
      <c r="AD176" s="247">
        <v>0</v>
      </c>
      <c r="AE176" s="247">
        <v>0</v>
      </c>
      <c r="AF176" s="247">
        <v>0</v>
      </c>
      <c r="AG176" s="247">
        <v>350</v>
      </c>
      <c r="AH176" s="247">
        <v>0</v>
      </c>
      <c r="AI176" s="247">
        <f t="shared" si="2"/>
        <v>850</v>
      </c>
    </row>
    <row r="177" spans="1:35" x14ac:dyDescent="0.35">
      <c r="A177" s="246" t="s">
        <v>906</v>
      </c>
      <c r="B177" s="247">
        <v>0</v>
      </c>
      <c r="C177" s="247">
        <v>0</v>
      </c>
      <c r="D177" s="247">
        <v>0</v>
      </c>
      <c r="E177" s="247">
        <v>0</v>
      </c>
      <c r="F177" s="247">
        <v>0</v>
      </c>
      <c r="G177" s="247">
        <v>500</v>
      </c>
      <c r="H177" s="247">
        <v>0</v>
      </c>
      <c r="I177" s="247">
        <v>0</v>
      </c>
      <c r="J177" s="247">
        <v>0</v>
      </c>
      <c r="K177" s="247">
        <v>0</v>
      </c>
      <c r="L177" s="247">
        <v>0</v>
      </c>
      <c r="M177" s="247">
        <v>0</v>
      </c>
      <c r="N177" s="247">
        <v>0</v>
      </c>
      <c r="O177" s="247">
        <v>0</v>
      </c>
      <c r="P177" s="247">
        <v>0</v>
      </c>
      <c r="Q177" s="247">
        <v>0</v>
      </c>
      <c r="R177" s="247">
        <v>0</v>
      </c>
      <c r="S177" s="247">
        <v>0</v>
      </c>
      <c r="T177" s="247">
        <v>0</v>
      </c>
      <c r="U177" s="247">
        <v>0</v>
      </c>
      <c r="V177" s="247">
        <v>0</v>
      </c>
      <c r="W177" s="247">
        <v>0</v>
      </c>
      <c r="X177" s="247">
        <v>0</v>
      </c>
      <c r="Y177" s="247">
        <v>0</v>
      </c>
      <c r="Z177" s="247">
        <v>0</v>
      </c>
      <c r="AA177" s="247">
        <v>0</v>
      </c>
      <c r="AB177" s="247">
        <v>0</v>
      </c>
      <c r="AC177" s="247">
        <v>0</v>
      </c>
      <c r="AD177" s="247">
        <v>0</v>
      </c>
      <c r="AE177" s="248">
        <v>0</v>
      </c>
      <c r="AF177" s="248">
        <v>0</v>
      </c>
      <c r="AG177" s="248">
        <v>350</v>
      </c>
      <c r="AH177" s="248">
        <v>0</v>
      </c>
      <c r="AI177" s="247">
        <f t="shared" si="2"/>
        <v>850</v>
      </c>
    </row>
    <row r="178" spans="1:35" x14ac:dyDescent="0.35">
      <c r="A178" s="246" t="s">
        <v>880</v>
      </c>
      <c r="B178" s="247">
        <v>0</v>
      </c>
      <c r="C178" s="247">
        <v>0</v>
      </c>
      <c r="D178" s="247">
        <v>0</v>
      </c>
      <c r="E178" s="247">
        <v>0</v>
      </c>
      <c r="F178" s="247">
        <v>0</v>
      </c>
      <c r="G178" s="247">
        <v>500</v>
      </c>
      <c r="H178" s="247">
        <v>0</v>
      </c>
      <c r="I178" s="247">
        <v>0</v>
      </c>
      <c r="J178" s="247">
        <v>0</v>
      </c>
      <c r="K178" s="247">
        <v>0</v>
      </c>
      <c r="L178" s="247">
        <v>0</v>
      </c>
      <c r="M178" s="247">
        <v>0</v>
      </c>
      <c r="N178" s="247">
        <v>0</v>
      </c>
      <c r="O178" s="247">
        <v>0</v>
      </c>
      <c r="P178" s="247">
        <v>0</v>
      </c>
      <c r="Q178" s="247">
        <v>0</v>
      </c>
      <c r="R178" s="247">
        <v>0</v>
      </c>
      <c r="S178" s="247">
        <v>0</v>
      </c>
      <c r="T178" s="247">
        <v>0</v>
      </c>
      <c r="U178" s="247">
        <v>0</v>
      </c>
      <c r="V178" s="247">
        <v>0</v>
      </c>
      <c r="W178" s="247">
        <v>0</v>
      </c>
      <c r="X178" s="247">
        <v>0</v>
      </c>
      <c r="Y178" s="247">
        <v>0</v>
      </c>
      <c r="Z178" s="247">
        <v>0</v>
      </c>
      <c r="AA178" s="247">
        <v>0</v>
      </c>
      <c r="AB178" s="247">
        <v>0</v>
      </c>
      <c r="AC178" s="247">
        <v>0</v>
      </c>
      <c r="AD178" s="247">
        <v>0</v>
      </c>
      <c r="AE178" s="248">
        <v>0</v>
      </c>
      <c r="AF178" s="248">
        <v>0</v>
      </c>
      <c r="AG178" s="248">
        <v>350</v>
      </c>
      <c r="AH178" s="248">
        <v>0</v>
      </c>
      <c r="AI178" s="247">
        <f t="shared" si="2"/>
        <v>850</v>
      </c>
    </row>
    <row r="179" spans="1:35" x14ac:dyDescent="0.35">
      <c r="A179" s="246" t="s">
        <v>2590</v>
      </c>
      <c r="B179" s="247">
        <v>0</v>
      </c>
      <c r="C179" s="247">
        <v>0</v>
      </c>
      <c r="D179" s="247">
        <v>0</v>
      </c>
      <c r="E179" s="247">
        <v>0</v>
      </c>
      <c r="F179" s="247">
        <v>0</v>
      </c>
      <c r="G179" s="247">
        <v>500</v>
      </c>
      <c r="H179" s="247">
        <v>0</v>
      </c>
      <c r="I179" s="247">
        <v>0</v>
      </c>
      <c r="J179" s="247">
        <v>0</v>
      </c>
      <c r="K179" s="247">
        <v>0</v>
      </c>
      <c r="L179" s="247">
        <v>0</v>
      </c>
      <c r="M179" s="247">
        <v>0</v>
      </c>
      <c r="N179" s="247">
        <v>0</v>
      </c>
      <c r="O179" s="247">
        <v>0</v>
      </c>
      <c r="P179" s="247">
        <v>0</v>
      </c>
      <c r="Q179" s="247">
        <v>0</v>
      </c>
      <c r="R179" s="247">
        <v>0</v>
      </c>
      <c r="S179" s="247">
        <v>0</v>
      </c>
      <c r="T179" s="247">
        <v>0</v>
      </c>
      <c r="U179" s="247">
        <v>0</v>
      </c>
      <c r="V179" s="247">
        <v>0</v>
      </c>
      <c r="W179" s="247">
        <v>0</v>
      </c>
      <c r="X179" s="247">
        <v>0</v>
      </c>
      <c r="Y179" s="247">
        <v>0</v>
      </c>
      <c r="Z179" s="247">
        <v>0</v>
      </c>
      <c r="AA179" s="247">
        <v>0</v>
      </c>
      <c r="AB179" s="247">
        <v>0</v>
      </c>
      <c r="AC179" s="247">
        <v>0</v>
      </c>
      <c r="AD179" s="247">
        <v>0</v>
      </c>
      <c r="AE179" s="248">
        <v>0</v>
      </c>
      <c r="AF179" s="248">
        <v>0</v>
      </c>
      <c r="AG179" s="248">
        <v>350</v>
      </c>
      <c r="AH179" s="248">
        <v>0</v>
      </c>
      <c r="AI179" s="247">
        <f t="shared" si="2"/>
        <v>850</v>
      </c>
    </row>
    <row r="180" spans="1:35" x14ac:dyDescent="0.35">
      <c r="A180" s="246" t="s">
        <v>2237</v>
      </c>
      <c r="B180" s="250">
        <v>0</v>
      </c>
      <c r="C180" s="250">
        <v>0</v>
      </c>
      <c r="D180" s="250">
        <v>0</v>
      </c>
      <c r="E180" s="250">
        <v>0</v>
      </c>
      <c r="F180" s="250">
        <v>0</v>
      </c>
      <c r="G180" s="250">
        <v>0</v>
      </c>
      <c r="H180" s="250">
        <v>0</v>
      </c>
      <c r="I180" s="250">
        <v>0</v>
      </c>
      <c r="J180" s="250">
        <v>0</v>
      </c>
      <c r="K180" s="250">
        <v>0</v>
      </c>
      <c r="L180" s="250">
        <v>0</v>
      </c>
      <c r="M180" s="250">
        <v>0</v>
      </c>
      <c r="N180" s="250">
        <v>0</v>
      </c>
      <c r="O180" s="250">
        <v>0</v>
      </c>
      <c r="P180" s="250">
        <v>0</v>
      </c>
      <c r="Q180" s="250">
        <v>0</v>
      </c>
      <c r="R180" s="250">
        <v>0</v>
      </c>
      <c r="S180" s="250">
        <v>0</v>
      </c>
      <c r="T180" s="250">
        <v>0</v>
      </c>
      <c r="U180" s="250">
        <v>0</v>
      </c>
      <c r="V180" s="250">
        <v>0</v>
      </c>
      <c r="W180" s="250">
        <v>0</v>
      </c>
      <c r="X180" s="250">
        <v>0</v>
      </c>
      <c r="Y180" s="250">
        <v>0</v>
      </c>
      <c r="Z180" s="250">
        <v>0</v>
      </c>
      <c r="AA180" s="250">
        <v>500</v>
      </c>
      <c r="AB180" s="250">
        <v>0</v>
      </c>
      <c r="AC180" s="250">
        <v>0</v>
      </c>
      <c r="AD180" s="250">
        <v>0</v>
      </c>
      <c r="AE180" s="251">
        <v>0</v>
      </c>
      <c r="AF180" s="251">
        <v>0</v>
      </c>
      <c r="AG180" s="251">
        <v>350</v>
      </c>
      <c r="AH180" s="251">
        <v>0</v>
      </c>
      <c r="AI180" s="250">
        <f t="shared" si="2"/>
        <v>850</v>
      </c>
    </row>
    <row r="181" spans="1:35" x14ac:dyDescent="0.35">
      <c r="A181" s="5" t="s">
        <v>956</v>
      </c>
      <c r="B181" s="250">
        <v>0</v>
      </c>
      <c r="C181" s="250">
        <v>0</v>
      </c>
      <c r="D181" s="250">
        <v>0</v>
      </c>
      <c r="E181" s="250">
        <v>0</v>
      </c>
      <c r="F181" s="250">
        <v>0</v>
      </c>
      <c r="G181" s="250">
        <v>500</v>
      </c>
      <c r="H181" s="250">
        <v>0</v>
      </c>
      <c r="I181" s="250">
        <v>0</v>
      </c>
      <c r="J181" s="250">
        <v>0</v>
      </c>
      <c r="K181" s="250">
        <v>0</v>
      </c>
      <c r="L181" s="250">
        <v>0</v>
      </c>
      <c r="M181" s="250">
        <v>0</v>
      </c>
      <c r="N181" s="250">
        <v>0</v>
      </c>
      <c r="O181" s="250">
        <v>0</v>
      </c>
      <c r="P181" s="250">
        <v>0</v>
      </c>
      <c r="Q181" s="250">
        <v>0</v>
      </c>
      <c r="R181" s="250">
        <v>0</v>
      </c>
      <c r="S181" s="250">
        <v>0</v>
      </c>
      <c r="T181" s="250">
        <v>0</v>
      </c>
      <c r="U181" s="250">
        <v>0</v>
      </c>
      <c r="V181" s="250">
        <v>0</v>
      </c>
      <c r="W181" s="250">
        <v>0</v>
      </c>
      <c r="X181" s="250">
        <v>0</v>
      </c>
      <c r="Y181" s="247">
        <v>0</v>
      </c>
      <c r="Z181" s="250">
        <v>0</v>
      </c>
      <c r="AA181" s="250">
        <v>0</v>
      </c>
      <c r="AB181" s="250">
        <v>0</v>
      </c>
      <c r="AC181" s="250">
        <v>0</v>
      </c>
      <c r="AD181" s="250">
        <v>0</v>
      </c>
      <c r="AE181" s="251">
        <v>0</v>
      </c>
      <c r="AF181" s="251">
        <v>0</v>
      </c>
      <c r="AG181" s="251">
        <v>350</v>
      </c>
      <c r="AH181" s="251">
        <v>0</v>
      </c>
      <c r="AI181" s="250">
        <f t="shared" si="2"/>
        <v>850</v>
      </c>
    </row>
    <row r="182" spans="1:35" x14ac:dyDescent="0.35">
      <c r="A182" s="5" t="s">
        <v>865</v>
      </c>
      <c r="B182" s="250">
        <v>0</v>
      </c>
      <c r="C182" s="250">
        <v>0</v>
      </c>
      <c r="D182" s="250">
        <v>0</v>
      </c>
      <c r="E182" s="250">
        <v>0</v>
      </c>
      <c r="F182" s="250">
        <v>0</v>
      </c>
      <c r="G182" s="250">
        <v>500</v>
      </c>
      <c r="H182" s="250">
        <v>0</v>
      </c>
      <c r="I182" s="250">
        <v>0</v>
      </c>
      <c r="J182" s="250">
        <v>0</v>
      </c>
      <c r="K182" s="250">
        <v>0</v>
      </c>
      <c r="L182" s="250">
        <v>0</v>
      </c>
      <c r="M182" s="250">
        <v>0</v>
      </c>
      <c r="N182" s="250">
        <v>0</v>
      </c>
      <c r="O182" s="250">
        <v>0</v>
      </c>
      <c r="P182" s="250">
        <v>0</v>
      </c>
      <c r="Q182" s="250">
        <v>0</v>
      </c>
      <c r="R182" s="250">
        <v>0</v>
      </c>
      <c r="S182" s="250">
        <v>0</v>
      </c>
      <c r="T182" s="250">
        <v>0</v>
      </c>
      <c r="U182" s="250">
        <v>0</v>
      </c>
      <c r="V182" s="250">
        <v>0</v>
      </c>
      <c r="W182" s="250">
        <v>0</v>
      </c>
      <c r="X182" s="250">
        <v>0</v>
      </c>
      <c r="Y182" s="250">
        <v>0</v>
      </c>
      <c r="Z182" s="250">
        <v>0</v>
      </c>
      <c r="AA182" s="250">
        <v>0</v>
      </c>
      <c r="AB182" s="250">
        <v>0</v>
      </c>
      <c r="AC182" s="250">
        <v>0</v>
      </c>
      <c r="AD182" s="250">
        <v>0</v>
      </c>
      <c r="AE182" s="251">
        <v>0</v>
      </c>
      <c r="AF182" s="251">
        <v>0</v>
      </c>
      <c r="AG182" s="251">
        <v>350</v>
      </c>
      <c r="AH182" s="251">
        <v>0</v>
      </c>
      <c r="AI182" s="250">
        <f t="shared" si="2"/>
        <v>850</v>
      </c>
    </row>
    <row r="183" spans="1:35" x14ac:dyDescent="0.35">
      <c r="A183" s="5" t="s">
        <v>967</v>
      </c>
      <c r="B183" s="250">
        <v>0</v>
      </c>
      <c r="C183" s="250">
        <v>0</v>
      </c>
      <c r="D183" s="250">
        <v>0</v>
      </c>
      <c r="E183" s="250">
        <v>0</v>
      </c>
      <c r="F183" s="250">
        <v>0</v>
      </c>
      <c r="G183" s="250">
        <v>500</v>
      </c>
      <c r="H183" s="250">
        <v>0</v>
      </c>
      <c r="I183" s="250">
        <v>0</v>
      </c>
      <c r="J183" s="250">
        <v>0</v>
      </c>
      <c r="K183" s="250">
        <v>0</v>
      </c>
      <c r="L183" s="250">
        <v>0</v>
      </c>
      <c r="M183" s="250">
        <v>0</v>
      </c>
      <c r="N183" s="250">
        <v>0</v>
      </c>
      <c r="O183" s="250">
        <v>0</v>
      </c>
      <c r="P183" s="250">
        <v>0</v>
      </c>
      <c r="Q183" s="250">
        <v>0</v>
      </c>
      <c r="R183" s="250">
        <v>0</v>
      </c>
      <c r="S183" s="250">
        <v>0</v>
      </c>
      <c r="T183" s="250">
        <v>0</v>
      </c>
      <c r="U183" s="250">
        <v>0</v>
      </c>
      <c r="V183" s="250">
        <v>0</v>
      </c>
      <c r="W183" s="250">
        <v>0</v>
      </c>
      <c r="X183" s="250">
        <v>0</v>
      </c>
      <c r="Y183" s="250">
        <v>0</v>
      </c>
      <c r="Z183" s="250">
        <v>0</v>
      </c>
      <c r="AA183" s="250">
        <v>0</v>
      </c>
      <c r="AB183" s="250">
        <v>0</v>
      </c>
      <c r="AC183" s="250">
        <v>0</v>
      </c>
      <c r="AD183" s="250">
        <v>0</v>
      </c>
      <c r="AE183" s="251">
        <v>0</v>
      </c>
      <c r="AF183" s="251">
        <v>0</v>
      </c>
      <c r="AG183" s="251">
        <v>350</v>
      </c>
      <c r="AH183" s="251">
        <v>0</v>
      </c>
      <c r="AI183" s="250">
        <f t="shared" si="2"/>
        <v>850</v>
      </c>
    </row>
    <row r="184" spans="1:35" x14ac:dyDescent="0.35">
      <c r="A184" s="5" t="s">
        <v>2602</v>
      </c>
      <c r="B184" s="250">
        <v>0</v>
      </c>
      <c r="C184" s="250">
        <v>0</v>
      </c>
      <c r="D184" s="250">
        <v>0</v>
      </c>
      <c r="E184" s="250">
        <v>0</v>
      </c>
      <c r="F184" s="250">
        <v>0</v>
      </c>
      <c r="G184" s="250">
        <v>500</v>
      </c>
      <c r="H184" s="250">
        <v>0</v>
      </c>
      <c r="I184" s="250">
        <v>0</v>
      </c>
      <c r="J184" s="250">
        <v>0</v>
      </c>
      <c r="K184" s="250">
        <v>0</v>
      </c>
      <c r="L184" s="250">
        <v>0</v>
      </c>
      <c r="M184" s="250">
        <v>0</v>
      </c>
      <c r="N184" s="250">
        <v>0</v>
      </c>
      <c r="O184" s="250">
        <v>0</v>
      </c>
      <c r="P184" s="250">
        <v>0</v>
      </c>
      <c r="Q184" s="250">
        <v>0</v>
      </c>
      <c r="R184" s="250">
        <v>0</v>
      </c>
      <c r="S184" s="250">
        <v>0</v>
      </c>
      <c r="T184" s="250">
        <v>0</v>
      </c>
      <c r="U184" s="250">
        <v>0</v>
      </c>
      <c r="V184" s="250">
        <v>0</v>
      </c>
      <c r="W184" s="250">
        <v>0</v>
      </c>
      <c r="X184" s="250">
        <v>0</v>
      </c>
      <c r="Y184" s="250">
        <v>0</v>
      </c>
      <c r="Z184" s="250">
        <v>0</v>
      </c>
      <c r="AA184" s="250">
        <v>0</v>
      </c>
      <c r="AB184" s="250">
        <v>0</v>
      </c>
      <c r="AC184" s="250">
        <v>0</v>
      </c>
      <c r="AD184" s="250">
        <v>0</v>
      </c>
      <c r="AE184" s="251">
        <v>0</v>
      </c>
      <c r="AF184" s="251">
        <v>0</v>
      </c>
      <c r="AG184" s="251">
        <v>350</v>
      </c>
      <c r="AH184" s="251">
        <v>0</v>
      </c>
      <c r="AI184" s="250">
        <f t="shared" si="2"/>
        <v>850</v>
      </c>
    </row>
    <row r="185" spans="1:35" x14ac:dyDescent="0.35">
      <c r="A185" s="5" t="s">
        <v>2248</v>
      </c>
      <c r="B185" s="250">
        <v>0</v>
      </c>
      <c r="C185" s="250">
        <v>0</v>
      </c>
      <c r="D185" s="250">
        <v>0</v>
      </c>
      <c r="E185" s="250">
        <v>0</v>
      </c>
      <c r="F185" s="250">
        <v>0</v>
      </c>
      <c r="G185" s="250">
        <v>0</v>
      </c>
      <c r="H185" s="250">
        <v>0</v>
      </c>
      <c r="I185" s="250">
        <v>0</v>
      </c>
      <c r="J185" s="250">
        <v>0</v>
      </c>
      <c r="K185" s="250">
        <v>0</v>
      </c>
      <c r="L185" s="250">
        <v>0</v>
      </c>
      <c r="M185" s="250">
        <v>0</v>
      </c>
      <c r="N185" s="250">
        <v>0</v>
      </c>
      <c r="O185" s="250">
        <v>0</v>
      </c>
      <c r="P185" s="250">
        <v>0</v>
      </c>
      <c r="Q185" s="250">
        <v>0</v>
      </c>
      <c r="R185" s="250">
        <v>0</v>
      </c>
      <c r="S185" s="250">
        <v>0</v>
      </c>
      <c r="T185" s="250">
        <v>0</v>
      </c>
      <c r="U185" s="250">
        <v>0</v>
      </c>
      <c r="V185" s="250">
        <v>0</v>
      </c>
      <c r="W185" s="250">
        <v>0</v>
      </c>
      <c r="X185" s="250">
        <v>0</v>
      </c>
      <c r="Y185" s="250">
        <v>0</v>
      </c>
      <c r="Z185" s="250">
        <v>0</v>
      </c>
      <c r="AA185" s="250">
        <v>500</v>
      </c>
      <c r="AB185" s="250">
        <v>0</v>
      </c>
      <c r="AC185" s="250">
        <v>0</v>
      </c>
      <c r="AD185" s="250">
        <v>0</v>
      </c>
      <c r="AE185" s="251">
        <v>0</v>
      </c>
      <c r="AF185" s="251">
        <v>0</v>
      </c>
      <c r="AG185" s="251">
        <v>350</v>
      </c>
      <c r="AH185" s="251">
        <v>0</v>
      </c>
      <c r="AI185" s="250">
        <f t="shared" si="2"/>
        <v>850</v>
      </c>
    </row>
    <row r="186" spans="1:35" x14ac:dyDescent="0.35">
      <c r="A186" s="5" t="s">
        <v>2297</v>
      </c>
      <c r="B186" s="250">
        <v>0</v>
      </c>
      <c r="C186" s="250">
        <v>0</v>
      </c>
      <c r="D186" s="250">
        <v>0</v>
      </c>
      <c r="E186" s="250">
        <v>0</v>
      </c>
      <c r="F186" s="250">
        <v>0</v>
      </c>
      <c r="G186" s="250">
        <v>0</v>
      </c>
      <c r="H186" s="250">
        <v>0</v>
      </c>
      <c r="I186" s="250">
        <v>0</v>
      </c>
      <c r="J186" s="250">
        <v>0</v>
      </c>
      <c r="K186" s="250">
        <v>0</v>
      </c>
      <c r="L186" s="250">
        <v>0</v>
      </c>
      <c r="M186" s="250">
        <v>0</v>
      </c>
      <c r="N186" s="250">
        <v>0</v>
      </c>
      <c r="O186" s="250">
        <v>0</v>
      </c>
      <c r="P186" s="250">
        <v>0</v>
      </c>
      <c r="Q186" s="250">
        <v>0</v>
      </c>
      <c r="R186" s="250">
        <v>0</v>
      </c>
      <c r="S186" s="250">
        <v>0</v>
      </c>
      <c r="T186" s="250">
        <v>0</v>
      </c>
      <c r="U186" s="250">
        <v>0</v>
      </c>
      <c r="V186" s="250">
        <v>0</v>
      </c>
      <c r="W186" s="250">
        <v>0</v>
      </c>
      <c r="X186" s="250">
        <v>0</v>
      </c>
      <c r="Y186" s="250">
        <v>0</v>
      </c>
      <c r="Z186" s="250">
        <v>0</v>
      </c>
      <c r="AA186" s="250">
        <v>500</v>
      </c>
      <c r="AB186" s="250">
        <v>0</v>
      </c>
      <c r="AC186" s="250">
        <v>0</v>
      </c>
      <c r="AD186" s="250">
        <v>0</v>
      </c>
      <c r="AE186" s="251">
        <v>0</v>
      </c>
      <c r="AF186" s="251">
        <v>0</v>
      </c>
      <c r="AG186" s="251">
        <v>350</v>
      </c>
      <c r="AH186" s="251">
        <v>0</v>
      </c>
      <c r="AI186" s="250">
        <f t="shared" si="2"/>
        <v>850</v>
      </c>
    </row>
    <row r="187" spans="1:35" x14ac:dyDescent="0.35">
      <c r="A187" s="5" t="s">
        <v>995</v>
      </c>
      <c r="B187" s="250">
        <v>0</v>
      </c>
      <c r="C187" s="250">
        <v>0</v>
      </c>
      <c r="D187" s="250">
        <v>0</v>
      </c>
      <c r="E187" s="250">
        <v>0</v>
      </c>
      <c r="F187" s="250">
        <v>0</v>
      </c>
      <c r="G187" s="250">
        <v>500</v>
      </c>
      <c r="H187" s="250">
        <v>0</v>
      </c>
      <c r="I187" s="250">
        <v>0</v>
      </c>
      <c r="J187" s="250">
        <v>0</v>
      </c>
      <c r="K187" s="250">
        <v>0</v>
      </c>
      <c r="L187" s="250">
        <v>0</v>
      </c>
      <c r="M187" s="250">
        <v>0</v>
      </c>
      <c r="N187" s="250">
        <v>0</v>
      </c>
      <c r="O187" s="250">
        <v>0</v>
      </c>
      <c r="P187" s="250">
        <v>0</v>
      </c>
      <c r="Q187" s="250">
        <v>0</v>
      </c>
      <c r="R187" s="250">
        <v>0</v>
      </c>
      <c r="S187" s="250">
        <v>0</v>
      </c>
      <c r="T187" s="250">
        <v>0</v>
      </c>
      <c r="U187" s="250">
        <v>0</v>
      </c>
      <c r="V187" s="250">
        <v>0</v>
      </c>
      <c r="W187" s="250">
        <v>0</v>
      </c>
      <c r="X187" s="250">
        <v>0</v>
      </c>
      <c r="Y187" s="250">
        <v>0</v>
      </c>
      <c r="Z187" s="250">
        <v>0</v>
      </c>
      <c r="AA187" s="250">
        <v>0</v>
      </c>
      <c r="AB187" s="250">
        <v>0</v>
      </c>
      <c r="AC187" s="250">
        <v>0</v>
      </c>
      <c r="AD187" s="250">
        <v>0</v>
      </c>
      <c r="AE187" s="251">
        <v>0</v>
      </c>
      <c r="AF187" s="251">
        <v>0</v>
      </c>
      <c r="AG187" s="251">
        <v>350</v>
      </c>
      <c r="AH187" s="251">
        <v>0</v>
      </c>
      <c r="AI187" s="250">
        <f t="shared" si="2"/>
        <v>850</v>
      </c>
    </row>
    <row r="188" spans="1:35" x14ac:dyDescent="0.35">
      <c r="A188" s="5" t="s">
        <v>2294</v>
      </c>
      <c r="B188" s="250">
        <v>0</v>
      </c>
      <c r="C188" s="250">
        <v>0</v>
      </c>
      <c r="D188" s="250">
        <v>0</v>
      </c>
      <c r="E188" s="250">
        <v>0</v>
      </c>
      <c r="F188" s="250">
        <v>0</v>
      </c>
      <c r="G188" s="250">
        <v>0</v>
      </c>
      <c r="H188" s="250">
        <v>0</v>
      </c>
      <c r="I188" s="250">
        <v>0</v>
      </c>
      <c r="J188" s="250">
        <v>0</v>
      </c>
      <c r="K188" s="250">
        <v>0</v>
      </c>
      <c r="L188" s="250">
        <v>0</v>
      </c>
      <c r="M188" s="250">
        <v>0</v>
      </c>
      <c r="N188" s="250">
        <v>0</v>
      </c>
      <c r="O188" s="250">
        <v>0</v>
      </c>
      <c r="P188" s="250">
        <v>0</v>
      </c>
      <c r="Q188" s="250">
        <v>0</v>
      </c>
      <c r="R188" s="250">
        <v>0</v>
      </c>
      <c r="S188" s="250">
        <v>0</v>
      </c>
      <c r="T188" s="250">
        <v>0</v>
      </c>
      <c r="U188" s="250">
        <v>0</v>
      </c>
      <c r="V188" s="250">
        <v>0</v>
      </c>
      <c r="W188" s="250">
        <v>0</v>
      </c>
      <c r="X188" s="250">
        <v>0</v>
      </c>
      <c r="Y188" s="247">
        <v>0</v>
      </c>
      <c r="Z188" s="250">
        <v>0</v>
      </c>
      <c r="AA188" s="250">
        <v>500</v>
      </c>
      <c r="AB188" s="250">
        <v>0</v>
      </c>
      <c r="AC188" s="250">
        <v>0</v>
      </c>
      <c r="AD188" s="250">
        <v>0</v>
      </c>
      <c r="AE188" s="251">
        <v>0</v>
      </c>
      <c r="AF188" s="251">
        <v>0</v>
      </c>
      <c r="AG188" s="251">
        <v>350</v>
      </c>
      <c r="AH188" s="251">
        <v>0</v>
      </c>
      <c r="AI188" s="250">
        <f t="shared" si="2"/>
        <v>850</v>
      </c>
    </row>
    <row r="189" spans="1:35" x14ac:dyDescent="0.35">
      <c r="A189" s="5" t="s">
        <v>899</v>
      </c>
      <c r="B189" s="250">
        <v>0</v>
      </c>
      <c r="C189" s="250">
        <v>0</v>
      </c>
      <c r="D189" s="250">
        <v>0</v>
      </c>
      <c r="E189" s="250">
        <v>0</v>
      </c>
      <c r="F189" s="250">
        <v>0</v>
      </c>
      <c r="G189" s="250">
        <v>500</v>
      </c>
      <c r="H189" s="250">
        <v>0</v>
      </c>
      <c r="I189" s="250">
        <v>0</v>
      </c>
      <c r="J189" s="250">
        <v>0</v>
      </c>
      <c r="K189" s="250">
        <v>0</v>
      </c>
      <c r="L189" s="250">
        <v>0</v>
      </c>
      <c r="M189" s="250">
        <v>0</v>
      </c>
      <c r="N189" s="250">
        <v>0</v>
      </c>
      <c r="O189" s="250">
        <v>0</v>
      </c>
      <c r="P189" s="250">
        <v>0</v>
      </c>
      <c r="Q189" s="250">
        <v>0</v>
      </c>
      <c r="R189" s="250">
        <v>0</v>
      </c>
      <c r="S189" s="250">
        <v>0</v>
      </c>
      <c r="T189" s="250">
        <v>0</v>
      </c>
      <c r="U189" s="250">
        <v>0</v>
      </c>
      <c r="V189" s="250">
        <v>0</v>
      </c>
      <c r="W189" s="250">
        <v>0</v>
      </c>
      <c r="X189" s="250">
        <v>0</v>
      </c>
      <c r="Y189" s="250">
        <v>0</v>
      </c>
      <c r="Z189" s="250">
        <v>0</v>
      </c>
      <c r="AA189" s="250">
        <v>0</v>
      </c>
      <c r="AB189" s="250">
        <v>0</v>
      </c>
      <c r="AC189" s="250">
        <v>0</v>
      </c>
      <c r="AD189" s="250">
        <v>0</v>
      </c>
      <c r="AE189" s="251">
        <v>0</v>
      </c>
      <c r="AF189" s="251">
        <v>0</v>
      </c>
      <c r="AG189" s="251">
        <v>350</v>
      </c>
      <c r="AH189" s="251">
        <v>0</v>
      </c>
      <c r="AI189" s="250">
        <f t="shared" si="2"/>
        <v>850</v>
      </c>
    </row>
    <row r="190" spans="1:35" x14ac:dyDescent="0.35">
      <c r="A190" s="5" t="s">
        <v>2278</v>
      </c>
      <c r="B190" s="250">
        <v>0</v>
      </c>
      <c r="C190" s="250">
        <v>0</v>
      </c>
      <c r="D190" s="250">
        <v>0</v>
      </c>
      <c r="E190" s="250">
        <v>0</v>
      </c>
      <c r="F190" s="250">
        <v>0</v>
      </c>
      <c r="G190" s="250">
        <v>0</v>
      </c>
      <c r="H190" s="250">
        <v>0</v>
      </c>
      <c r="I190" s="250">
        <v>0</v>
      </c>
      <c r="J190" s="250">
        <v>0</v>
      </c>
      <c r="K190" s="250">
        <v>0</v>
      </c>
      <c r="L190" s="250">
        <v>0</v>
      </c>
      <c r="M190" s="250">
        <v>0</v>
      </c>
      <c r="N190" s="250">
        <v>0</v>
      </c>
      <c r="O190" s="250">
        <v>0</v>
      </c>
      <c r="P190" s="250">
        <v>0</v>
      </c>
      <c r="Q190" s="250">
        <v>0</v>
      </c>
      <c r="R190" s="250">
        <v>0</v>
      </c>
      <c r="S190" s="250">
        <v>0</v>
      </c>
      <c r="T190" s="250">
        <v>0</v>
      </c>
      <c r="U190" s="250">
        <v>0</v>
      </c>
      <c r="V190" s="250">
        <v>0</v>
      </c>
      <c r="W190" s="250">
        <v>0</v>
      </c>
      <c r="X190" s="250">
        <v>0</v>
      </c>
      <c r="Y190" s="250">
        <v>0</v>
      </c>
      <c r="Z190" s="250">
        <v>0</v>
      </c>
      <c r="AA190" s="250">
        <v>500</v>
      </c>
      <c r="AB190" s="250">
        <v>0</v>
      </c>
      <c r="AC190" s="250">
        <v>0</v>
      </c>
      <c r="AD190" s="250">
        <v>0</v>
      </c>
      <c r="AE190" s="251">
        <v>0</v>
      </c>
      <c r="AF190" s="251">
        <v>0</v>
      </c>
      <c r="AG190" s="251">
        <v>350</v>
      </c>
      <c r="AH190" s="251">
        <v>0</v>
      </c>
      <c r="AI190" s="250">
        <f t="shared" si="2"/>
        <v>850</v>
      </c>
    </row>
    <row r="191" spans="1:35" x14ac:dyDescent="0.35">
      <c r="A191" s="5" t="s">
        <v>943</v>
      </c>
      <c r="B191" s="250">
        <v>0</v>
      </c>
      <c r="C191" s="250">
        <v>0</v>
      </c>
      <c r="D191" s="250">
        <v>0</v>
      </c>
      <c r="E191" s="250">
        <v>0</v>
      </c>
      <c r="F191" s="250">
        <v>0</v>
      </c>
      <c r="G191" s="250">
        <v>500</v>
      </c>
      <c r="H191" s="250">
        <v>0</v>
      </c>
      <c r="I191" s="250">
        <v>0</v>
      </c>
      <c r="J191" s="250">
        <v>0</v>
      </c>
      <c r="K191" s="250">
        <v>0</v>
      </c>
      <c r="L191" s="250">
        <v>0</v>
      </c>
      <c r="M191" s="250">
        <v>0</v>
      </c>
      <c r="N191" s="250">
        <v>0</v>
      </c>
      <c r="O191" s="250">
        <v>0</v>
      </c>
      <c r="P191" s="250">
        <v>0</v>
      </c>
      <c r="Q191" s="250">
        <v>0</v>
      </c>
      <c r="R191" s="250">
        <v>0</v>
      </c>
      <c r="S191" s="250">
        <v>0</v>
      </c>
      <c r="T191" s="250">
        <v>0</v>
      </c>
      <c r="U191" s="250">
        <v>0</v>
      </c>
      <c r="V191" s="250">
        <v>0</v>
      </c>
      <c r="W191" s="250">
        <v>0</v>
      </c>
      <c r="X191" s="250">
        <v>0</v>
      </c>
      <c r="Y191" s="247">
        <v>0</v>
      </c>
      <c r="Z191" s="250">
        <v>0</v>
      </c>
      <c r="AA191" s="250">
        <v>0</v>
      </c>
      <c r="AB191" s="250">
        <v>0</v>
      </c>
      <c r="AC191" s="250">
        <v>0</v>
      </c>
      <c r="AD191" s="250">
        <v>0</v>
      </c>
      <c r="AE191" s="251">
        <v>0</v>
      </c>
      <c r="AF191" s="251">
        <v>0</v>
      </c>
      <c r="AG191" s="251">
        <v>350</v>
      </c>
      <c r="AH191" s="251">
        <v>0</v>
      </c>
      <c r="AI191" s="250">
        <f t="shared" si="2"/>
        <v>850</v>
      </c>
    </row>
    <row r="192" spans="1:35" x14ac:dyDescent="0.35">
      <c r="A192" s="5" t="s">
        <v>981</v>
      </c>
      <c r="B192" s="250">
        <v>0</v>
      </c>
      <c r="C192" s="250">
        <v>0</v>
      </c>
      <c r="D192" s="250">
        <v>0</v>
      </c>
      <c r="E192" s="250">
        <v>0</v>
      </c>
      <c r="F192" s="250">
        <v>0</v>
      </c>
      <c r="G192" s="250">
        <v>500</v>
      </c>
      <c r="H192" s="250">
        <v>0</v>
      </c>
      <c r="I192" s="250">
        <v>0</v>
      </c>
      <c r="J192" s="250">
        <v>0</v>
      </c>
      <c r="K192" s="250">
        <v>0</v>
      </c>
      <c r="L192" s="250">
        <v>0</v>
      </c>
      <c r="M192" s="250">
        <v>0</v>
      </c>
      <c r="N192" s="250">
        <v>0</v>
      </c>
      <c r="O192" s="250">
        <v>0</v>
      </c>
      <c r="P192" s="250">
        <v>0</v>
      </c>
      <c r="Q192" s="250">
        <v>0</v>
      </c>
      <c r="R192" s="250">
        <v>0</v>
      </c>
      <c r="S192" s="250">
        <v>0</v>
      </c>
      <c r="T192" s="250">
        <v>0</v>
      </c>
      <c r="U192" s="250">
        <v>0</v>
      </c>
      <c r="V192" s="250">
        <v>0</v>
      </c>
      <c r="W192" s="250">
        <v>0</v>
      </c>
      <c r="X192" s="250">
        <v>0</v>
      </c>
      <c r="Y192" s="250">
        <v>0</v>
      </c>
      <c r="Z192" s="250">
        <v>0</v>
      </c>
      <c r="AA192" s="250">
        <v>0</v>
      </c>
      <c r="AB192" s="250">
        <v>0</v>
      </c>
      <c r="AC192" s="250">
        <v>0</v>
      </c>
      <c r="AD192" s="250">
        <v>0</v>
      </c>
      <c r="AE192" s="251">
        <v>0</v>
      </c>
      <c r="AF192" s="251">
        <v>0</v>
      </c>
      <c r="AG192" s="251">
        <v>350</v>
      </c>
      <c r="AH192" s="251">
        <v>0</v>
      </c>
      <c r="AI192" s="250">
        <f t="shared" si="2"/>
        <v>850</v>
      </c>
    </row>
    <row r="193" spans="1:35" x14ac:dyDescent="0.35">
      <c r="A193" s="5" t="s">
        <v>2615</v>
      </c>
      <c r="B193" s="250">
        <v>0</v>
      </c>
      <c r="C193" s="250">
        <v>0</v>
      </c>
      <c r="D193" s="250">
        <v>0</v>
      </c>
      <c r="E193" s="250">
        <v>0</v>
      </c>
      <c r="F193" s="250">
        <v>0</v>
      </c>
      <c r="G193" s="250">
        <v>500</v>
      </c>
      <c r="H193" s="250">
        <v>0</v>
      </c>
      <c r="I193" s="250">
        <v>0</v>
      </c>
      <c r="J193" s="250">
        <v>0</v>
      </c>
      <c r="K193" s="250">
        <v>0</v>
      </c>
      <c r="L193" s="250">
        <v>0</v>
      </c>
      <c r="M193" s="250">
        <v>0</v>
      </c>
      <c r="N193" s="250">
        <v>0</v>
      </c>
      <c r="O193" s="250">
        <v>0</v>
      </c>
      <c r="P193" s="250">
        <v>0</v>
      </c>
      <c r="Q193" s="250">
        <v>0</v>
      </c>
      <c r="R193" s="250">
        <v>0</v>
      </c>
      <c r="S193" s="250">
        <v>0</v>
      </c>
      <c r="T193" s="250">
        <v>0</v>
      </c>
      <c r="U193" s="250">
        <v>0</v>
      </c>
      <c r="V193" s="250">
        <v>0</v>
      </c>
      <c r="W193" s="250">
        <v>0</v>
      </c>
      <c r="X193" s="250">
        <v>0</v>
      </c>
      <c r="Y193" s="250">
        <v>0</v>
      </c>
      <c r="Z193" s="250">
        <v>0</v>
      </c>
      <c r="AA193" s="250">
        <v>0</v>
      </c>
      <c r="AB193" s="250">
        <v>0</v>
      </c>
      <c r="AC193" s="250">
        <v>0</v>
      </c>
      <c r="AD193" s="250">
        <v>0</v>
      </c>
      <c r="AE193" s="251">
        <v>0</v>
      </c>
      <c r="AF193" s="251">
        <v>0</v>
      </c>
      <c r="AG193" s="251">
        <v>350</v>
      </c>
      <c r="AH193" s="251">
        <v>0</v>
      </c>
      <c r="AI193" s="250">
        <f t="shared" ref="AI193:AI219" si="3">SUM(B193:AH193)</f>
        <v>850</v>
      </c>
    </row>
    <row r="194" spans="1:35" x14ac:dyDescent="0.35">
      <c r="A194" s="5" t="s">
        <v>884</v>
      </c>
      <c r="B194" s="250">
        <v>0</v>
      </c>
      <c r="C194" s="250">
        <v>0</v>
      </c>
      <c r="D194" s="250">
        <v>0</v>
      </c>
      <c r="E194" s="250">
        <v>0</v>
      </c>
      <c r="F194" s="250">
        <v>0</v>
      </c>
      <c r="G194" s="250">
        <v>500</v>
      </c>
      <c r="H194" s="250">
        <v>0</v>
      </c>
      <c r="I194" s="250">
        <v>0</v>
      </c>
      <c r="J194" s="250">
        <v>0</v>
      </c>
      <c r="K194" s="250">
        <v>0</v>
      </c>
      <c r="L194" s="250">
        <v>0</v>
      </c>
      <c r="M194" s="250">
        <v>0</v>
      </c>
      <c r="N194" s="250">
        <v>0</v>
      </c>
      <c r="O194" s="250">
        <v>0</v>
      </c>
      <c r="P194" s="250">
        <v>0</v>
      </c>
      <c r="Q194" s="250">
        <v>0</v>
      </c>
      <c r="R194" s="250">
        <v>0</v>
      </c>
      <c r="S194" s="250">
        <v>0</v>
      </c>
      <c r="T194" s="250">
        <v>0</v>
      </c>
      <c r="U194" s="250">
        <v>0</v>
      </c>
      <c r="V194" s="250">
        <v>0</v>
      </c>
      <c r="W194" s="250">
        <v>0</v>
      </c>
      <c r="X194" s="250">
        <v>0</v>
      </c>
      <c r="Y194" s="250">
        <v>0</v>
      </c>
      <c r="Z194" s="250">
        <v>0</v>
      </c>
      <c r="AA194" s="250">
        <v>0</v>
      </c>
      <c r="AB194" s="250">
        <v>0</v>
      </c>
      <c r="AC194" s="250">
        <v>0</v>
      </c>
      <c r="AD194" s="250">
        <v>0</v>
      </c>
      <c r="AE194" s="251">
        <v>0</v>
      </c>
      <c r="AF194" s="251">
        <v>0</v>
      </c>
      <c r="AG194" s="251">
        <v>350</v>
      </c>
      <c r="AH194" s="251">
        <v>0</v>
      </c>
      <c r="AI194" s="250">
        <f t="shared" si="3"/>
        <v>850</v>
      </c>
    </row>
    <row r="195" spans="1:35" ht="14.25" customHeight="1" x14ac:dyDescent="0.35">
      <c r="A195" s="246" t="s">
        <v>2286</v>
      </c>
      <c r="B195" s="247">
        <v>0</v>
      </c>
      <c r="C195" s="247">
        <v>0</v>
      </c>
      <c r="D195" s="247">
        <v>0</v>
      </c>
      <c r="E195" s="247">
        <v>0</v>
      </c>
      <c r="F195" s="247">
        <v>0</v>
      </c>
      <c r="G195" s="247">
        <v>0</v>
      </c>
      <c r="H195" s="247">
        <v>0</v>
      </c>
      <c r="I195" s="247">
        <v>0</v>
      </c>
      <c r="J195" s="247">
        <v>0</v>
      </c>
      <c r="K195" s="247">
        <v>0</v>
      </c>
      <c r="L195" s="247">
        <v>0</v>
      </c>
      <c r="M195" s="247">
        <v>0</v>
      </c>
      <c r="N195" s="247">
        <v>0</v>
      </c>
      <c r="O195" s="247">
        <v>0</v>
      </c>
      <c r="P195" s="247">
        <v>0</v>
      </c>
      <c r="Q195" s="247">
        <v>0</v>
      </c>
      <c r="R195" s="247">
        <v>0</v>
      </c>
      <c r="S195" s="247">
        <v>0</v>
      </c>
      <c r="T195" s="247">
        <v>0</v>
      </c>
      <c r="U195" s="247">
        <v>0</v>
      </c>
      <c r="V195" s="247">
        <v>0</v>
      </c>
      <c r="W195" s="247">
        <v>0</v>
      </c>
      <c r="X195" s="247">
        <v>0</v>
      </c>
      <c r="Y195" s="247">
        <v>0</v>
      </c>
      <c r="Z195" s="247">
        <v>0</v>
      </c>
      <c r="AA195" s="247">
        <v>450</v>
      </c>
      <c r="AB195" s="247">
        <v>0</v>
      </c>
      <c r="AC195" s="247">
        <v>0</v>
      </c>
      <c r="AD195" s="247">
        <v>0</v>
      </c>
      <c r="AE195" s="248">
        <v>0</v>
      </c>
      <c r="AF195" s="248">
        <v>0</v>
      </c>
      <c r="AG195" s="248">
        <v>350</v>
      </c>
      <c r="AH195" s="248">
        <v>0</v>
      </c>
      <c r="AI195" s="247">
        <f t="shared" si="3"/>
        <v>800</v>
      </c>
    </row>
    <row r="196" spans="1:35" ht="14.25" customHeight="1" x14ac:dyDescent="0.35">
      <c r="A196" s="246" t="s">
        <v>2230</v>
      </c>
      <c r="B196" s="247">
        <v>0</v>
      </c>
      <c r="C196" s="247">
        <v>0</v>
      </c>
      <c r="D196" s="247">
        <v>0</v>
      </c>
      <c r="E196" s="247">
        <v>0</v>
      </c>
      <c r="F196" s="247">
        <v>0</v>
      </c>
      <c r="G196" s="247">
        <v>0</v>
      </c>
      <c r="H196" s="247">
        <v>0</v>
      </c>
      <c r="I196" s="247">
        <v>0</v>
      </c>
      <c r="J196" s="247">
        <v>0</v>
      </c>
      <c r="K196" s="247">
        <v>0</v>
      </c>
      <c r="L196" s="247">
        <v>0</v>
      </c>
      <c r="M196" s="247">
        <v>0</v>
      </c>
      <c r="N196" s="247">
        <v>0</v>
      </c>
      <c r="O196" s="247">
        <v>0</v>
      </c>
      <c r="P196" s="247">
        <v>0</v>
      </c>
      <c r="Q196" s="247">
        <v>0</v>
      </c>
      <c r="R196" s="247">
        <v>0</v>
      </c>
      <c r="S196" s="247">
        <v>0</v>
      </c>
      <c r="T196" s="247">
        <v>0</v>
      </c>
      <c r="U196" s="247">
        <v>0</v>
      </c>
      <c r="V196" s="247">
        <v>0</v>
      </c>
      <c r="W196" s="247">
        <v>0</v>
      </c>
      <c r="X196" s="247">
        <v>0</v>
      </c>
      <c r="Y196" s="247">
        <v>0</v>
      </c>
      <c r="Z196" s="247">
        <v>0</v>
      </c>
      <c r="AA196" s="247">
        <v>450</v>
      </c>
      <c r="AB196" s="247">
        <v>0</v>
      </c>
      <c r="AC196" s="247">
        <v>0</v>
      </c>
      <c r="AD196" s="247">
        <v>0</v>
      </c>
      <c r="AE196" s="248">
        <v>0</v>
      </c>
      <c r="AF196" s="248">
        <v>0</v>
      </c>
      <c r="AG196" s="248">
        <v>350</v>
      </c>
      <c r="AH196" s="248">
        <v>0</v>
      </c>
      <c r="AI196" s="250">
        <f t="shared" si="3"/>
        <v>800</v>
      </c>
    </row>
    <row r="197" spans="1:35" ht="14.25" customHeight="1" x14ac:dyDescent="0.35">
      <c r="A197" s="246" t="s">
        <v>2234</v>
      </c>
      <c r="B197" s="250">
        <v>0</v>
      </c>
      <c r="C197" s="250">
        <v>0</v>
      </c>
      <c r="D197" s="250">
        <v>0</v>
      </c>
      <c r="E197" s="250">
        <v>0</v>
      </c>
      <c r="F197" s="250">
        <v>0</v>
      </c>
      <c r="G197" s="250">
        <v>0</v>
      </c>
      <c r="H197" s="250">
        <v>0</v>
      </c>
      <c r="I197" s="250">
        <v>0</v>
      </c>
      <c r="J197" s="250">
        <v>0</v>
      </c>
      <c r="K197" s="250">
        <v>0</v>
      </c>
      <c r="L197" s="250">
        <v>0</v>
      </c>
      <c r="M197" s="250">
        <v>0</v>
      </c>
      <c r="N197" s="250">
        <v>0</v>
      </c>
      <c r="O197" s="250">
        <v>0</v>
      </c>
      <c r="P197" s="250">
        <v>0</v>
      </c>
      <c r="Q197" s="250">
        <v>0</v>
      </c>
      <c r="R197" s="250">
        <v>0</v>
      </c>
      <c r="S197" s="250">
        <v>0</v>
      </c>
      <c r="T197" s="250">
        <v>0</v>
      </c>
      <c r="U197" s="250">
        <v>0</v>
      </c>
      <c r="V197" s="250">
        <v>0</v>
      </c>
      <c r="W197" s="250">
        <v>0</v>
      </c>
      <c r="X197" s="250">
        <v>0</v>
      </c>
      <c r="Y197" s="250">
        <v>0</v>
      </c>
      <c r="Z197" s="250">
        <v>0</v>
      </c>
      <c r="AA197" s="250">
        <v>450</v>
      </c>
      <c r="AB197" s="250">
        <v>0</v>
      </c>
      <c r="AC197" s="250">
        <v>0</v>
      </c>
      <c r="AD197" s="250">
        <v>0</v>
      </c>
      <c r="AE197" s="251">
        <v>0</v>
      </c>
      <c r="AF197" s="251">
        <v>0</v>
      </c>
      <c r="AG197" s="251">
        <v>350</v>
      </c>
      <c r="AH197" s="251">
        <v>0</v>
      </c>
      <c r="AI197" s="250">
        <f t="shared" si="3"/>
        <v>800</v>
      </c>
    </row>
    <row r="198" spans="1:35" x14ac:dyDescent="0.35">
      <c r="A198" s="5" t="s">
        <v>2263</v>
      </c>
      <c r="B198" s="250">
        <v>0</v>
      </c>
      <c r="C198" s="250">
        <v>0</v>
      </c>
      <c r="D198" s="250">
        <v>0</v>
      </c>
      <c r="E198" s="250">
        <v>0</v>
      </c>
      <c r="F198" s="250">
        <v>0</v>
      </c>
      <c r="G198" s="250">
        <v>0</v>
      </c>
      <c r="H198" s="250">
        <v>0</v>
      </c>
      <c r="I198" s="250">
        <v>0</v>
      </c>
      <c r="J198" s="250">
        <v>0</v>
      </c>
      <c r="K198" s="250">
        <v>0</v>
      </c>
      <c r="L198" s="250">
        <v>0</v>
      </c>
      <c r="M198" s="250">
        <v>0</v>
      </c>
      <c r="N198" s="250">
        <v>0</v>
      </c>
      <c r="O198" s="250">
        <v>0</v>
      </c>
      <c r="P198" s="250">
        <v>0</v>
      </c>
      <c r="Q198" s="250">
        <v>0</v>
      </c>
      <c r="R198" s="250">
        <v>0</v>
      </c>
      <c r="S198" s="250">
        <v>0</v>
      </c>
      <c r="T198" s="250">
        <v>0</v>
      </c>
      <c r="U198" s="250">
        <v>0</v>
      </c>
      <c r="V198" s="250">
        <v>0</v>
      </c>
      <c r="W198" s="250">
        <v>0</v>
      </c>
      <c r="X198" s="250">
        <v>0</v>
      </c>
      <c r="Y198" s="250">
        <v>0</v>
      </c>
      <c r="Z198" s="250">
        <v>0</v>
      </c>
      <c r="AA198" s="250">
        <v>450</v>
      </c>
      <c r="AB198" s="250">
        <v>0</v>
      </c>
      <c r="AC198" s="250">
        <v>0</v>
      </c>
      <c r="AD198" s="250">
        <v>0</v>
      </c>
      <c r="AE198" s="251">
        <v>0</v>
      </c>
      <c r="AF198" s="251">
        <v>0</v>
      </c>
      <c r="AG198" s="251">
        <v>350</v>
      </c>
      <c r="AH198" s="251">
        <v>0</v>
      </c>
      <c r="AI198" s="250">
        <f t="shared" si="3"/>
        <v>800</v>
      </c>
    </row>
    <row r="199" spans="1:35" x14ac:dyDescent="0.35">
      <c r="A199" s="5" t="s">
        <v>2254</v>
      </c>
      <c r="B199" s="250">
        <v>0</v>
      </c>
      <c r="C199" s="250">
        <v>0</v>
      </c>
      <c r="D199" s="250">
        <v>0</v>
      </c>
      <c r="E199" s="250">
        <v>0</v>
      </c>
      <c r="F199" s="250">
        <v>0</v>
      </c>
      <c r="G199" s="250">
        <v>0</v>
      </c>
      <c r="H199" s="250">
        <v>0</v>
      </c>
      <c r="I199" s="250">
        <v>0</v>
      </c>
      <c r="J199" s="250">
        <v>0</v>
      </c>
      <c r="K199" s="250">
        <v>0</v>
      </c>
      <c r="L199" s="250">
        <v>0</v>
      </c>
      <c r="M199" s="250">
        <v>0</v>
      </c>
      <c r="N199" s="250">
        <v>0</v>
      </c>
      <c r="O199" s="250">
        <v>0</v>
      </c>
      <c r="P199" s="250">
        <v>0</v>
      </c>
      <c r="Q199" s="250">
        <v>0</v>
      </c>
      <c r="R199" s="250">
        <v>0</v>
      </c>
      <c r="S199" s="250">
        <v>0</v>
      </c>
      <c r="T199" s="250">
        <v>0</v>
      </c>
      <c r="U199" s="250">
        <v>0</v>
      </c>
      <c r="V199" s="250">
        <v>0</v>
      </c>
      <c r="W199" s="250">
        <v>0</v>
      </c>
      <c r="X199" s="250">
        <v>0</v>
      </c>
      <c r="Y199" s="250">
        <v>0</v>
      </c>
      <c r="Z199" s="250">
        <v>0</v>
      </c>
      <c r="AA199" s="250">
        <v>450</v>
      </c>
      <c r="AB199" s="250">
        <v>0</v>
      </c>
      <c r="AC199" s="250">
        <v>0</v>
      </c>
      <c r="AD199" s="250">
        <v>0</v>
      </c>
      <c r="AE199" s="251">
        <v>0</v>
      </c>
      <c r="AF199" s="251">
        <v>0</v>
      </c>
      <c r="AG199" s="251">
        <v>350</v>
      </c>
      <c r="AH199" s="251">
        <v>0</v>
      </c>
      <c r="AI199" s="250">
        <f t="shared" si="3"/>
        <v>800</v>
      </c>
    </row>
    <row r="200" spans="1:35" x14ac:dyDescent="0.35">
      <c r="A200" s="5" t="s">
        <v>2611</v>
      </c>
      <c r="B200" s="250">
        <v>0</v>
      </c>
      <c r="C200" s="250">
        <v>0</v>
      </c>
      <c r="D200" s="250">
        <v>0</v>
      </c>
      <c r="E200" s="250">
        <v>0</v>
      </c>
      <c r="F200" s="250">
        <v>0</v>
      </c>
      <c r="G200" s="250">
        <v>0</v>
      </c>
      <c r="H200" s="250">
        <v>0</v>
      </c>
      <c r="I200" s="250">
        <v>0</v>
      </c>
      <c r="J200" s="250">
        <v>0</v>
      </c>
      <c r="K200" s="250">
        <v>0</v>
      </c>
      <c r="L200" s="250">
        <v>0</v>
      </c>
      <c r="M200" s="250">
        <v>0</v>
      </c>
      <c r="N200" s="250">
        <v>0</v>
      </c>
      <c r="O200" s="250">
        <v>0</v>
      </c>
      <c r="P200" s="250">
        <v>0</v>
      </c>
      <c r="Q200" s="250">
        <v>0</v>
      </c>
      <c r="R200" s="250">
        <v>0</v>
      </c>
      <c r="S200" s="250">
        <v>0</v>
      </c>
      <c r="T200" s="250">
        <v>0</v>
      </c>
      <c r="U200" s="250">
        <v>0</v>
      </c>
      <c r="V200" s="250">
        <v>0</v>
      </c>
      <c r="W200" s="250">
        <v>0</v>
      </c>
      <c r="X200" s="250">
        <v>0</v>
      </c>
      <c r="Y200" s="250">
        <v>0</v>
      </c>
      <c r="Z200" s="250">
        <v>0</v>
      </c>
      <c r="AA200" s="250">
        <v>450</v>
      </c>
      <c r="AB200" s="250">
        <v>0</v>
      </c>
      <c r="AC200" s="250">
        <v>0</v>
      </c>
      <c r="AD200" s="250">
        <v>0</v>
      </c>
      <c r="AE200" s="251">
        <v>0</v>
      </c>
      <c r="AF200" s="251">
        <v>0</v>
      </c>
      <c r="AG200" s="251">
        <v>350</v>
      </c>
      <c r="AH200" s="251">
        <v>0</v>
      </c>
      <c r="AI200" s="250">
        <f t="shared" si="3"/>
        <v>800</v>
      </c>
    </row>
    <row r="201" spans="1:35" x14ac:dyDescent="0.35">
      <c r="A201" s="5" t="s">
        <v>2347</v>
      </c>
      <c r="B201" s="250">
        <v>0</v>
      </c>
      <c r="C201" s="250">
        <v>0</v>
      </c>
      <c r="D201" s="250">
        <v>0</v>
      </c>
      <c r="E201" s="250">
        <v>0</v>
      </c>
      <c r="F201" s="250">
        <v>0</v>
      </c>
      <c r="G201" s="250">
        <v>0</v>
      </c>
      <c r="H201" s="250">
        <v>0</v>
      </c>
      <c r="I201" s="250">
        <v>0</v>
      </c>
      <c r="J201" s="250">
        <v>0</v>
      </c>
      <c r="K201" s="250">
        <v>0</v>
      </c>
      <c r="L201" s="250">
        <v>0</v>
      </c>
      <c r="M201" s="250">
        <v>0</v>
      </c>
      <c r="N201" s="250">
        <v>0</v>
      </c>
      <c r="O201" s="250">
        <v>0</v>
      </c>
      <c r="P201" s="250">
        <v>0</v>
      </c>
      <c r="Q201" s="250">
        <v>0</v>
      </c>
      <c r="R201" s="250">
        <v>0</v>
      </c>
      <c r="S201" s="250">
        <v>0</v>
      </c>
      <c r="T201" s="250">
        <v>0</v>
      </c>
      <c r="U201" s="250">
        <v>0</v>
      </c>
      <c r="V201" s="250">
        <v>0</v>
      </c>
      <c r="W201" s="250">
        <v>0</v>
      </c>
      <c r="X201" s="250">
        <v>0</v>
      </c>
      <c r="Y201" s="250">
        <v>0</v>
      </c>
      <c r="Z201" s="250">
        <v>0</v>
      </c>
      <c r="AA201" s="250">
        <v>450</v>
      </c>
      <c r="AB201" s="250">
        <v>0</v>
      </c>
      <c r="AC201" s="250">
        <v>0</v>
      </c>
      <c r="AD201" s="250">
        <v>0</v>
      </c>
      <c r="AE201" s="251">
        <v>0</v>
      </c>
      <c r="AF201" s="251">
        <v>0</v>
      </c>
      <c r="AG201" s="251">
        <v>350</v>
      </c>
      <c r="AH201" s="251">
        <v>0</v>
      </c>
      <c r="AI201" s="250">
        <f t="shared" si="3"/>
        <v>800</v>
      </c>
    </row>
    <row r="202" spans="1:35" x14ac:dyDescent="0.35">
      <c r="A202" s="5" t="s">
        <v>2301</v>
      </c>
      <c r="B202" s="250">
        <v>0</v>
      </c>
      <c r="C202" s="250">
        <v>0</v>
      </c>
      <c r="D202" s="250">
        <v>0</v>
      </c>
      <c r="E202" s="250">
        <v>0</v>
      </c>
      <c r="F202" s="250">
        <v>0</v>
      </c>
      <c r="G202" s="250">
        <v>0</v>
      </c>
      <c r="H202" s="250">
        <v>0</v>
      </c>
      <c r="I202" s="250">
        <v>0</v>
      </c>
      <c r="J202" s="250">
        <v>0</v>
      </c>
      <c r="K202" s="250">
        <v>0</v>
      </c>
      <c r="L202" s="250">
        <v>0</v>
      </c>
      <c r="M202" s="250">
        <v>0</v>
      </c>
      <c r="N202" s="250">
        <v>0</v>
      </c>
      <c r="O202" s="250">
        <v>0</v>
      </c>
      <c r="P202" s="250">
        <v>0</v>
      </c>
      <c r="Q202" s="250">
        <v>0</v>
      </c>
      <c r="R202" s="250">
        <v>0</v>
      </c>
      <c r="S202" s="250">
        <v>0</v>
      </c>
      <c r="T202" s="250">
        <v>0</v>
      </c>
      <c r="U202" s="250">
        <v>0</v>
      </c>
      <c r="V202" s="250">
        <v>0</v>
      </c>
      <c r="W202" s="250">
        <v>0</v>
      </c>
      <c r="X202" s="250">
        <v>0</v>
      </c>
      <c r="Y202" s="247">
        <v>0</v>
      </c>
      <c r="Z202" s="250">
        <v>0</v>
      </c>
      <c r="AA202" s="250">
        <v>450</v>
      </c>
      <c r="AB202" s="250">
        <v>0</v>
      </c>
      <c r="AC202" s="250">
        <v>0</v>
      </c>
      <c r="AD202" s="250">
        <v>0</v>
      </c>
      <c r="AE202" s="251">
        <v>0</v>
      </c>
      <c r="AF202" s="251">
        <v>0</v>
      </c>
      <c r="AG202" s="251">
        <v>350</v>
      </c>
      <c r="AH202" s="251">
        <v>0</v>
      </c>
      <c r="AI202" s="250">
        <f t="shared" si="3"/>
        <v>800</v>
      </c>
    </row>
    <row r="203" spans="1:35" x14ac:dyDescent="0.35">
      <c r="A203" s="5" t="s">
        <v>2618</v>
      </c>
      <c r="B203" s="250">
        <v>0</v>
      </c>
      <c r="C203" s="250">
        <v>0</v>
      </c>
      <c r="D203" s="250">
        <v>0</v>
      </c>
      <c r="E203" s="250">
        <v>0</v>
      </c>
      <c r="F203" s="250">
        <v>0</v>
      </c>
      <c r="G203" s="250">
        <v>0</v>
      </c>
      <c r="H203" s="250">
        <v>0</v>
      </c>
      <c r="I203" s="250">
        <v>0</v>
      </c>
      <c r="J203" s="250">
        <v>0</v>
      </c>
      <c r="K203" s="250">
        <v>0</v>
      </c>
      <c r="L203" s="250">
        <v>0</v>
      </c>
      <c r="M203" s="250">
        <v>0</v>
      </c>
      <c r="N203" s="250">
        <v>0</v>
      </c>
      <c r="O203" s="250">
        <v>0</v>
      </c>
      <c r="P203" s="250">
        <v>0</v>
      </c>
      <c r="Q203" s="250">
        <v>0</v>
      </c>
      <c r="R203" s="250">
        <v>0</v>
      </c>
      <c r="S203" s="250">
        <v>0</v>
      </c>
      <c r="T203" s="250">
        <v>0</v>
      </c>
      <c r="U203" s="250">
        <v>0</v>
      </c>
      <c r="V203" s="250">
        <v>0</v>
      </c>
      <c r="W203" s="250">
        <v>0</v>
      </c>
      <c r="X203" s="250">
        <v>0</v>
      </c>
      <c r="Y203" s="250">
        <v>0</v>
      </c>
      <c r="Z203" s="250">
        <v>0</v>
      </c>
      <c r="AA203" s="250">
        <v>450</v>
      </c>
      <c r="AB203" s="250">
        <v>0</v>
      </c>
      <c r="AC203" s="250">
        <v>0</v>
      </c>
      <c r="AD203" s="250">
        <v>0</v>
      </c>
      <c r="AE203" s="251">
        <v>0</v>
      </c>
      <c r="AF203" s="251">
        <v>0</v>
      </c>
      <c r="AG203" s="251">
        <v>350</v>
      </c>
      <c r="AH203" s="251">
        <v>0</v>
      </c>
      <c r="AI203" s="250">
        <f t="shared" si="3"/>
        <v>800</v>
      </c>
    </row>
    <row r="204" spans="1:35" x14ac:dyDescent="0.35">
      <c r="A204" s="5" t="s">
        <v>2619</v>
      </c>
      <c r="B204" s="250">
        <v>0</v>
      </c>
      <c r="C204" s="250">
        <v>0</v>
      </c>
      <c r="D204" s="250">
        <v>0</v>
      </c>
      <c r="E204" s="250">
        <v>0</v>
      </c>
      <c r="F204" s="250">
        <v>0</v>
      </c>
      <c r="G204" s="250">
        <v>0</v>
      </c>
      <c r="H204" s="250">
        <v>0</v>
      </c>
      <c r="I204" s="250">
        <v>0</v>
      </c>
      <c r="J204" s="250">
        <v>0</v>
      </c>
      <c r="K204" s="250">
        <v>0</v>
      </c>
      <c r="L204" s="250">
        <v>0</v>
      </c>
      <c r="M204" s="250">
        <v>0</v>
      </c>
      <c r="N204" s="250">
        <v>0</v>
      </c>
      <c r="O204" s="250">
        <v>0</v>
      </c>
      <c r="P204" s="250">
        <v>0</v>
      </c>
      <c r="Q204" s="250">
        <v>0</v>
      </c>
      <c r="R204" s="250">
        <v>0</v>
      </c>
      <c r="S204" s="250">
        <v>0</v>
      </c>
      <c r="T204" s="250">
        <v>0</v>
      </c>
      <c r="U204" s="250">
        <v>0</v>
      </c>
      <c r="V204" s="250">
        <v>0</v>
      </c>
      <c r="W204" s="250">
        <v>0</v>
      </c>
      <c r="X204" s="250">
        <v>0</v>
      </c>
      <c r="Y204" s="250">
        <v>0</v>
      </c>
      <c r="Z204" s="250">
        <v>0</v>
      </c>
      <c r="AA204" s="250">
        <v>450</v>
      </c>
      <c r="AB204" s="250">
        <v>0</v>
      </c>
      <c r="AC204" s="250">
        <v>0</v>
      </c>
      <c r="AD204" s="250">
        <v>0</v>
      </c>
      <c r="AE204" s="251">
        <v>0</v>
      </c>
      <c r="AF204" s="251">
        <v>0</v>
      </c>
      <c r="AG204" s="251">
        <v>350</v>
      </c>
      <c r="AH204" s="251">
        <v>0</v>
      </c>
      <c r="AI204" s="250">
        <f t="shared" si="3"/>
        <v>800</v>
      </c>
    </row>
    <row r="205" spans="1:35" x14ac:dyDescent="0.35">
      <c r="A205" s="5" t="s">
        <v>2327</v>
      </c>
      <c r="B205" s="250">
        <v>0</v>
      </c>
      <c r="C205" s="250">
        <v>0</v>
      </c>
      <c r="D205" s="250">
        <v>0</v>
      </c>
      <c r="E205" s="250">
        <v>0</v>
      </c>
      <c r="F205" s="250">
        <v>0</v>
      </c>
      <c r="G205" s="250">
        <v>0</v>
      </c>
      <c r="H205" s="250">
        <v>0</v>
      </c>
      <c r="I205" s="250">
        <v>0</v>
      </c>
      <c r="J205" s="250">
        <v>0</v>
      </c>
      <c r="K205" s="250">
        <v>0</v>
      </c>
      <c r="L205" s="250">
        <v>0</v>
      </c>
      <c r="M205" s="250">
        <v>0</v>
      </c>
      <c r="N205" s="250">
        <v>0</v>
      </c>
      <c r="O205" s="250">
        <v>0</v>
      </c>
      <c r="P205" s="250">
        <v>0</v>
      </c>
      <c r="Q205" s="250">
        <v>0</v>
      </c>
      <c r="R205" s="250">
        <v>0</v>
      </c>
      <c r="S205" s="250">
        <v>0</v>
      </c>
      <c r="T205" s="250">
        <v>0</v>
      </c>
      <c r="U205" s="250">
        <v>0</v>
      </c>
      <c r="V205" s="250">
        <v>0</v>
      </c>
      <c r="W205" s="250">
        <v>0</v>
      </c>
      <c r="X205" s="250">
        <v>0</v>
      </c>
      <c r="Y205" s="247">
        <v>0</v>
      </c>
      <c r="Z205" s="250">
        <v>0</v>
      </c>
      <c r="AA205" s="250">
        <v>450</v>
      </c>
      <c r="AB205" s="250">
        <v>0</v>
      </c>
      <c r="AC205" s="250">
        <v>0</v>
      </c>
      <c r="AD205" s="250">
        <v>0</v>
      </c>
      <c r="AE205" s="251">
        <v>0</v>
      </c>
      <c r="AF205" s="251">
        <v>0</v>
      </c>
      <c r="AG205" s="251">
        <v>350</v>
      </c>
      <c r="AH205" s="251">
        <v>0</v>
      </c>
      <c r="AI205" s="250">
        <f t="shared" si="3"/>
        <v>800</v>
      </c>
    </row>
    <row r="206" spans="1:35" x14ac:dyDescent="0.35">
      <c r="A206" s="145" t="s">
        <v>2197</v>
      </c>
      <c r="B206" s="247">
        <v>0</v>
      </c>
      <c r="C206" s="247">
        <v>0</v>
      </c>
      <c r="D206" s="247">
        <v>0</v>
      </c>
      <c r="E206" s="247">
        <v>0</v>
      </c>
      <c r="F206" s="247">
        <v>0</v>
      </c>
      <c r="G206" s="247">
        <v>0</v>
      </c>
      <c r="H206" s="247">
        <v>0</v>
      </c>
      <c r="I206" s="247">
        <v>0</v>
      </c>
      <c r="J206" s="247">
        <v>0</v>
      </c>
      <c r="K206" s="247">
        <v>0</v>
      </c>
      <c r="L206" s="247">
        <v>0</v>
      </c>
      <c r="M206" s="247">
        <v>0</v>
      </c>
      <c r="N206" s="247">
        <v>0</v>
      </c>
      <c r="O206" s="247">
        <v>0</v>
      </c>
      <c r="P206" s="247">
        <v>0</v>
      </c>
      <c r="Q206" s="247">
        <v>0</v>
      </c>
      <c r="R206" s="247">
        <v>0</v>
      </c>
      <c r="S206" s="247">
        <v>0</v>
      </c>
      <c r="T206" s="247">
        <v>0</v>
      </c>
      <c r="U206" s="247">
        <v>0</v>
      </c>
      <c r="V206" s="247">
        <v>0</v>
      </c>
      <c r="W206" s="247">
        <v>0</v>
      </c>
      <c r="X206" s="247">
        <v>0</v>
      </c>
      <c r="Y206" s="247">
        <v>0</v>
      </c>
      <c r="Z206" s="247">
        <v>0</v>
      </c>
      <c r="AA206" s="247">
        <v>750</v>
      </c>
      <c r="AB206" s="247">
        <v>0</v>
      </c>
      <c r="AC206" s="247">
        <v>0</v>
      </c>
      <c r="AD206" s="247">
        <v>0</v>
      </c>
      <c r="AE206" s="248">
        <v>0</v>
      </c>
      <c r="AF206" s="248">
        <v>0</v>
      </c>
      <c r="AG206" s="248">
        <v>0</v>
      </c>
      <c r="AH206" s="248">
        <v>0</v>
      </c>
      <c r="AI206" s="247">
        <f t="shared" si="3"/>
        <v>750</v>
      </c>
    </row>
    <row r="207" spans="1:35" x14ac:dyDescent="0.35">
      <c r="A207" s="246" t="s">
        <v>2343</v>
      </c>
      <c r="B207" s="250">
        <v>0</v>
      </c>
      <c r="C207" s="250">
        <v>0</v>
      </c>
      <c r="D207" s="250">
        <v>0</v>
      </c>
      <c r="E207" s="250">
        <v>0</v>
      </c>
      <c r="F207" s="250">
        <v>0</v>
      </c>
      <c r="G207" s="250">
        <v>0</v>
      </c>
      <c r="H207" s="250">
        <v>0</v>
      </c>
      <c r="I207" s="250">
        <v>0</v>
      </c>
      <c r="J207" s="250">
        <v>0</v>
      </c>
      <c r="K207" s="250">
        <v>0</v>
      </c>
      <c r="L207" s="250">
        <v>0</v>
      </c>
      <c r="M207" s="250">
        <v>0</v>
      </c>
      <c r="N207" s="250">
        <v>0</v>
      </c>
      <c r="O207" s="250">
        <v>0</v>
      </c>
      <c r="P207" s="250">
        <v>0</v>
      </c>
      <c r="Q207" s="250">
        <v>0</v>
      </c>
      <c r="R207" s="250">
        <v>0</v>
      </c>
      <c r="S207" s="250">
        <v>0</v>
      </c>
      <c r="T207" s="250">
        <v>0</v>
      </c>
      <c r="U207" s="250">
        <v>0</v>
      </c>
      <c r="V207" s="250">
        <v>0</v>
      </c>
      <c r="W207" s="250">
        <v>0</v>
      </c>
      <c r="X207" s="250">
        <v>0</v>
      </c>
      <c r="Y207" s="250">
        <v>0</v>
      </c>
      <c r="Z207" s="250">
        <v>0</v>
      </c>
      <c r="AA207" s="250">
        <v>750</v>
      </c>
      <c r="AB207" s="250">
        <v>0</v>
      </c>
      <c r="AC207" s="250">
        <v>0</v>
      </c>
      <c r="AD207" s="250">
        <v>0</v>
      </c>
      <c r="AE207" s="251">
        <v>0</v>
      </c>
      <c r="AF207" s="251">
        <v>0</v>
      </c>
      <c r="AG207" s="251">
        <v>0</v>
      </c>
      <c r="AH207" s="251">
        <v>0</v>
      </c>
      <c r="AI207" s="250">
        <f t="shared" si="3"/>
        <v>750</v>
      </c>
    </row>
    <row r="208" spans="1:35" x14ac:dyDescent="0.35">
      <c r="A208" s="246" t="s">
        <v>2310</v>
      </c>
      <c r="B208" s="250">
        <v>0</v>
      </c>
      <c r="C208" s="250">
        <v>0</v>
      </c>
      <c r="D208" s="250">
        <v>0</v>
      </c>
      <c r="E208" s="250">
        <v>0</v>
      </c>
      <c r="F208" s="250">
        <v>0</v>
      </c>
      <c r="G208" s="250">
        <v>0</v>
      </c>
      <c r="H208" s="250">
        <v>0</v>
      </c>
      <c r="I208" s="250">
        <v>0</v>
      </c>
      <c r="J208" s="250">
        <v>0</v>
      </c>
      <c r="K208" s="250">
        <v>0</v>
      </c>
      <c r="L208" s="250">
        <v>0</v>
      </c>
      <c r="M208" s="250">
        <v>0</v>
      </c>
      <c r="N208" s="250">
        <v>0</v>
      </c>
      <c r="O208" s="250">
        <v>0</v>
      </c>
      <c r="P208" s="250">
        <v>0</v>
      </c>
      <c r="Q208" s="250">
        <v>0</v>
      </c>
      <c r="R208" s="250">
        <v>0</v>
      </c>
      <c r="S208" s="250">
        <v>0</v>
      </c>
      <c r="T208" s="250">
        <v>0</v>
      </c>
      <c r="U208" s="250">
        <v>0</v>
      </c>
      <c r="V208" s="250">
        <v>0</v>
      </c>
      <c r="W208" s="250">
        <v>0</v>
      </c>
      <c r="X208" s="250">
        <v>0</v>
      </c>
      <c r="Y208" s="247">
        <v>0</v>
      </c>
      <c r="Z208" s="250">
        <v>0</v>
      </c>
      <c r="AA208" s="250">
        <v>750</v>
      </c>
      <c r="AB208" s="250">
        <v>0</v>
      </c>
      <c r="AC208" s="250">
        <v>0</v>
      </c>
      <c r="AD208" s="250">
        <v>0</v>
      </c>
      <c r="AE208" s="251">
        <v>0</v>
      </c>
      <c r="AF208" s="251">
        <v>0</v>
      </c>
      <c r="AG208" s="251">
        <v>0</v>
      </c>
      <c r="AH208" s="251">
        <v>0</v>
      </c>
      <c r="AI208" s="250">
        <f t="shared" si="3"/>
        <v>750</v>
      </c>
    </row>
    <row r="209" spans="1:35" x14ac:dyDescent="0.35">
      <c r="A209" s="246" t="s">
        <v>586</v>
      </c>
      <c r="B209" s="247">
        <v>0</v>
      </c>
      <c r="C209" s="247">
        <v>0</v>
      </c>
      <c r="D209" s="247">
        <v>350</v>
      </c>
      <c r="E209" s="247">
        <v>0</v>
      </c>
      <c r="F209" s="247">
        <v>0</v>
      </c>
      <c r="G209" s="247">
        <v>0</v>
      </c>
      <c r="H209" s="247">
        <v>0</v>
      </c>
      <c r="I209" s="247">
        <v>0</v>
      </c>
      <c r="J209" s="247">
        <v>0</v>
      </c>
      <c r="K209" s="247">
        <v>0</v>
      </c>
      <c r="L209" s="247">
        <v>0</v>
      </c>
      <c r="M209" s="247">
        <v>0</v>
      </c>
      <c r="N209" s="247">
        <v>0</v>
      </c>
      <c r="O209" s="247">
        <v>0</v>
      </c>
      <c r="P209" s="247">
        <v>0</v>
      </c>
      <c r="Q209" s="247">
        <v>0</v>
      </c>
      <c r="R209" s="247">
        <v>0</v>
      </c>
      <c r="S209" s="247">
        <v>0</v>
      </c>
      <c r="T209" s="247">
        <v>0</v>
      </c>
      <c r="U209" s="247">
        <v>0</v>
      </c>
      <c r="V209" s="247">
        <v>0</v>
      </c>
      <c r="W209" s="247">
        <v>0</v>
      </c>
      <c r="X209" s="247">
        <v>0</v>
      </c>
      <c r="Y209" s="247">
        <v>0</v>
      </c>
      <c r="Z209" s="247">
        <v>0</v>
      </c>
      <c r="AA209" s="247">
        <v>0</v>
      </c>
      <c r="AB209" s="247">
        <v>0</v>
      </c>
      <c r="AC209" s="247">
        <v>0</v>
      </c>
      <c r="AD209" s="247">
        <v>0</v>
      </c>
      <c r="AE209" s="248">
        <v>0</v>
      </c>
      <c r="AF209" s="248">
        <v>0</v>
      </c>
      <c r="AG209" s="248">
        <v>350</v>
      </c>
      <c r="AH209" s="248">
        <v>0</v>
      </c>
      <c r="AI209" s="247">
        <f t="shared" si="3"/>
        <v>700</v>
      </c>
    </row>
    <row r="210" spans="1:35" x14ac:dyDescent="0.35">
      <c r="A210" s="5" t="s">
        <v>684</v>
      </c>
      <c r="B210" s="250">
        <v>0</v>
      </c>
      <c r="C210" s="250">
        <v>0</v>
      </c>
      <c r="D210" s="250">
        <v>0</v>
      </c>
      <c r="E210" s="250">
        <v>0</v>
      </c>
      <c r="F210" s="250">
        <v>350</v>
      </c>
      <c r="G210" s="250">
        <v>0</v>
      </c>
      <c r="H210" s="250">
        <v>0</v>
      </c>
      <c r="I210" s="250">
        <v>0</v>
      </c>
      <c r="J210" s="250">
        <v>0</v>
      </c>
      <c r="K210" s="250">
        <v>0</v>
      </c>
      <c r="L210" s="250">
        <v>0</v>
      </c>
      <c r="M210" s="250">
        <v>0</v>
      </c>
      <c r="N210" s="250">
        <v>0</v>
      </c>
      <c r="O210" s="250">
        <v>0</v>
      </c>
      <c r="P210" s="250">
        <v>0</v>
      </c>
      <c r="Q210" s="250">
        <v>0</v>
      </c>
      <c r="R210" s="250">
        <v>0</v>
      </c>
      <c r="S210" s="250">
        <v>0</v>
      </c>
      <c r="T210" s="250">
        <v>0</v>
      </c>
      <c r="U210" s="250">
        <v>0</v>
      </c>
      <c r="V210" s="250">
        <v>0</v>
      </c>
      <c r="W210" s="250">
        <v>0</v>
      </c>
      <c r="X210" s="250">
        <v>0</v>
      </c>
      <c r="Y210" s="250">
        <v>0</v>
      </c>
      <c r="Z210" s="250">
        <v>0</v>
      </c>
      <c r="AA210" s="250">
        <v>0</v>
      </c>
      <c r="AB210" s="250">
        <v>0</v>
      </c>
      <c r="AC210" s="250">
        <v>0</v>
      </c>
      <c r="AD210" s="250">
        <v>0</v>
      </c>
      <c r="AE210" s="251">
        <v>0</v>
      </c>
      <c r="AF210" s="251">
        <v>0</v>
      </c>
      <c r="AG210" s="251">
        <v>350</v>
      </c>
      <c r="AH210" s="251">
        <v>0</v>
      </c>
      <c r="AI210" s="250">
        <f t="shared" si="3"/>
        <v>700</v>
      </c>
    </row>
    <row r="211" spans="1:35" x14ac:dyDescent="0.35">
      <c r="A211" s="246" t="s">
        <v>2589</v>
      </c>
      <c r="B211" s="247">
        <v>0</v>
      </c>
      <c r="C211" s="247">
        <v>0</v>
      </c>
      <c r="D211" s="247">
        <v>0</v>
      </c>
      <c r="E211" s="247">
        <v>0</v>
      </c>
      <c r="F211" s="247">
        <v>0</v>
      </c>
      <c r="G211" s="247">
        <v>500</v>
      </c>
      <c r="H211" s="247">
        <v>0</v>
      </c>
      <c r="I211" s="247">
        <v>0</v>
      </c>
      <c r="J211" s="247">
        <v>0</v>
      </c>
      <c r="K211" s="247">
        <v>0</v>
      </c>
      <c r="L211" s="247">
        <v>0</v>
      </c>
      <c r="M211" s="247">
        <v>0</v>
      </c>
      <c r="N211" s="247">
        <v>0</v>
      </c>
      <c r="O211" s="247">
        <v>0</v>
      </c>
      <c r="P211" s="247">
        <v>0</v>
      </c>
      <c r="Q211" s="247">
        <v>0</v>
      </c>
      <c r="R211" s="247">
        <v>0</v>
      </c>
      <c r="S211" s="247">
        <v>0</v>
      </c>
      <c r="T211" s="247">
        <v>0</v>
      </c>
      <c r="U211" s="247">
        <v>0</v>
      </c>
      <c r="V211" s="247">
        <v>0</v>
      </c>
      <c r="W211" s="247">
        <v>0</v>
      </c>
      <c r="X211" s="247">
        <v>0</v>
      </c>
      <c r="Y211" s="247">
        <v>0</v>
      </c>
      <c r="Z211" s="247">
        <v>0</v>
      </c>
      <c r="AA211" s="247">
        <v>0</v>
      </c>
      <c r="AB211" s="247">
        <v>0</v>
      </c>
      <c r="AC211" s="247">
        <v>0</v>
      </c>
      <c r="AD211" s="247">
        <v>0</v>
      </c>
      <c r="AE211" s="248">
        <v>0</v>
      </c>
      <c r="AF211" s="248">
        <v>0</v>
      </c>
      <c r="AG211" s="248">
        <v>0</v>
      </c>
      <c r="AH211" s="248">
        <v>0</v>
      </c>
      <c r="AI211" s="247">
        <f t="shared" si="3"/>
        <v>500</v>
      </c>
    </row>
    <row r="212" spans="1:35" x14ac:dyDescent="0.35">
      <c r="A212" s="5" t="s">
        <v>2605</v>
      </c>
      <c r="B212" s="250">
        <v>0</v>
      </c>
      <c r="C212" s="250">
        <v>0</v>
      </c>
      <c r="D212" s="250">
        <v>0</v>
      </c>
      <c r="E212" s="250">
        <v>0</v>
      </c>
      <c r="F212" s="250">
        <v>0</v>
      </c>
      <c r="G212" s="250">
        <v>0</v>
      </c>
      <c r="H212" s="250">
        <v>0</v>
      </c>
      <c r="I212" s="250">
        <v>0</v>
      </c>
      <c r="J212" s="250">
        <v>0</v>
      </c>
      <c r="K212" s="250">
        <v>0</v>
      </c>
      <c r="L212" s="250">
        <v>0</v>
      </c>
      <c r="M212" s="250">
        <v>0</v>
      </c>
      <c r="N212" s="250">
        <v>0</v>
      </c>
      <c r="O212" s="250">
        <v>0</v>
      </c>
      <c r="P212" s="250">
        <v>0</v>
      </c>
      <c r="Q212" s="250">
        <v>0</v>
      </c>
      <c r="R212" s="250">
        <v>0</v>
      </c>
      <c r="S212" s="250">
        <v>0</v>
      </c>
      <c r="T212" s="250">
        <v>0</v>
      </c>
      <c r="U212" s="250">
        <v>0</v>
      </c>
      <c r="V212" s="250">
        <v>0</v>
      </c>
      <c r="W212" s="250">
        <v>0</v>
      </c>
      <c r="X212" s="250">
        <v>0</v>
      </c>
      <c r="Y212" s="250">
        <v>0</v>
      </c>
      <c r="Z212" s="250">
        <v>0</v>
      </c>
      <c r="AA212" s="250">
        <v>0</v>
      </c>
      <c r="AB212" s="250">
        <v>0</v>
      </c>
      <c r="AC212" s="250">
        <v>0</v>
      </c>
      <c r="AD212" s="250">
        <v>0</v>
      </c>
      <c r="AE212" s="251">
        <v>0</v>
      </c>
      <c r="AF212" s="251">
        <v>0</v>
      </c>
      <c r="AG212" s="251">
        <v>430</v>
      </c>
      <c r="AH212" s="251">
        <v>0</v>
      </c>
      <c r="AI212" s="250">
        <f t="shared" si="3"/>
        <v>430</v>
      </c>
    </row>
    <row r="213" spans="1:35" x14ac:dyDescent="0.35">
      <c r="A213" s="246" t="s">
        <v>2588</v>
      </c>
      <c r="B213" s="247">
        <v>0</v>
      </c>
      <c r="C213" s="247">
        <v>0</v>
      </c>
      <c r="D213" s="247">
        <v>0</v>
      </c>
      <c r="E213" s="247">
        <v>0</v>
      </c>
      <c r="F213" s="247">
        <v>0</v>
      </c>
      <c r="G213" s="247">
        <v>0</v>
      </c>
      <c r="H213" s="247">
        <v>0</v>
      </c>
      <c r="I213" s="247">
        <v>0</v>
      </c>
      <c r="J213" s="247">
        <v>0</v>
      </c>
      <c r="K213" s="247">
        <v>0</v>
      </c>
      <c r="L213" s="247">
        <v>0</v>
      </c>
      <c r="M213" s="247">
        <v>0</v>
      </c>
      <c r="N213" s="247">
        <v>0</v>
      </c>
      <c r="O213" s="247">
        <v>0</v>
      </c>
      <c r="P213" s="247">
        <v>0</v>
      </c>
      <c r="Q213" s="247">
        <v>0</v>
      </c>
      <c r="R213" s="247">
        <v>0</v>
      </c>
      <c r="S213" s="247">
        <v>0</v>
      </c>
      <c r="T213" s="247">
        <v>0</v>
      </c>
      <c r="U213" s="247">
        <v>0</v>
      </c>
      <c r="V213" s="247">
        <v>0</v>
      </c>
      <c r="W213" s="247">
        <v>0</v>
      </c>
      <c r="X213" s="247">
        <v>0</v>
      </c>
      <c r="Y213" s="247">
        <v>0</v>
      </c>
      <c r="Z213" s="247">
        <v>0</v>
      </c>
      <c r="AA213" s="247">
        <v>0</v>
      </c>
      <c r="AB213" s="247">
        <v>0</v>
      </c>
      <c r="AC213" s="247">
        <v>0</v>
      </c>
      <c r="AD213" s="247">
        <v>0</v>
      </c>
      <c r="AE213" s="248">
        <v>0</v>
      </c>
      <c r="AF213" s="248">
        <v>0</v>
      </c>
      <c r="AG213" s="248">
        <v>350</v>
      </c>
      <c r="AH213" s="248">
        <v>0</v>
      </c>
      <c r="AI213" s="247">
        <f t="shared" si="3"/>
        <v>350</v>
      </c>
    </row>
    <row r="214" spans="1:35" x14ac:dyDescent="0.35">
      <c r="A214" s="246" t="s">
        <v>2595</v>
      </c>
      <c r="B214" s="250">
        <v>0</v>
      </c>
      <c r="C214" s="250">
        <v>0</v>
      </c>
      <c r="D214" s="250">
        <v>0</v>
      </c>
      <c r="E214" s="250">
        <v>0</v>
      </c>
      <c r="F214" s="250">
        <v>350</v>
      </c>
      <c r="G214" s="250">
        <v>0</v>
      </c>
      <c r="H214" s="250">
        <v>0</v>
      </c>
      <c r="I214" s="250">
        <v>0</v>
      </c>
      <c r="J214" s="250">
        <v>0</v>
      </c>
      <c r="K214" s="250">
        <v>0</v>
      </c>
      <c r="L214" s="250">
        <v>0</v>
      </c>
      <c r="M214" s="250">
        <v>0</v>
      </c>
      <c r="N214" s="250">
        <v>0</v>
      </c>
      <c r="O214" s="250">
        <v>0</v>
      </c>
      <c r="P214" s="250">
        <v>0</v>
      </c>
      <c r="Q214" s="250">
        <v>0</v>
      </c>
      <c r="R214" s="250">
        <v>0</v>
      </c>
      <c r="S214" s="250">
        <v>0</v>
      </c>
      <c r="T214" s="250">
        <v>0</v>
      </c>
      <c r="U214" s="250">
        <v>0</v>
      </c>
      <c r="V214" s="250">
        <v>0</v>
      </c>
      <c r="W214" s="250">
        <v>0</v>
      </c>
      <c r="X214" s="250">
        <v>0</v>
      </c>
      <c r="Y214" s="250">
        <v>0</v>
      </c>
      <c r="Z214" s="250">
        <v>0</v>
      </c>
      <c r="AA214" s="250">
        <v>0</v>
      </c>
      <c r="AB214" s="250">
        <v>0</v>
      </c>
      <c r="AC214" s="250">
        <v>0</v>
      </c>
      <c r="AD214" s="250">
        <v>0</v>
      </c>
      <c r="AE214" s="251">
        <v>0</v>
      </c>
      <c r="AF214" s="251">
        <v>0</v>
      </c>
      <c r="AG214" s="251">
        <v>0</v>
      </c>
      <c r="AH214" s="251">
        <v>0</v>
      </c>
      <c r="AI214" s="250">
        <f t="shared" si="3"/>
        <v>350</v>
      </c>
    </row>
    <row r="215" spans="1:35" x14ac:dyDescent="0.35">
      <c r="A215" s="5" t="s">
        <v>1404</v>
      </c>
      <c r="B215" s="250">
        <v>0</v>
      </c>
      <c r="C215" s="250">
        <v>0</v>
      </c>
      <c r="D215" s="250">
        <v>0</v>
      </c>
      <c r="E215" s="250">
        <v>0</v>
      </c>
      <c r="F215" s="250">
        <v>0</v>
      </c>
      <c r="G215" s="250">
        <v>0</v>
      </c>
      <c r="H215" s="250">
        <v>0</v>
      </c>
      <c r="I215" s="250">
        <v>0</v>
      </c>
      <c r="J215" s="250">
        <v>0</v>
      </c>
      <c r="K215" s="250">
        <v>0</v>
      </c>
      <c r="L215" s="250">
        <v>0</v>
      </c>
      <c r="M215" s="250">
        <v>0</v>
      </c>
      <c r="N215" s="250">
        <v>0</v>
      </c>
      <c r="O215" s="250">
        <v>0</v>
      </c>
      <c r="P215" s="250">
        <v>0</v>
      </c>
      <c r="Q215" s="250">
        <v>0</v>
      </c>
      <c r="R215" s="250">
        <v>0</v>
      </c>
      <c r="S215" s="250">
        <v>0</v>
      </c>
      <c r="T215" s="250">
        <v>0</v>
      </c>
      <c r="U215" s="250">
        <v>0</v>
      </c>
      <c r="V215" s="250">
        <v>0</v>
      </c>
      <c r="W215" s="250">
        <v>0</v>
      </c>
      <c r="X215" s="250">
        <v>0</v>
      </c>
      <c r="Y215" s="250">
        <v>0</v>
      </c>
      <c r="Z215" s="250">
        <v>0</v>
      </c>
      <c r="AA215" s="250">
        <v>0</v>
      </c>
      <c r="AB215" s="250">
        <v>0</v>
      </c>
      <c r="AC215" s="250">
        <v>0</v>
      </c>
      <c r="AD215" s="250">
        <v>0</v>
      </c>
      <c r="AE215" s="251">
        <v>0</v>
      </c>
      <c r="AF215" s="251">
        <v>0</v>
      </c>
      <c r="AG215" s="251">
        <v>350</v>
      </c>
      <c r="AH215" s="251">
        <v>0</v>
      </c>
      <c r="AI215" s="250">
        <f t="shared" si="3"/>
        <v>350</v>
      </c>
    </row>
    <row r="216" spans="1:35" x14ac:dyDescent="0.35">
      <c r="A216" s="5" t="s">
        <v>1312</v>
      </c>
      <c r="B216" s="250">
        <v>0</v>
      </c>
      <c r="C216" s="250">
        <v>0</v>
      </c>
      <c r="D216" s="250">
        <v>0</v>
      </c>
      <c r="E216" s="250">
        <v>0</v>
      </c>
      <c r="F216" s="250">
        <v>0</v>
      </c>
      <c r="G216" s="250">
        <v>0</v>
      </c>
      <c r="H216" s="250">
        <v>0</v>
      </c>
      <c r="I216" s="250">
        <v>0</v>
      </c>
      <c r="J216" s="250">
        <v>0</v>
      </c>
      <c r="K216" s="250">
        <v>0</v>
      </c>
      <c r="L216" s="250">
        <v>0</v>
      </c>
      <c r="M216" s="250">
        <v>0</v>
      </c>
      <c r="N216" s="250">
        <v>0</v>
      </c>
      <c r="O216" s="250">
        <v>0</v>
      </c>
      <c r="P216" s="250">
        <v>0</v>
      </c>
      <c r="Q216" s="250">
        <v>0</v>
      </c>
      <c r="R216" s="250">
        <v>0</v>
      </c>
      <c r="S216" s="250">
        <v>0</v>
      </c>
      <c r="T216" s="250">
        <v>0</v>
      </c>
      <c r="U216" s="250">
        <v>0</v>
      </c>
      <c r="V216" s="250">
        <v>0</v>
      </c>
      <c r="W216" s="250">
        <v>0</v>
      </c>
      <c r="X216" s="250">
        <v>0</v>
      </c>
      <c r="Y216" s="250">
        <v>0</v>
      </c>
      <c r="Z216" s="250">
        <v>0</v>
      </c>
      <c r="AA216" s="250">
        <v>0</v>
      </c>
      <c r="AB216" s="250">
        <v>0</v>
      </c>
      <c r="AC216" s="250">
        <v>0</v>
      </c>
      <c r="AD216" s="250">
        <v>0</v>
      </c>
      <c r="AE216" s="251">
        <v>0</v>
      </c>
      <c r="AF216" s="251">
        <v>0</v>
      </c>
      <c r="AG216" s="251">
        <v>350</v>
      </c>
      <c r="AH216" s="251">
        <v>0</v>
      </c>
      <c r="AI216" s="250">
        <f t="shared" si="3"/>
        <v>350</v>
      </c>
    </row>
    <row r="217" spans="1:35" x14ac:dyDescent="0.35">
      <c r="A217" s="5" t="s">
        <v>1836</v>
      </c>
      <c r="B217" s="250">
        <v>0</v>
      </c>
      <c r="C217" s="250">
        <v>0</v>
      </c>
      <c r="D217" s="250">
        <v>0</v>
      </c>
      <c r="E217" s="250">
        <v>0</v>
      </c>
      <c r="F217" s="250">
        <v>0</v>
      </c>
      <c r="G217" s="250">
        <v>0</v>
      </c>
      <c r="H217" s="250">
        <v>0</v>
      </c>
      <c r="I217" s="250">
        <v>0</v>
      </c>
      <c r="J217" s="250">
        <v>0</v>
      </c>
      <c r="K217" s="250">
        <v>0</v>
      </c>
      <c r="L217" s="250">
        <v>0</v>
      </c>
      <c r="M217" s="250">
        <v>0</v>
      </c>
      <c r="N217" s="250">
        <v>0</v>
      </c>
      <c r="O217" s="250">
        <v>0</v>
      </c>
      <c r="P217" s="250">
        <v>0</v>
      </c>
      <c r="Q217" s="250">
        <v>0</v>
      </c>
      <c r="R217" s="250">
        <v>0</v>
      </c>
      <c r="S217" s="250">
        <v>0</v>
      </c>
      <c r="T217" s="250">
        <v>0</v>
      </c>
      <c r="U217" s="250">
        <v>0</v>
      </c>
      <c r="V217" s="250">
        <v>0</v>
      </c>
      <c r="W217" s="250">
        <v>0</v>
      </c>
      <c r="X217" s="250">
        <v>0</v>
      </c>
      <c r="Y217" s="250">
        <v>0</v>
      </c>
      <c r="Z217" s="250">
        <v>0</v>
      </c>
      <c r="AA217" s="250">
        <v>0</v>
      </c>
      <c r="AB217" s="250">
        <v>0</v>
      </c>
      <c r="AC217" s="250">
        <v>0</v>
      </c>
      <c r="AD217" s="250">
        <v>0</v>
      </c>
      <c r="AE217" s="251">
        <v>0</v>
      </c>
      <c r="AF217" s="251">
        <v>0</v>
      </c>
      <c r="AG217" s="251">
        <v>0</v>
      </c>
      <c r="AH217" s="251">
        <v>0</v>
      </c>
      <c r="AI217" s="250">
        <f t="shared" si="3"/>
        <v>0</v>
      </c>
    </row>
    <row r="218" spans="1:35" x14ac:dyDescent="0.35">
      <c r="A218" s="5" t="s">
        <v>1838</v>
      </c>
      <c r="B218" s="250">
        <v>0</v>
      </c>
      <c r="C218" s="250">
        <v>0</v>
      </c>
      <c r="D218" s="250">
        <v>0</v>
      </c>
      <c r="E218" s="250">
        <v>0</v>
      </c>
      <c r="F218" s="250">
        <v>0</v>
      </c>
      <c r="G218" s="250">
        <v>0</v>
      </c>
      <c r="H218" s="250">
        <v>0</v>
      </c>
      <c r="I218" s="250">
        <v>0</v>
      </c>
      <c r="J218" s="250">
        <v>0</v>
      </c>
      <c r="K218" s="250">
        <v>0</v>
      </c>
      <c r="L218" s="250">
        <v>0</v>
      </c>
      <c r="M218" s="250">
        <v>0</v>
      </c>
      <c r="N218" s="250">
        <v>0</v>
      </c>
      <c r="O218" s="250">
        <v>0</v>
      </c>
      <c r="P218" s="250">
        <v>0</v>
      </c>
      <c r="Q218" s="250">
        <v>0</v>
      </c>
      <c r="R218" s="250">
        <v>0</v>
      </c>
      <c r="S218" s="250">
        <v>0</v>
      </c>
      <c r="T218" s="250">
        <v>0</v>
      </c>
      <c r="U218" s="250">
        <v>0</v>
      </c>
      <c r="V218" s="250">
        <v>0</v>
      </c>
      <c r="W218" s="250">
        <v>0</v>
      </c>
      <c r="X218" s="250">
        <v>0</v>
      </c>
      <c r="Y218" s="250">
        <v>0</v>
      </c>
      <c r="Z218" s="250">
        <v>0</v>
      </c>
      <c r="AA218" s="250">
        <v>0</v>
      </c>
      <c r="AB218" s="250">
        <v>0</v>
      </c>
      <c r="AC218" s="250">
        <v>0</v>
      </c>
      <c r="AD218" s="250">
        <v>0</v>
      </c>
      <c r="AE218" s="251">
        <v>0</v>
      </c>
      <c r="AF218" s="251">
        <v>0</v>
      </c>
      <c r="AG218" s="251">
        <v>0</v>
      </c>
      <c r="AH218" s="251">
        <v>0</v>
      </c>
      <c r="AI218" s="250">
        <f t="shared" si="3"/>
        <v>0</v>
      </c>
    </row>
    <row r="219" spans="1:35" x14ac:dyDescent="0.35">
      <c r="A219" s="5" t="s">
        <v>2606</v>
      </c>
      <c r="B219" s="250">
        <v>0</v>
      </c>
      <c r="C219" s="250">
        <v>0</v>
      </c>
      <c r="D219" s="250">
        <v>0</v>
      </c>
      <c r="E219" s="250">
        <v>0</v>
      </c>
      <c r="F219" s="250">
        <v>0</v>
      </c>
      <c r="G219" s="250">
        <v>0</v>
      </c>
      <c r="H219" s="250">
        <v>0</v>
      </c>
      <c r="I219" s="250">
        <v>0</v>
      </c>
      <c r="J219" s="250">
        <v>0</v>
      </c>
      <c r="K219" s="250">
        <v>0</v>
      </c>
      <c r="L219" s="250">
        <v>0</v>
      </c>
      <c r="M219" s="250">
        <v>0</v>
      </c>
      <c r="N219" s="250">
        <v>0</v>
      </c>
      <c r="O219" s="250">
        <v>0</v>
      </c>
      <c r="P219" s="250">
        <v>0</v>
      </c>
      <c r="Q219" s="250">
        <v>0</v>
      </c>
      <c r="R219" s="250">
        <v>0</v>
      </c>
      <c r="S219" s="250">
        <v>0</v>
      </c>
      <c r="T219" s="250">
        <v>0</v>
      </c>
      <c r="U219" s="250">
        <v>0</v>
      </c>
      <c r="V219" s="250">
        <v>0</v>
      </c>
      <c r="W219" s="250">
        <v>0</v>
      </c>
      <c r="X219" s="250">
        <v>0</v>
      </c>
      <c r="Y219" s="250">
        <v>0</v>
      </c>
      <c r="Z219" s="250">
        <v>0</v>
      </c>
      <c r="AA219" s="250">
        <v>0</v>
      </c>
      <c r="AB219" s="250">
        <v>0</v>
      </c>
      <c r="AC219" s="250">
        <v>0</v>
      </c>
      <c r="AD219" s="250">
        <v>0</v>
      </c>
      <c r="AE219" s="251">
        <v>0</v>
      </c>
      <c r="AF219" s="251">
        <v>0</v>
      </c>
      <c r="AG219" s="251">
        <v>0</v>
      </c>
      <c r="AH219" s="251">
        <v>0</v>
      </c>
      <c r="AI219" s="250">
        <f t="shared" si="3"/>
        <v>0</v>
      </c>
    </row>
    <row r="220" spans="1:35" x14ac:dyDescent="0.35">
      <c r="A220" s="38" t="s">
        <v>1186</v>
      </c>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c r="AA220" s="250"/>
      <c r="AB220" s="250"/>
      <c r="AC220" s="250"/>
      <c r="AD220" s="250"/>
      <c r="AE220" s="251"/>
      <c r="AF220" s="251"/>
      <c r="AG220" s="251"/>
      <c r="AH220" s="251"/>
      <c r="AI220" s="250"/>
    </row>
    <row r="221" spans="1:35" x14ac:dyDescent="0.35">
      <c r="A221" s="5" t="s">
        <v>1304</v>
      </c>
      <c r="B221" s="250">
        <v>0</v>
      </c>
      <c r="C221" s="250">
        <v>0</v>
      </c>
      <c r="D221" s="250">
        <v>0</v>
      </c>
      <c r="E221" s="250">
        <v>0</v>
      </c>
      <c r="F221" s="250">
        <v>0</v>
      </c>
      <c r="G221" s="250">
        <v>0</v>
      </c>
      <c r="H221" s="250">
        <v>0</v>
      </c>
      <c r="I221" s="250">
        <v>0</v>
      </c>
      <c r="J221" s="250">
        <v>0</v>
      </c>
      <c r="K221" s="250">
        <v>0</v>
      </c>
      <c r="L221" s="250">
        <v>0</v>
      </c>
      <c r="M221" s="250">
        <v>0</v>
      </c>
      <c r="N221" s="250">
        <v>0</v>
      </c>
      <c r="O221" s="250">
        <v>0</v>
      </c>
      <c r="P221" s="250">
        <v>0</v>
      </c>
      <c r="Q221" s="250">
        <v>0</v>
      </c>
      <c r="R221" s="250">
        <v>0</v>
      </c>
      <c r="S221" s="250">
        <v>0</v>
      </c>
      <c r="T221" s="250">
        <v>0</v>
      </c>
      <c r="U221" s="250">
        <v>0</v>
      </c>
      <c r="V221" s="250">
        <v>0</v>
      </c>
      <c r="W221" s="250">
        <v>0</v>
      </c>
      <c r="X221" s="250">
        <v>0</v>
      </c>
      <c r="Y221" s="250">
        <v>0</v>
      </c>
      <c r="Z221" s="250">
        <v>0</v>
      </c>
      <c r="AA221" s="250">
        <v>0</v>
      </c>
      <c r="AB221" s="250">
        <v>0</v>
      </c>
      <c r="AC221" s="250">
        <v>0</v>
      </c>
      <c r="AD221" s="250">
        <v>255</v>
      </c>
      <c r="AE221" s="251">
        <v>0</v>
      </c>
      <c r="AF221" s="251">
        <v>0</v>
      </c>
      <c r="AG221" s="251"/>
      <c r="AH221" s="251"/>
      <c r="AI221" s="250"/>
    </row>
    <row r="222" spans="1:35" x14ac:dyDescent="0.35">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c r="AA222" s="250"/>
      <c r="AB222" s="250"/>
      <c r="AC222" s="250"/>
      <c r="AD222" s="250"/>
      <c r="AE222" s="251"/>
      <c r="AF222" s="251"/>
      <c r="AG222" s="251"/>
      <c r="AH222" s="251"/>
      <c r="AI222" s="250"/>
    </row>
    <row r="223" spans="1:35" x14ac:dyDescent="0.35">
      <c r="B223" s="250"/>
      <c r="C223" s="250"/>
      <c r="D223" s="250"/>
      <c r="E223" s="250"/>
      <c r="F223" s="250"/>
      <c r="G223" s="250"/>
      <c r="H223" s="250"/>
      <c r="I223" s="250"/>
      <c r="J223" s="250"/>
      <c r="K223" s="250"/>
      <c r="L223" s="250"/>
      <c r="M223" s="250"/>
      <c r="N223" s="250"/>
      <c r="O223" s="250"/>
      <c r="P223" s="250"/>
      <c r="Q223" s="250"/>
      <c r="R223" s="250"/>
      <c r="S223" s="250"/>
      <c r="T223" s="250"/>
      <c r="U223" s="250"/>
      <c r="V223" s="250"/>
      <c r="W223" s="250"/>
      <c r="X223" s="250"/>
      <c r="Y223" s="250"/>
      <c r="Z223" s="250"/>
      <c r="AA223" s="250"/>
      <c r="AB223" s="250"/>
      <c r="AC223" s="250"/>
      <c r="AD223" s="250"/>
      <c r="AE223" s="251"/>
      <c r="AF223" s="251"/>
      <c r="AG223" s="251"/>
      <c r="AH223" s="251"/>
      <c r="AI223" s="250"/>
    </row>
    <row r="224" spans="1:35" x14ac:dyDescent="0.35">
      <c r="B224" s="250"/>
      <c r="C224" s="250"/>
      <c r="D224" s="250"/>
      <c r="E224" s="250"/>
      <c r="F224" s="250"/>
      <c r="G224" s="250"/>
      <c r="H224" s="250"/>
      <c r="I224" s="250"/>
      <c r="J224" s="250"/>
      <c r="K224" s="250"/>
      <c r="L224" s="250"/>
      <c r="M224" s="250"/>
      <c r="N224" s="250"/>
      <c r="O224" s="250"/>
      <c r="P224" s="250"/>
      <c r="Q224" s="250"/>
      <c r="R224" s="250"/>
      <c r="S224" s="250"/>
      <c r="T224" s="250"/>
      <c r="U224" s="250"/>
      <c r="V224" s="250"/>
      <c r="W224" s="250"/>
      <c r="X224" s="250"/>
      <c r="Y224" s="250"/>
      <c r="Z224" s="250"/>
      <c r="AA224" s="250"/>
      <c r="AB224" s="250"/>
      <c r="AC224" s="250"/>
      <c r="AD224" s="250"/>
      <c r="AE224" s="251"/>
      <c r="AF224" s="251"/>
      <c r="AG224" s="251"/>
      <c r="AH224" s="251"/>
      <c r="AI224" s="250"/>
    </row>
    <row r="225" spans="2:35" x14ac:dyDescent="0.35">
      <c r="B225" s="250"/>
      <c r="C225" s="250"/>
      <c r="D225" s="250"/>
      <c r="E225" s="250"/>
      <c r="F225" s="250"/>
      <c r="G225" s="250"/>
      <c r="H225" s="250"/>
      <c r="I225" s="250"/>
      <c r="J225" s="250"/>
      <c r="K225" s="250"/>
      <c r="L225" s="250"/>
      <c r="M225" s="250"/>
      <c r="N225" s="250"/>
      <c r="O225" s="250"/>
      <c r="P225" s="250"/>
      <c r="Q225" s="250"/>
      <c r="R225" s="250"/>
      <c r="S225" s="250"/>
      <c r="T225" s="250"/>
      <c r="U225" s="250"/>
      <c r="V225" s="250"/>
      <c r="W225" s="250"/>
      <c r="X225" s="250"/>
      <c r="Y225" s="250"/>
      <c r="Z225" s="250"/>
      <c r="AA225" s="250"/>
      <c r="AB225" s="250"/>
      <c r="AC225" s="250"/>
      <c r="AD225" s="250"/>
      <c r="AE225" s="251"/>
      <c r="AF225" s="251"/>
      <c r="AG225" s="251"/>
      <c r="AH225" s="251"/>
      <c r="AI225" s="250"/>
    </row>
    <row r="226" spans="2:35" x14ac:dyDescent="0.35">
      <c r="B226" s="250"/>
      <c r="C226" s="250"/>
      <c r="D226" s="250"/>
      <c r="E226" s="250"/>
      <c r="F226" s="250"/>
      <c r="G226" s="250"/>
      <c r="H226" s="250"/>
      <c r="I226" s="250"/>
      <c r="J226" s="250"/>
      <c r="K226" s="250"/>
      <c r="L226" s="250"/>
      <c r="M226" s="250"/>
      <c r="N226" s="250"/>
      <c r="O226" s="250"/>
      <c r="P226" s="250"/>
      <c r="Q226" s="250"/>
      <c r="R226" s="250"/>
      <c r="S226" s="250"/>
      <c r="T226" s="250"/>
      <c r="U226" s="250"/>
      <c r="V226" s="250"/>
      <c r="W226" s="250"/>
      <c r="X226" s="250"/>
      <c r="Y226" s="250"/>
      <c r="Z226" s="250"/>
      <c r="AA226" s="250"/>
      <c r="AB226" s="250"/>
      <c r="AC226" s="250"/>
      <c r="AD226" s="250"/>
      <c r="AE226" s="251"/>
      <c r="AF226" s="251"/>
      <c r="AG226" s="251"/>
      <c r="AH226" s="251"/>
      <c r="AI226" s="250"/>
    </row>
    <row r="227" spans="2:35" x14ac:dyDescent="0.35">
      <c r="B227" s="250"/>
      <c r="C227" s="250"/>
      <c r="D227" s="250"/>
      <c r="E227" s="250"/>
      <c r="F227" s="250"/>
      <c r="G227" s="250"/>
      <c r="H227" s="250"/>
      <c r="I227" s="250"/>
      <c r="J227" s="250"/>
      <c r="K227" s="250"/>
      <c r="L227" s="250"/>
      <c r="M227" s="250"/>
      <c r="N227" s="250"/>
      <c r="O227" s="250"/>
      <c r="P227" s="250"/>
      <c r="Q227" s="250"/>
      <c r="R227" s="250"/>
      <c r="S227" s="250"/>
      <c r="T227" s="250"/>
      <c r="U227" s="250"/>
      <c r="V227" s="250"/>
      <c r="W227" s="250"/>
      <c r="X227" s="250"/>
      <c r="Y227" s="250"/>
      <c r="Z227" s="250"/>
      <c r="AA227" s="250"/>
      <c r="AB227" s="250"/>
      <c r="AC227" s="250"/>
      <c r="AD227" s="250"/>
      <c r="AE227" s="251"/>
      <c r="AF227" s="251"/>
      <c r="AG227" s="251"/>
      <c r="AH227" s="251"/>
      <c r="AI227" s="250"/>
    </row>
    <row r="228" spans="2:35" x14ac:dyDescent="0.35">
      <c r="B228" s="250"/>
      <c r="C228" s="250"/>
      <c r="D228" s="250"/>
      <c r="E228" s="250"/>
      <c r="F228" s="250"/>
      <c r="G228" s="250"/>
      <c r="H228" s="250"/>
      <c r="I228" s="250"/>
      <c r="J228" s="250"/>
      <c r="K228" s="250"/>
      <c r="L228" s="250"/>
      <c r="M228" s="250"/>
      <c r="N228" s="250"/>
      <c r="O228" s="250"/>
      <c r="P228" s="250"/>
      <c r="Q228" s="250"/>
      <c r="R228" s="250"/>
      <c r="S228" s="250"/>
      <c r="T228" s="250"/>
      <c r="U228" s="250"/>
      <c r="V228" s="250"/>
      <c r="W228" s="250"/>
      <c r="X228" s="250"/>
      <c r="Y228" s="250"/>
      <c r="Z228" s="250"/>
      <c r="AA228" s="250"/>
      <c r="AB228" s="250"/>
      <c r="AC228" s="250"/>
      <c r="AD228" s="250"/>
      <c r="AE228" s="251"/>
      <c r="AF228" s="251"/>
      <c r="AG228" s="251"/>
      <c r="AH228" s="251"/>
      <c r="AI228" s="250"/>
    </row>
    <row r="229" spans="2:35" x14ac:dyDescent="0.35">
      <c r="B229" s="250"/>
      <c r="C229" s="250"/>
      <c r="D229" s="250"/>
      <c r="E229" s="250"/>
      <c r="F229" s="250"/>
      <c r="G229" s="250"/>
      <c r="H229" s="250"/>
      <c r="I229" s="250"/>
      <c r="J229" s="250"/>
      <c r="K229" s="250"/>
      <c r="L229" s="250"/>
      <c r="M229" s="250"/>
      <c r="N229" s="250"/>
      <c r="O229" s="250"/>
      <c r="P229" s="250"/>
      <c r="Q229" s="250"/>
      <c r="R229" s="250"/>
      <c r="S229" s="250"/>
      <c r="T229" s="250"/>
      <c r="U229" s="250"/>
      <c r="V229" s="250"/>
      <c r="W229" s="250"/>
      <c r="X229" s="250"/>
      <c r="Y229" s="250"/>
      <c r="Z229" s="250"/>
      <c r="AA229" s="250"/>
      <c r="AB229" s="250"/>
      <c r="AC229" s="250"/>
      <c r="AD229" s="250"/>
      <c r="AE229" s="251"/>
      <c r="AF229" s="251"/>
      <c r="AG229" s="251"/>
      <c r="AH229" s="251"/>
      <c r="AI229" s="250"/>
    </row>
    <row r="230" spans="2:35" x14ac:dyDescent="0.35">
      <c r="B230" s="250"/>
      <c r="C230" s="250"/>
      <c r="D230" s="250"/>
      <c r="E230" s="250"/>
      <c r="F230" s="250"/>
      <c r="G230" s="250"/>
      <c r="H230" s="250"/>
      <c r="I230" s="250"/>
      <c r="J230" s="250"/>
      <c r="K230" s="250"/>
      <c r="L230" s="250"/>
      <c r="M230" s="250"/>
      <c r="N230" s="250"/>
      <c r="O230" s="250"/>
      <c r="P230" s="250"/>
      <c r="Q230" s="250"/>
      <c r="R230" s="250"/>
      <c r="S230" s="250"/>
      <c r="T230" s="250"/>
      <c r="U230" s="250"/>
      <c r="V230" s="250"/>
      <c r="W230" s="250"/>
      <c r="X230" s="250"/>
      <c r="Y230" s="250"/>
      <c r="Z230" s="250"/>
      <c r="AA230" s="250"/>
      <c r="AB230" s="250"/>
      <c r="AC230" s="250"/>
      <c r="AD230" s="250"/>
      <c r="AE230" s="251"/>
      <c r="AF230" s="251"/>
      <c r="AG230" s="251"/>
      <c r="AH230" s="251"/>
      <c r="AI230" s="250"/>
    </row>
    <row r="231" spans="2:35" x14ac:dyDescent="0.35">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c r="AA231" s="250"/>
      <c r="AB231" s="250"/>
      <c r="AC231" s="250"/>
      <c r="AD231" s="250"/>
      <c r="AE231" s="251"/>
      <c r="AF231" s="251"/>
      <c r="AG231" s="251"/>
      <c r="AH231" s="251"/>
      <c r="AI231" s="250"/>
    </row>
    <row r="232" spans="2:35" x14ac:dyDescent="0.35">
      <c r="B232" s="250"/>
      <c r="C232" s="250"/>
      <c r="D232" s="250"/>
      <c r="E232" s="250"/>
      <c r="F232" s="250"/>
      <c r="G232" s="250"/>
      <c r="H232" s="250"/>
      <c r="I232" s="250"/>
      <c r="J232" s="250"/>
      <c r="K232" s="250"/>
      <c r="L232" s="250"/>
      <c r="M232" s="250"/>
      <c r="N232" s="250"/>
      <c r="O232" s="250"/>
      <c r="P232" s="250"/>
      <c r="Q232" s="250"/>
      <c r="R232" s="250"/>
      <c r="S232" s="250"/>
      <c r="T232" s="250"/>
      <c r="U232" s="250"/>
      <c r="V232" s="250"/>
      <c r="W232" s="250"/>
      <c r="X232" s="250"/>
      <c r="Y232" s="250"/>
      <c r="Z232" s="250"/>
      <c r="AA232" s="250"/>
      <c r="AB232" s="250"/>
      <c r="AC232" s="250"/>
      <c r="AD232" s="250"/>
      <c r="AE232" s="251"/>
      <c r="AF232" s="251"/>
      <c r="AG232" s="251"/>
      <c r="AH232" s="251"/>
      <c r="AI232" s="250"/>
    </row>
    <row r="233" spans="2:35" x14ac:dyDescent="0.35">
      <c r="B233" s="250"/>
      <c r="C233" s="250"/>
      <c r="D233" s="250"/>
      <c r="E233" s="250"/>
      <c r="F233" s="250"/>
      <c r="G233" s="250"/>
      <c r="H233" s="250"/>
      <c r="I233" s="250"/>
      <c r="J233" s="250"/>
      <c r="K233" s="250"/>
      <c r="L233" s="250"/>
      <c r="M233" s="250"/>
      <c r="N233" s="250"/>
      <c r="O233" s="250"/>
      <c r="P233" s="250"/>
      <c r="Q233" s="250"/>
      <c r="R233" s="250"/>
      <c r="S233" s="250"/>
      <c r="T233" s="250"/>
      <c r="U233" s="250"/>
      <c r="V233" s="250"/>
      <c r="W233" s="250"/>
      <c r="X233" s="250"/>
      <c r="Y233" s="250"/>
      <c r="Z233" s="250"/>
      <c r="AA233" s="250"/>
      <c r="AB233" s="250"/>
      <c r="AC233" s="250"/>
      <c r="AD233" s="250"/>
      <c r="AE233" s="251"/>
      <c r="AF233" s="251"/>
      <c r="AG233" s="251"/>
      <c r="AH233" s="251"/>
      <c r="AI233" s="250"/>
    </row>
    <row r="234" spans="2:35" x14ac:dyDescent="0.35">
      <c r="B234" s="250"/>
      <c r="C234" s="250"/>
      <c r="D234" s="250"/>
      <c r="E234" s="250"/>
      <c r="F234" s="250"/>
      <c r="G234" s="250"/>
      <c r="H234" s="250"/>
      <c r="I234" s="250"/>
      <c r="J234" s="250"/>
      <c r="K234" s="250"/>
      <c r="L234" s="250"/>
      <c r="M234" s="250"/>
      <c r="N234" s="250"/>
      <c r="O234" s="250"/>
      <c r="P234" s="250"/>
      <c r="Q234" s="250"/>
      <c r="R234" s="250"/>
      <c r="S234" s="250"/>
      <c r="T234" s="250"/>
      <c r="U234" s="250"/>
      <c r="V234" s="250"/>
      <c r="W234" s="250"/>
      <c r="X234" s="250"/>
      <c r="Y234" s="250"/>
      <c r="Z234" s="250"/>
      <c r="AA234" s="250"/>
      <c r="AB234" s="250"/>
      <c r="AC234" s="250"/>
      <c r="AD234" s="250"/>
      <c r="AE234" s="251"/>
      <c r="AF234" s="251"/>
      <c r="AG234" s="251"/>
      <c r="AH234" s="251"/>
      <c r="AI234" s="250"/>
    </row>
    <row r="235" spans="2:35" x14ac:dyDescent="0.35">
      <c r="B235" s="250"/>
      <c r="C235" s="250"/>
      <c r="D235" s="250"/>
      <c r="E235" s="250"/>
      <c r="F235" s="250"/>
      <c r="G235" s="250"/>
      <c r="H235" s="250"/>
      <c r="I235" s="250"/>
      <c r="J235" s="250"/>
      <c r="K235" s="250"/>
      <c r="L235" s="250"/>
      <c r="M235" s="250"/>
      <c r="N235" s="250"/>
      <c r="O235" s="250"/>
      <c r="P235" s="250"/>
      <c r="Q235" s="250"/>
      <c r="R235" s="250"/>
      <c r="S235" s="250"/>
      <c r="T235" s="250"/>
      <c r="U235" s="250"/>
      <c r="V235" s="250"/>
      <c r="W235" s="250"/>
      <c r="X235" s="250"/>
      <c r="Y235" s="250"/>
      <c r="Z235" s="250"/>
      <c r="AA235" s="250"/>
      <c r="AB235" s="250"/>
      <c r="AC235" s="250"/>
      <c r="AD235" s="250"/>
      <c r="AE235" s="251"/>
      <c r="AF235" s="251"/>
      <c r="AG235" s="251"/>
      <c r="AH235" s="251"/>
      <c r="AI235" s="250"/>
    </row>
    <row r="236" spans="2:35" x14ac:dyDescent="0.35">
      <c r="B236" s="250"/>
      <c r="C236" s="250"/>
      <c r="D236" s="250"/>
      <c r="E236" s="250"/>
      <c r="F236" s="250"/>
      <c r="G236" s="250"/>
      <c r="H236" s="250"/>
      <c r="I236" s="250"/>
      <c r="J236" s="250"/>
      <c r="K236" s="250"/>
      <c r="L236" s="250"/>
      <c r="M236" s="250"/>
      <c r="N236" s="250"/>
      <c r="O236" s="250"/>
      <c r="P236" s="250"/>
      <c r="Q236" s="250"/>
      <c r="R236" s="250"/>
      <c r="S236" s="250"/>
      <c r="T236" s="250"/>
      <c r="U236" s="250"/>
      <c r="V236" s="250"/>
      <c r="W236" s="250"/>
      <c r="X236" s="250"/>
      <c r="Y236" s="250"/>
      <c r="Z236" s="250"/>
      <c r="AA236" s="250"/>
      <c r="AB236" s="250"/>
      <c r="AC236" s="250"/>
      <c r="AD236" s="250"/>
      <c r="AE236" s="251"/>
      <c r="AF236" s="251"/>
      <c r="AG236" s="251"/>
      <c r="AH236" s="251"/>
      <c r="AI236" s="250"/>
    </row>
    <row r="237" spans="2:35" x14ac:dyDescent="0.35">
      <c r="B237" s="250"/>
      <c r="C237" s="250"/>
      <c r="D237" s="250"/>
      <c r="E237" s="250"/>
      <c r="F237" s="250"/>
      <c r="G237" s="250"/>
      <c r="H237" s="250"/>
      <c r="I237" s="250"/>
      <c r="J237" s="250"/>
      <c r="K237" s="250"/>
      <c r="L237" s="250"/>
      <c r="M237" s="250"/>
      <c r="N237" s="250"/>
      <c r="O237" s="250"/>
      <c r="P237" s="250"/>
      <c r="Q237" s="250"/>
      <c r="R237" s="250"/>
      <c r="S237" s="250"/>
      <c r="T237" s="250"/>
      <c r="U237" s="250"/>
      <c r="V237" s="250"/>
      <c r="W237" s="250"/>
      <c r="X237" s="250"/>
      <c r="Y237" s="250"/>
      <c r="Z237" s="250"/>
      <c r="AA237" s="250"/>
      <c r="AB237" s="250"/>
      <c r="AC237" s="250"/>
      <c r="AD237" s="250"/>
      <c r="AE237" s="251"/>
      <c r="AF237" s="251"/>
      <c r="AG237" s="251"/>
      <c r="AH237" s="251"/>
      <c r="AI237" s="250"/>
    </row>
    <row r="238" spans="2:35" x14ac:dyDescent="0.35">
      <c r="B238" s="250"/>
      <c r="C238" s="250"/>
      <c r="D238" s="250"/>
      <c r="E238" s="250"/>
      <c r="F238" s="250"/>
      <c r="G238" s="250"/>
      <c r="H238" s="250"/>
      <c r="I238" s="250"/>
      <c r="J238" s="250"/>
      <c r="K238" s="250"/>
      <c r="L238" s="250"/>
      <c r="M238" s="250"/>
      <c r="N238" s="250"/>
      <c r="O238" s="250"/>
      <c r="P238" s="250"/>
      <c r="Q238" s="250"/>
      <c r="R238" s="250"/>
      <c r="S238" s="250"/>
      <c r="T238" s="250"/>
      <c r="U238" s="250"/>
      <c r="V238" s="250"/>
      <c r="W238" s="250"/>
      <c r="X238" s="250"/>
      <c r="Y238" s="250"/>
      <c r="Z238" s="250"/>
      <c r="AA238" s="250"/>
      <c r="AB238" s="250"/>
      <c r="AC238" s="250"/>
      <c r="AD238" s="250"/>
      <c r="AE238" s="251"/>
      <c r="AF238" s="251"/>
      <c r="AG238" s="251"/>
      <c r="AH238" s="251"/>
      <c r="AI238" s="250"/>
    </row>
    <row r="239" spans="2:35" x14ac:dyDescent="0.35">
      <c r="B239" s="250"/>
      <c r="C239" s="250"/>
      <c r="D239" s="250"/>
      <c r="E239" s="250"/>
      <c r="F239" s="250"/>
      <c r="G239" s="250"/>
      <c r="H239" s="250"/>
      <c r="I239" s="250"/>
      <c r="J239" s="250"/>
      <c r="K239" s="250"/>
      <c r="L239" s="250"/>
      <c r="M239" s="250"/>
      <c r="N239" s="250"/>
      <c r="O239" s="250"/>
      <c r="P239" s="250"/>
      <c r="Q239" s="250"/>
      <c r="R239" s="250"/>
      <c r="S239" s="250"/>
      <c r="T239" s="250"/>
      <c r="U239" s="250"/>
      <c r="V239" s="250"/>
      <c r="W239" s="250"/>
      <c r="X239" s="250"/>
      <c r="Y239" s="250"/>
      <c r="Z239" s="250"/>
      <c r="AA239" s="250"/>
      <c r="AB239" s="250"/>
      <c r="AC239" s="250"/>
      <c r="AD239" s="250"/>
      <c r="AE239" s="251"/>
      <c r="AF239" s="251"/>
      <c r="AG239" s="251"/>
      <c r="AH239" s="251"/>
      <c r="AI239" s="250"/>
    </row>
    <row r="240" spans="2:35" x14ac:dyDescent="0.35">
      <c r="B240" s="250"/>
      <c r="C240" s="250"/>
      <c r="D240" s="250"/>
      <c r="E240" s="250"/>
      <c r="F240" s="250"/>
      <c r="G240" s="250"/>
      <c r="H240" s="250"/>
      <c r="I240" s="250"/>
      <c r="J240" s="250"/>
      <c r="K240" s="250"/>
      <c r="L240" s="250"/>
      <c r="M240" s="250"/>
      <c r="N240" s="250"/>
      <c r="O240" s="250"/>
      <c r="P240" s="250"/>
      <c r="Q240" s="250"/>
      <c r="R240" s="250"/>
      <c r="S240" s="250"/>
      <c r="T240" s="250"/>
      <c r="U240" s="250"/>
      <c r="V240" s="250"/>
      <c r="W240" s="250"/>
      <c r="X240" s="250"/>
      <c r="Y240" s="250"/>
      <c r="Z240" s="250"/>
      <c r="AA240" s="250"/>
      <c r="AB240" s="250"/>
      <c r="AC240" s="250"/>
      <c r="AD240" s="250"/>
      <c r="AE240" s="251"/>
      <c r="AF240" s="251"/>
      <c r="AG240" s="251"/>
      <c r="AH240" s="251"/>
      <c r="AI240" s="250"/>
    </row>
    <row r="241" spans="2:35" x14ac:dyDescent="0.35">
      <c r="B241" s="250"/>
      <c r="C241" s="250"/>
      <c r="D241" s="250"/>
      <c r="E241" s="250"/>
      <c r="F241" s="250"/>
      <c r="G241" s="250"/>
      <c r="H241" s="250"/>
      <c r="I241" s="250"/>
      <c r="J241" s="250"/>
      <c r="K241" s="250"/>
      <c r="L241" s="250"/>
      <c r="M241" s="250"/>
      <c r="N241" s="250"/>
      <c r="O241" s="250"/>
      <c r="P241" s="250"/>
      <c r="Q241" s="250"/>
      <c r="R241" s="250"/>
      <c r="S241" s="250"/>
      <c r="T241" s="250"/>
      <c r="U241" s="250"/>
      <c r="V241" s="250"/>
      <c r="W241" s="250"/>
      <c r="X241" s="250"/>
      <c r="Y241" s="250"/>
      <c r="Z241" s="250"/>
      <c r="AA241" s="250"/>
      <c r="AB241" s="250"/>
      <c r="AC241" s="250"/>
      <c r="AD241" s="250"/>
      <c r="AE241" s="251"/>
      <c r="AF241" s="251"/>
      <c r="AG241" s="251"/>
      <c r="AH241" s="251"/>
      <c r="AI241" s="250"/>
    </row>
    <row r="242" spans="2:35" x14ac:dyDescent="0.35">
      <c r="B242" s="250"/>
      <c r="C242" s="250"/>
      <c r="D242" s="250"/>
      <c r="E242" s="250"/>
      <c r="F242" s="250"/>
      <c r="G242" s="250"/>
      <c r="H242" s="250"/>
      <c r="I242" s="250"/>
      <c r="J242" s="250"/>
      <c r="K242" s="250"/>
      <c r="L242" s="250"/>
      <c r="M242" s="250"/>
      <c r="N242" s="250"/>
      <c r="O242" s="250"/>
      <c r="P242" s="250"/>
      <c r="Q242" s="250"/>
      <c r="R242" s="250"/>
      <c r="S242" s="250"/>
      <c r="T242" s="250"/>
      <c r="U242" s="250"/>
      <c r="V242" s="250"/>
      <c r="W242" s="250"/>
      <c r="X242" s="250"/>
      <c r="Y242" s="250"/>
      <c r="Z242" s="250"/>
      <c r="AA242" s="250"/>
      <c r="AB242" s="250"/>
      <c r="AC242" s="250"/>
      <c r="AD242" s="250"/>
      <c r="AE242" s="251"/>
      <c r="AF242" s="251"/>
      <c r="AG242" s="251"/>
      <c r="AH242" s="251"/>
      <c r="AI242" s="250"/>
    </row>
    <row r="243" spans="2:35" x14ac:dyDescent="0.35">
      <c r="B243" s="250"/>
      <c r="C243" s="250"/>
      <c r="D243" s="250"/>
      <c r="E243" s="250"/>
      <c r="F243" s="250"/>
      <c r="G243" s="250"/>
      <c r="H243" s="250"/>
      <c r="I243" s="250"/>
      <c r="J243" s="250"/>
      <c r="K243" s="250"/>
      <c r="L243" s="250"/>
      <c r="M243" s="250"/>
      <c r="N243" s="250"/>
      <c r="O243" s="250"/>
      <c r="P243" s="250"/>
      <c r="Q243" s="250"/>
      <c r="R243" s="250"/>
      <c r="S243" s="250"/>
      <c r="T243" s="250"/>
      <c r="U243" s="250"/>
      <c r="V243" s="250"/>
      <c r="W243" s="250"/>
      <c r="X243" s="250"/>
      <c r="Y243" s="250"/>
      <c r="Z243" s="250"/>
      <c r="AA243" s="250"/>
      <c r="AB243" s="250"/>
      <c r="AC243" s="250"/>
      <c r="AD243" s="250"/>
      <c r="AE243" s="251"/>
      <c r="AF243" s="251"/>
      <c r="AG243" s="251"/>
      <c r="AH243" s="251"/>
      <c r="AI243" s="250"/>
    </row>
    <row r="244" spans="2:35" x14ac:dyDescent="0.35">
      <c r="B244" s="250"/>
      <c r="C244" s="250"/>
      <c r="D244" s="250"/>
      <c r="E244" s="250"/>
      <c r="F244" s="250"/>
      <c r="G244" s="250"/>
      <c r="H244" s="250"/>
      <c r="I244" s="250"/>
      <c r="J244" s="250"/>
      <c r="K244" s="250"/>
      <c r="L244" s="250"/>
      <c r="M244" s="250"/>
      <c r="N244" s="250"/>
      <c r="O244" s="250"/>
      <c r="P244" s="250"/>
      <c r="Q244" s="250"/>
      <c r="R244" s="250"/>
      <c r="S244" s="250"/>
      <c r="T244" s="250"/>
      <c r="U244" s="250"/>
      <c r="V244" s="250"/>
      <c r="W244" s="250"/>
      <c r="X244" s="250"/>
      <c r="Y244" s="250"/>
      <c r="Z244" s="250"/>
      <c r="AA244" s="250"/>
      <c r="AB244" s="250"/>
      <c r="AC244" s="250"/>
      <c r="AD244" s="250"/>
      <c r="AE244" s="251"/>
      <c r="AF244" s="251"/>
      <c r="AG244" s="251"/>
      <c r="AH244" s="251"/>
      <c r="AI244" s="250"/>
    </row>
    <row r="245" spans="2:35" x14ac:dyDescent="0.35">
      <c r="B245" s="250"/>
      <c r="C245" s="250"/>
      <c r="D245" s="250"/>
      <c r="E245" s="250"/>
      <c r="F245" s="250"/>
      <c r="G245" s="250"/>
      <c r="H245" s="250"/>
      <c r="I245" s="250"/>
      <c r="J245" s="250"/>
      <c r="K245" s="250"/>
      <c r="L245" s="250"/>
      <c r="M245" s="250"/>
      <c r="N245" s="250"/>
      <c r="O245" s="250"/>
      <c r="P245" s="250"/>
      <c r="Q245" s="250"/>
      <c r="R245" s="250"/>
      <c r="S245" s="250"/>
      <c r="T245" s="250"/>
      <c r="U245" s="250"/>
      <c r="V245" s="250"/>
      <c r="W245" s="250"/>
      <c r="X245" s="250"/>
      <c r="Y245" s="250"/>
      <c r="Z245" s="250"/>
      <c r="AA245" s="250"/>
      <c r="AB245" s="250"/>
      <c r="AC245" s="250"/>
      <c r="AD245" s="250"/>
      <c r="AE245" s="251"/>
      <c r="AF245" s="251"/>
      <c r="AG245" s="251"/>
      <c r="AH245" s="251"/>
      <c r="AI245" s="250"/>
    </row>
    <row r="246" spans="2:35" x14ac:dyDescent="0.35">
      <c r="B246" s="250"/>
      <c r="C246" s="250"/>
      <c r="D246" s="250"/>
      <c r="E246" s="250"/>
      <c r="F246" s="250"/>
      <c r="G246" s="250"/>
      <c r="H246" s="250"/>
      <c r="I246" s="250"/>
      <c r="J246" s="250"/>
      <c r="K246" s="250"/>
      <c r="L246" s="250"/>
      <c r="M246" s="250"/>
      <c r="N246" s="250"/>
      <c r="O246" s="250"/>
      <c r="P246" s="250"/>
      <c r="Q246" s="250"/>
      <c r="R246" s="250"/>
      <c r="S246" s="250"/>
      <c r="T246" s="250"/>
      <c r="U246" s="250"/>
      <c r="V246" s="250"/>
      <c r="W246" s="250"/>
      <c r="X246" s="250"/>
      <c r="Y246" s="250"/>
      <c r="Z246" s="250"/>
      <c r="AA246" s="250"/>
      <c r="AB246" s="250"/>
      <c r="AC246" s="250"/>
      <c r="AD246" s="250"/>
      <c r="AE246" s="251"/>
      <c r="AF246" s="251"/>
      <c r="AG246" s="251"/>
      <c r="AH246" s="251"/>
      <c r="AI246" s="250"/>
    </row>
    <row r="247" spans="2:35" x14ac:dyDescent="0.35">
      <c r="B247" s="250"/>
      <c r="C247" s="250"/>
      <c r="D247" s="250"/>
      <c r="E247" s="250"/>
      <c r="F247" s="250"/>
      <c r="G247" s="250"/>
      <c r="H247" s="250"/>
      <c r="I247" s="250"/>
      <c r="J247" s="250"/>
      <c r="K247" s="250"/>
      <c r="L247" s="250"/>
      <c r="M247" s="250"/>
      <c r="N247" s="250"/>
      <c r="O247" s="250"/>
      <c r="P247" s="250"/>
      <c r="Q247" s="250"/>
      <c r="R247" s="250"/>
      <c r="S247" s="250"/>
      <c r="T247" s="250"/>
      <c r="U247" s="250"/>
      <c r="V247" s="250"/>
      <c r="W247" s="250"/>
      <c r="X247" s="250"/>
      <c r="Y247" s="250"/>
      <c r="Z247" s="250"/>
      <c r="AA247" s="250"/>
      <c r="AB247" s="250"/>
      <c r="AC247" s="250"/>
      <c r="AD247" s="250"/>
      <c r="AE247" s="251"/>
      <c r="AF247" s="251"/>
      <c r="AG247" s="251"/>
      <c r="AH247" s="251"/>
      <c r="AI247" s="250"/>
    </row>
    <row r="248" spans="2:35" x14ac:dyDescent="0.35">
      <c r="B248" s="250"/>
      <c r="C248" s="250"/>
      <c r="D248" s="250"/>
      <c r="E248" s="250"/>
      <c r="F248" s="250"/>
      <c r="G248" s="250"/>
      <c r="H248" s="250"/>
      <c r="I248" s="250"/>
      <c r="J248" s="250"/>
      <c r="K248" s="250"/>
      <c r="L248" s="250"/>
      <c r="M248" s="250"/>
      <c r="N248" s="250"/>
      <c r="O248" s="250"/>
      <c r="P248" s="250"/>
      <c r="Q248" s="250"/>
      <c r="R248" s="250"/>
      <c r="S248" s="250"/>
      <c r="T248" s="250"/>
      <c r="U248" s="250"/>
      <c r="V248" s="250"/>
      <c r="W248" s="250"/>
      <c r="X248" s="250"/>
      <c r="Y248" s="250"/>
      <c r="Z248" s="250"/>
      <c r="AA248" s="250"/>
      <c r="AB248" s="250"/>
      <c r="AC248" s="250"/>
      <c r="AD248" s="250"/>
      <c r="AE248" s="251"/>
      <c r="AF248" s="251"/>
      <c r="AG248" s="251"/>
      <c r="AH248" s="251"/>
      <c r="AI248" s="250"/>
    </row>
    <row r="249" spans="2:35" x14ac:dyDescent="0.35">
      <c r="B249" s="250"/>
      <c r="C249" s="250"/>
      <c r="D249" s="250"/>
      <c r="E249" s="250"/>
      <c r="F249" s="250"/>
      <c r="G249" s="250"/>
      <c r="H249" s="250"/>
      <c r="I249" s="250"/>
      <c r="J249" s="250"/>
      <c r="K249" s="250"/>
      <c r="L249" s="250"/>
      <c r="M249" s="250"/>
      <c r="N249" s="250"/>
      <c r="O249" s="250"/>
      <c r="P249" s="250"/>
      <c r="Q249" s="250"/>
      <c r="R249" s="250"/>
      <c r="S249" s="250"/>
      <c r="T249" s="250"/>
      <c r="U249" s="250"/>
      <c r="V249" s="250"/>
      <c r="W249" s="250"/>
      <c r="X249" s="250"/>
      <c r="Y249" s="250"/>
      <c r="Z249" s="250"/>
      <c r="AA249" s="250"/>
      <c r="AB249" s="250"/>
      <c r="AC249" s="250"/>
      <c r="AD249" s="250"/>
      <c r="AE249" s="251"/>
      <c r="AF249" s="251"/>
      <c r="AG249" s="251"/>
      <c r="AH249" s="251"/>
      <c r="AI249" s="250"/>
    </row>
    <row r="250" spans="2:35" x14ac:dyDescent="0.35">
      <c r="B250" s="250"/>
      <c r="C250" s="250"/>
      <c r="D250" s="250"/>
      <c r="E250" s="250"/>
      <c r="F250" s="250"/>
      <c r="G250" s="250"/>
      <c r="H250" s="250"/>
      <c r="I250" s="250"/>
      <c r="J250" s="250"/>
      <c r="K250" s="250"/>
      <c r="L250" s="250"/>
      <c r="M250" s="250"/>
      <c r="N250" s="250"/>
      <c r="O250" s="250"/>
      <c r="P250" s="250"/>
      <c r="Q250" s="250"/>
      <c r="R250" s="250"/>
      <c r="S250" s="250"/>
      <c r="T250" s="250"/>
      <c r="U250" s="250"/>
      <c r="V250" s="250"/>
      <c r="W250" s="250"/>
      <c r="X250" s="250"/>
      <c r="Y250" s="250"/>
      <c r="Z250" s="250"/>
      <c r="AA250" s="250"/>
      <c r="AB250" s="250"/>
      <c r="AC250" s="250"/>
      <c r="AD250" s="250"/>
      <c r="AE250" s="251"/>
      <c r="AF250" s="251"/>
      <c r="AG250" s="251"/>
      <c r="AH250" s="251"/>
      <c r="AI250" s="250"/>
    </row>
    <row r="251" spans="2:35" x14ac:dyDescent="0.35">
      <c r="B251" s="250"/>
      <c r="C251" s="250"/>
      <c r="D251" s="250"/>
      <c r="E251" s="250"/>
      <c r="F251" s="250"/>
      <c r="G251" s="250"/>
      <c r="H251" s="250"/>
      <c r="I251" s="250"/>
      <c r="J251" s="250"/>
      <c r="K251" s="250"/>
      <c r="L251" s="250"/>
      <c r="M251" s="250"/>
      <c r="N251" s="250"/>
      <c r="O251" s="250"/>
      <c r="P251" s="250"/>
      <c r="Q251" s="250"/>
      <c r="R251" s="250"/>
      <c r="S251" s="250"/>
      <c r="T251" s="250"/>
      <c r="U251" s="250"/>
      <c r="V251" s="250"/>
      <c r="W251" s="250"/>
      <c r="X251" s="250"/>
      <c r="Y251" s="250"/>
      <c r="Z251" s="250"/>
      <c r="AA251" s="250"/>
      <c r="AB251" s="250"/>
      <c r="AC251" s="250"/>
      <c r="AD251" s="250"/>
      <c r="AE251" s="251"/>
      <c r="AF251" s="251"/>
      <c r="AG251" s="251"/>
      <c r="AH251" s="251"/>
      <c r="AI251" s="250"/>
    </row>
    <row r="252" spans="2:35" x14ac:dyDescent="0.35">
      <c r="B252" s="250"/>
      <c r="C252" s="250"/>
      <c r="D252" s="250"/>
      <c r="E252" s="250"/>
      <c r="F252" s="250"/>
      <c r="G252" s="250"/>
      <c r="H252" s="250"/>
      <c r="I252" s="250"/>
      <c r="J252" s="250"/>
      <c r="K252" s="250"/>
      <c r="L252" s="250"/>
      <c r="M252" s="250"/>
      <c r="N252" s="250"/>
      <c r="O252" s="250"/>
      <c r="P252" s="250"/>
      <c r="Q252" s="250"/>
      <c r="R252" s="250"/>
      <c r="S252" s="250"/>
      <c r="T252" s="250"/>
      <c r="U252" s="250"/>
      <c r="V252" s="250"/>
      <c r="W252" s="250"/>
      <c r="X252" s="250"/>
      <c r="Y252" s="250"/>
      <c r="Z252" s="250"/>
      <c r="AA252" s="250"/>
      <c r="AB252" s="250"/>
      <c r="AC252" s="250"/>
      <c r="AD252" s="250"/>
      <c r="AE252" s="251"/>
      <c r="AF252" s="251"/>
      <c r="AG252" s="251"/>
      <c r="AH252" s="251"/>
      <c r="AI252" s="250"/>
    </row>
    <row r="253" spans="2:35" x14ac:dyDescent="0.35">
      <c r="B253" s="250"/>
      <c r="C253" s="250"/>
      <c r="D253" s="250"/>
      <c r="E253" s="250"/>
      <c r="F253" s="250"/>
      <c r="G253" s="250"/>
      <c r="H253" s="250"/>
      <c r="I253" s="250"/>
      <c r="J253" s="250"/>
      <c r="K253" s="250"/>
      <c r="L253" s="250"/>
      <c r="M253" s="250"/>
      <c r="N253" s="250"/>
      <c r="O253" s="250"/>
      <c r="P253" s="250"/>
      <c r="Q253" s="250"/>
      <c r="R253" s="250"/>
      <c r="S253" s="250"/>
      <c r="T253" s="250"/>
      <c r="U253" s="250"/>
      <c r="V253" s="250"/>
      <c r="W253" s="250"/>
      <c r="X253" s="250"/>
      <c r="Y253" s="250"/>
      <c r="Z253" s="250"/>
      <c r="AA253" s="250"/>
      <c r="AB253" s="250"/>
      <c r="AC253" s="250"/>
      <c r="AD253" s="250"/>
      <c r="AE253" s="251"/>
      <c r="AF253" s="251"/>
      <c r="AG253" s="251"/>
      <c r="AH253" s="251"/>
      <c r="AI253" s="250"/>
    </row>
    <row r="254" spans="2:35" x14ac:dyDescent="0.35">
      <c r="B254" s="250"/>
      <c r="C254" s="250"/>
      <c r="D254" s="250"/>
      <c r="E254" s="250"/>
      <c r="F254" s="250"/>
      <c r="G254" s="250"/>
      <c r="H254" s="250"/>
      <c r="I254" s="250"/>
      <c r="J254" s="250"/>
      <c r="K254" s="250"/>
      <c r="L254" s="250"/>
      <c r="M254" s="250"/>
      <c r="N254" s="250"/>
      <c r="O254" s="250"/>
      <c r="P254" s="250"/>
      <c r="Q254" s="250"/>
      <c r="R254" s="250"/>
      <c r="S254" s="250"/>
      <c r="T254" s="250"/>
      <c r="U254" s="250"/>
      <c r="V254" s="250"/>
      <c r="W254" s="250"/>
      <c r="X254" s="250"/>
      <c r="Y254" s="250"/>
      <c r="Z254" s="250"/>
      <c r="AA254" s="250"/>
      <c r="AB254" s="250"/>
      <c r="AC254" s="250"/>
      <c r="AD254" s="250"/>
      <c r="AE254" s="251"/>
      <c r="AF254" s="251"/>
      <c r="AG254" s="251"/>
      <c r="AH254" s="251"/>
      <c r="AI254" s="250"/>
    </row>
    <row r="255" spans="2:35" x14ac:dyDescent="0.35">
      <c r="B255" s="250"/>
      <c r="C255" s="250"/>
      <c r="D255" s="250"/>
      <c r="E255" s="250"/>
      <c r="F255" s="250"/>
      <c r="G255" s="250"/>
      <c r="H255" s="250"/>
      <c r="I255" s="250"/>
      <c r="J255" s="250"/>
      <c r="K255" s="250"/>
      <c r="L255" s="250"/>
      <c r="M255" s="250"/>
      <c r="N255" s="250"/>
      <c r="O255" s="250"/>
      <c r="P255" s="250"/>
      <c r="Q255" s="250"/>
      <c r="R255" s="250"/>
      <c r="S255" s="250"/>
      <c r="T255" s="250"/>
      <c r="U255" s="250"/>
      <c r="V255" s="250"/>
      <c r="W255" s="250"/>
      <c r="X255" s="250"/>
      <c r="Y255" s="250"/>
      <c r="Z255" s="250"/>
      <c r="AA255" s="250"/>
      <c r="AB255" s="250"/>
      <c r="AC255" s="250"/>
      <c r="AD255" s="250"/>
      <c r="AE255" s="251"/>
      <c r="AF255" s="251"/>
      <c r="AG255" s="251"/>
      <c r="AH255" s="251"/>
      <c r="AI255" s="250"/>
    </row>
    <row r="256" spans="2:35" x14ac:dyDescent="0.35">
      <c r="B256" s="250"/>
      <c r="C256" s="250"/>
      <c r="D256" s="250"/>
      <c r="E256" s="250"/>
      <c r="F256" s="250"/>
      <c r="G256" s="250"/>
      <c r="H256" s="250"/>
      <c r="I256" s="250"/>
      <c r="J256" s="250"/>
      <c r="K256" s="250"/>
      <c r="L256" s="250"/>
      <c r="M256" s="250"/>
      <c r="N256" s="250"/>
      <c r="O256" s="250"/>
      <c r="P256" s="250"/>
      <c r="Q256" s="250"/>
      <c r="R256" s="250"/>
      <c r="S256" s="250"/>
      <c r="T256" s="250"/>
      <c r="U256" s="250"/>
      <c r="V256" s="250"/>
      <c r="W256" s="250"/>
      <c r="X256" s="250"/>
      <c r="Y256" s="250"/>
      <c r="Z256" s="250"/>
      <c r="AA256" s="250"/>
      <c r="AB256" s="250"/>
      <c r="AC256" s="250"/>
      <c r="AD256" s="250"/>
      <c r="AE256" s="251"/>
      <c r="AF256" s="251"/>
      <c r="AG256" s="251"/>
      <c r="AH256" s="251"/>
      <c r="AI256" s="250"/>
    </row>
    <row r="257" spans="2:35" x14ac:dyDescent="0.35">
      <c r="B257" s="250"/>
      <c r="C257" s="250"/>
      <c r="D257" s="250"/>
      <c r="E257" s="250"/>
      <c r="F257" s="250"/>
      <c r="G257" s="250"/>
      <c r="H257" s="250"/>
      <c r="I257" s="250"/>
      <c r="J257" s="250"/>
      <c r="K257" s="250"/>
      <c r="L257" s="250"/>
      <c r="M257" s="250"/>
      <c r="N257" s="250"/>
      <c r="O257" s="250"/>
      <c r="P257" s="250"/>
      <c r="Q257" s="250"/>
      <c r="R257" s="250"/>
      <c r="S257" s="250"/>
      <c r="T257" s="250"/>
      <c r="U257" s="250"/>
      <c r="V257" s="250"/>
      <c r="W257" s="250"/>
      <c r="X257" s="250"/>
      <c r="Y257" s="250"/>
      <c r="Z257" s="250"/>
      <c r="AA257" s="250"/>
      <c r="AB257" s="250"/>
      <c r="AC257" s="250"/>
      <c r="AD257" s="250"/>
      <c r="AE257" s="251"/>
      <c r="AF257" s="251"/>
      <c r="AG257" s="251"/>
      <c r="AH257" s="251"/>
      <c r="AI257" s="250"/>
    </row>
    <row r="258" spans="2:35" x14ac:dyDescent="0.35">
      <c r="B258" s="250"/>
      <c r="C258" s="250"/>
      <c r="D258" s="250"/>
      <c r="E258" s="250"/>
      <c r="F258" s="250"/>
      <c r="G258" s="250"/>
      <c r="H258" s="250"/>
      <c r="I258" s="250"/>
      <c r="J258" s="250"/>
      <c r="K258" s="250"/>
      <c r="L258" s="250"/>
      <c r="M258" s="250"/>
      <c r="N258" s="250"/>
      <c r="O258" s="250"/>
      <c r="P258" s="250"/>
      <c r="Q258" s="250"/>
      <c r="R258" s="250"/>
      <c r="S258" s="250"/>
      <c r="T258" s="250"/>
      <c r="U258" s="250"/>
      <c r="V258" s="250"/>
      <c r="W258" s="250"/>
      <c r="X258" s="250"/>
      <c r="Y258" s="250"/>
      <c r="Z258" s="250"/>
      <c r="AA258" s="250"/>
      <c r="AB258" s="250"/>
      <c r="AC258" s="250"/>
      <c r="AD258" s="250"/>
      <c r="AE258" s="251"/>
      <c r="AF258" s="251"/>
      <c r="AG258" s="251"/>
      <c r="AH258" s="251"/>
      <c r="AI258" s="250"/>
    </row>
    <row r="259" spans="2:35" x14ac:dyDescent="0.35">
      <c r="B259" s="250"/>
      <c r="C259" s="250"/>
      <c r="D259" s="250"/>
      <c r="E259" s="250"/>
      <c r="F259" s="250"/>
      <c r="G259" s="250"/>
      <c r="H259" s="250"/>
      <c r="I259" s="250"/>
      <c r="J259" s="250"/>
      <c r="K259" s="250"/>
      <c r="L259" s="250"/>
      <c r="M259" s="250"/>
      <c r="N259" s="250"/>
      <c r="O259" s="250"/>
      <c r="P259" s="250"/>
      <c r="Q259" s="250"/>
      <c r="R259" s="250"/>
      <c r="S259" s="250"/>
      <c r="T259" s="250"/>
      <c r="U259" s="250"/>
      <c r="V259" s="250"/>
      <c r="W259" s="250"/>
      <c r="X259" s="250"/>
      <c r="Y259" s="250"/>
      <c r="Z259" s="250"/>
      <c r="AA259" s="250"/>
      <c r="AB259" s="250"/>
      <c r="AC259" s="250"/>
      <c r="AD259" s="250"/>
      <c r="AE259" s="251"/>
      <c r="AF259" s="251"/>
      <c r="AG259" s="251"/>
      <c r="AH259" s="251"/>
      <c r="AI259" s="250"/>
    </row>
    <row r="260" spans="2:35" x14ac:dyDescent="0.35">
      <c r="B260" s="250"/>
      <c r="C260" s="250"/>
      <c r="D260" s="250"/>
      <c r="E260" s="250"/>
      <c r="F260" s="250"/>
      <c r="G260" s="250"/>
      <c r="H260" s="250"/>
      <c r="I260" s="250"/>
      <c r="J260" s="250"/>
      <c r="K260" s="250"/>
      <c r="L260" s="250"/>
      <c r="M260" s="250"/>
      <c r="N260" s="250"/>
      <c r="O260" s="250"/>
      <c r="P260" s="250"/>
      <c r="Q260" s="250"/>
      <c r="R260" s="250"/>
      <c r="S260" s="250"/>
      <c r="T260" s="250"/>
      <c r="U260" s="250"/>
      <c r="V260" s="250"/>
      <c r="W260" s="250"/>
      <c r="X260" s="250"/>
      <c r="Y260" s="250"/>
      <c r="Z260" s="250"/>
      <c r="AA260" s="250"/>
      <c r="AB260" s="250"/>
      <c r="AC260" s="250"/>
      <c r="AD260" s="250"/>
      <c r="AE260" s="251"/>
      <c r="AF260" s="251"/>
      <c r="AG260" s="251"/>
      <c r="AH260" s="251"/>
      <c r="AI260" s="250"/>
    </row>
    <row r="261" spans="2:35" x14ac:dyDescent="0.35">
      <c r="B261" s="250"/>
      <c r="C261" s="250"/>
      <c r="D261" s="250"/>
      <c r="E261" s="250"/>
      <c r="F261" s="250"/>
      <c r="G261" s="250"/>
      <c r="H261" s="250"/>
      <c r="I261" s="250"/>
      <c r="J261" s="250"/>
      <c r="K261" s="250"/>
      <c r="L261" s="250"/>
      <c r="M261" s="250"/>
      <c r="N261" s="250"/>
      <c r="O261" s="250"/>
      <c r="P261" s="250"/>
      <c r="Q261" s="250"/>
      <c r="R261" s="250"/>
      <c r="S261" s="250"/>
      <c r="T261" s="250"/>
      <c r="U261" s="250"/>
      <c r="V261" s="250"/>
      <c r="W261" s="250"/>
      <c r="X261" s="250"/>
      <c r="Y261" s="250"/>
      <c r="Z261" s="250"/>
      <c r="AA261" s="250"/>
      <c r="AB261" s="250"/>
      <c r="AC261" s="250"/>
      <c r="AD261" s="250"/>
      <c r="AE261" s="251"/>
      <c r="AF261" s="251"/>
      <c r="AG261" s="251"/>
      <c r="AH261" s="251"/>
      <c r="AI261" s="250"/>
    </row>
    <row r="262" spans="2:35" x14ac:dyDescent="0.35">
      <c r="B262" s="250"/>
      <c r="C262" s="250"/>
      <c r="D262" s="250"/>
      <c r="E262" s="250"/>
      <c r="F262" s="250"/>
      <c r="G262" s="250"/>
      <c r="H262" s="250"/>
      <c r="I262" s="250"/>
      <c r="J262" s="250"/>
      <c r="K262" s="250"/>
      <c r="L262" s="250"/>
      <c r="M262" s="250"/>
      <c r="N262" s="250"/>
      <c r="O262" s="250"/>
      <c r="P262" s="250"/>
      <c r="Q262" s="250"/>
      <c r="R262" s="250"/>
      <c r="S262" s="250"/>
      <c r="T262" s="250"/>
      <c r="U262" s="250"/>
      <c r="V262" s="250"/>
      <c r="W262" s="250"/>
      <c r="X262" s="250"/>
      <c r="Y262" s="250"/>
      <c r="Z262" s="250"/>
      <c r="AA262" s="250"/>
      <c r="AB262" s="250"/>
      <c r="AC262" s="250"/>
      <c r="AD262" s="250"/>
      <c r="AE262" s="251"/>
      <c r="AF262" s="251"/>
      <c r="AG262" s="251"/>
      <c r="AH262" s="251"/>
      <c r="AI262" s="250"/>
    </row>
    <row r="263" spans="2:35" x14ac:dyDescent="0.35">
      <c r="B263" s="250"/>
      <c r="C263" s="250"/>
      <c r="D263" s="250"/>
      <c r="E263" s="250"/>
      <c r="F263" s="250"/>
      <c r="G263" s="250"/>
      <c r="H263" s="250"/>
      <c r="I263" s="250"/>
      <c r="J263" s="250"/>
      <c r="K263" s="250"/>
      <c r="L263" s="250"/>
      <c r="M263" s="250"/>
      <c r="N263" s="250"/>
      <c r="O263" s="250"/>
      <c r="P263" s="250"/>
      <c r="Q263" s="250"/>
      <c r="R263" s="250"/>
      <c r="S263" s="250"/>
      <c r="T263" s="250"/>
      <c r="U263" s="250"/>
      <c r="V263" s="250"/>
      <c r="W263" s="250"/>
      <c r="X263" s="250"/>
      <c r="Y263" s="250"/>
      <c r="Z263" s="250"/>
      <c r="AA263" s="250"/>
      <c r="AB263" s="250"/>
      <c r="AC263" s="250"/>
      <c r="AD263" s="250"/>
      <c r="AE263" s="251"/>
      <c r="AF263" s="251"/>
      <c r="AG263" s="251"/>
      <c r="AH263" s="251"/>
      <c r="AI263" s="250"/>
    </row>
    <row r="264" spans="2:35" x14ac:dyDescent="0.35">
      <c r="B264" s="250"/>
      <c r="C264" s="250"/>
      <c r="D264" s="250"/>
      <c r="E264" s="250"/>
      <c r="F264" s="250"/>
      <c r="G264" s="250"/>
      <c r="H264" s="250"/>
      <c r="I264" s="250"/>
      <c r="J264" s="250"/>
      <c r="K264" s="250"/>
      <c r="L264" s="250"/>
      <c r="M264" s="250"/>
      <c r="N264" s="250"/>
      <c r="O264" s="250"/>
      <c r="P264" s="250"/>
      <c r="Q264" s="250"/>
      <c r="R264" s="250"/>
      <c r="S264" s="250"/>
      <c r="T264" s="250"/>
      <c r="U264" s="250"/>
      <c r="V264" s="250"/>
      <c r="W264" s="250"/>
      <c r="X264" s="250"/>
      <c r="Y264" s="250"/>
      <c r="Z264" s="250"/>
      <c r="AA264" s="250"/>
      <c r="AB264" s="250"/>
      <c r="AC264" s="250"/>
      <c r="AD264" s="250"/>
      <c r="AE264" s="251"/>
      <c r="AF264" s="251"/>
      <c r="AG264" s="251"/>
      <c r="AH264" s="251"/>
      <c r="AI264" s="250"/>
    </row>
    <row r="265" spans="2:35" x14ac:dyDescent="0.35">
      <c r="B265" s="250"/>
      <c r="C265" s="250"/>
      <c r="D265" s="250"/>
      <c r="E265" s="250"/>
      <c r="F265" s="250"/>
      <c r="G265" s="250"/>
      <c r="H265" s="250"/>
      <c r="I265" s="250"/>
      <c r="J265" s="250"/>
      <c r="K265" s="250"/>
      <c r="L265" s="250"/>
      <c r="M265" s="250"/>
      <c r="N265" s="250"/>
      <c r="O265" s="250"/>
      <c r="P265" s="250"/>
      <c r="Q265" s="250"/>
      <c r="R265" s="250"/>
      <c r="S265" s="250"/>
      <c r="T265" s="250"/>
      <c r="U265" s="250"/>
      <c r="V265" s="250"/>
      <c r="W265" s="250"/>
      <c r="X265" s="250"/>
      <c r="Y265" s="250"/>
      <c r="Z265" s="250"/>
      <c r="AA265" s="250"/>
      <c r="AB265" s="250"/>
      <c r="AC265" s="250"/>
      <c r="AD265" s="250"/>
      <c r="AE265" s="251"/>
      <c r="AF265" s="251"/>
      <c r="AG265" s="251"/>
      <c r="AH265" s="251"/>
      <c r="AI265" s="250"/>
    </row>
    <row r="266" spans="2:35" x14ac:dyDescent="0.35">
      <c r="B266" s="250"/>
      <c r="C266" s="250"/>
      <c r="D266" s="250"/>
      <c r="E266" s="250"/>
      <c r="F266" s="250"/>
      <c r="G266" s="250"/>
      <c r="H266" s="250"/>
      <c r="I266" s="250"/>
      <c r="J266" s="250"/>
      <c r="K266" s="250"/>
      <c r="L266" s="250"/>
      <c r="M266" s="250"/>
      <c r="N266" s="250"/>
      <c r="O266" s="250"/>
      <c r="P266" s="250"/>
      <c r="Q266" s="250"/>
      <c r="R266" s="250"/>
      <c r="S266" s="250"/>
      <c r="T266" s="250"/>
      <c r="U266" s="250"/>
      <c r="V266" s="250"/>
      <c r="W266" s="250"/>
      <c r="X266" s="250"/>
      <c r="Y266" s="250"/>
      <c r="Z266" s="250"/>
      <c r="AA266" s="250"/>
      <c r="AB266" s="250"/>
      <c r="AC266" s="250"/>
      <c r="AD266" s="250"/>
      <c r="AE266" s="251"/>
      <c r="AF266" s="251"/>
      <c r="AG266" s="251"/>
      <c r="AH266" s="251"/>
      <c r="AI266" s="250"/>
    </row>
    <row r="267" spans="2:35" x14ac:dyDescent="0.35">
      <c r="B267" s="250"/>
      <c r="C267" s="250"/>
      <c r="D267" s="250"/>
      <c r="E267" s="250"/>
      <c r="F267" s="250"/>
      <c r="G267" s="250"/>
      <c r="H267" s="250"/>
      <c r="I267" s="250"/>
      <c r="J267" s="250"/>
      <c r="K267" s="250"/>
      <c r="L267" s="250"/>
      <c r="M267" s="250"/>
      <c r="N267" s="250"/>
      <c r="O267" s="250"/>
      <c r="P267" s="250"/>
      <c r="Q267" s="250"/>
      <c r="R267" s="250"/>
      <c r="S267" s="250"/>
      <c r="T267" s="250"/>
      <c r="U267" s="250"/>
      <c r="V267" s="250"/>
      <c r="W267" s="250"/>
      <c r="X267" s="250"/>
      <c r="Y267" s="250"/>
      <c r="Z267" s="250"/>
      <c r="AA267" s="250"/>
      <c r="AB267" s="250"/>
      <c r="AC267" s="250"/>
      <c r="AD267" s="250"/>
      <c r="AE267" s="251"/>
      <c r="AF267" s="251"/>
      <c r="AG267" s="251"/>
      <c r="AH267" s="251"/>
      <c r="AI267" s="250"/>
    </row>
    <row r="268" spans="2:35" x14ac:dyDescent="0.35">
      <c r="B268" s="250"/>
      <c r="C268" s="250"/>
      <c r="D268" s="250"/>
      <c r="E268" s="250"/>
      <c r="F268" s="250"/>
      <c r="G268" s="250"/>
      <c r="H268" s="250"/>
      <c r="I268" s="250"/>
      <c r="J268" s="250"/>
      <c r="K268" s="250"/>
      <c r="L268" s="250"/>
      <c r="M268" s="250"/>
      <c r="N268" s="250"/>
      <c r="O268" s="250"/>
      <c r="P268" s="250"/>
      <c r="Q268" s="250"/>
      <c r="R268" s="250"/>
      <c r="S268" s="250"/>
      <c r="T268" s="250"/>
      <c r="U268" s="250"/>
      <c r="V268" s="250"/>
      <c r="W268" s="250"/>
      <c r="X268" s="250"/>
      <c r="Y268" s="250"/>
      <c r="Z268" s="250"/>
      <c r="AA268" s="250"/>
      <c r="AB268" s="250"/>
      <c r="AC268" s="250"/>
      <c r="AD268" s="250"/>
      <c r="AE268" s="251"/>
      <c r="AF268" s="251"/>
      <c r="AG268" s="251"/>
      <c r="AH268" s="251"/>
      <c r="AI268" s="250"/>
    </row>
    <row r="269" spans="2:35" x14ac:dyDescent="0.35">
      <c r="B269" s="250"/>
      <c r="C269" s="250"/>
      <c r="D269" s="250"/>
      <c r="E269" s="250"/>
      <c r="F269" s="250"/>
      <c r="G269" s="250"/>
      <c r="H269" s="250"/>
      <c r="I269" s="250"/>
      <c r="J269" s="250"/>
      <c r="K269" s="250"/>
      <c r="L269" s="250"/>
      <c r="M269" s="250"/>
      <c r="N269" s="250"/>
      <c r="O269" s="250"/>
      <c r="P269" s="250"/>
      <c r="Q269" s="250"/>
      <c r="R269" s="250"/>
      <c r="S269" s="250"/>
      <c r="T269" s="250"/>
      <c r="U269" s="250"/>
      <c r="V269" s="250"/>
      <c r="W269" s="250"/>
      <c r="X269" s="250"/>
      <c r="Y269" s="250"/>
      <c r="Z269" s="250"/>
      <c r="AA269" s="250"/>
      <c r="AB269" s="250"/>
      <c r="AC269" s="250"/>
      <c r="AD269" s="250"/>
      <c r="AE269" s="251"/>
      <c r="AF269" s="251"/>
      <c r="AG269" s="251"/>
      <c r="AH269" s="251"/>
      <c r="AI269" s="250"/>
    </row>
    <row r="270" spans="2:35" x14ac:dyDescent="0.35">
      <c r="B270" s="250"/>
      <c r="C270" s="250"/>
      <c r="D270" s="250"/>
      <c r="E270" s="250"/>
      <c r="F270" s="250"/>
      <c r="G270" s="250"/>
      <c r="H270" s="250"/>
      <c r="I270" s="250"/>
      <c r="J270" s="250"/>
      <c r="K270" s="250"/>
      <c r="L270" s="250"/>
      <c r="M270" s="250"/>
      <c r="N270" s="250"/>
      <c r="O270" s="250"/>
      <c r="P270" s="250"/>
      <c r="Q270" s="250"/>
      <c r="R270" s="250"/>
      <c r="S270" s="250"/>
      <c r="T270" s="250"/>
      <c r="U270" s="250"/>
      <c r="V270" s="250"/>
      <c r="W270" s="250"/>
      <c r="X270" s="250"/>
      <c r="Y270" s="250"/>
      <c r="Z270" s="250"/>
      <c r="AA270" s="250"/>
      <c r="AB270" s="250"/>
      <c r="AC270" s="250"/>
      <c r="AD270" s="250"/>
      <c r="AE270" s="251"/>
      <c r="AF270" s="251"/>
      <c r="AG270" s="251"/>
      <c r="AH270" s="251"/>
      <c r="AI270" s="250"/>
    </row>
    <row r="271" spans="2:35" x14ac:dyDescent="0.35">
      <c r="B271" s="250"/>
      <c r="C271" s="250"/>
      <c r="D271" s="250"/>
      <c r="E271" s="250"/>
      <c r="F271" s="250"/>
      <c r="G271" s="250"/>
      <c r="H271" s="250"/>
      <c r="I271" s="250"/>
      <c r="J271" s="250"/>
      <c r="K271" s="250"/>
      <c r="L271" s="250"/>
      <c r="M271" s="250"/>
      <c r="N271" s="250"/>
      <c r="O271" s="250"/>
      <c r="P271" s="250"/>
      <c r="Q271" s="250"/>
      <c r="R271" s="250"/>
      <c r="S271" s="250"/>
      <c r="T271" s="250"/>
      <c r="U271" s="250"/>
      <c r="V271" s="250"/>
      <c r="W271" s="250"/>
      <c r="X271" s="250"/>
      <c r="Y271" s="250"/>
      <c r="Z271" s="250"/>
      <c r="AA271" s="250"/>
      <c r="AB271" s="250"/>
      <c r="AC271" s="250"/>
      <c r="AD271" s="250"/>
      <c r="AE271" s="251"/>
      <c r="AF271" s="251"/>
      <c r="AG271" s="251"/>
      <c r="AH271" s="251"/>
      <c r="AI271" s="250"/>
    </row>
    <row r="272" spans="2:35" x14ac:dyDescent="0.35">
      <c r="B272" s="250"/>
      <c r="C272" s="250"/>
      <c r="D272" s="250"/>
      <c r="E272" s="250"/>
      <c r="F272" s="250"/>
      <c r="G272" s="250"/>
      <c r="H272" s="250"/>
      <c r="I272" s="250"/>
      <c r="J272" s="250"/>
      <c r="K272" s="250"/>
      <c r="L272" s="250"/>
      <c r="M272" s="250"/>
      <c r="N272" s="250"/>
      <c r="O272" s="250"/>
      <c r="P272" s="250"/>
      <c r="Q272" s="250"/>
      <c r="R272" s="250"/>
      <c r="S272" s="250"/>
      <c r="T272" s="250"/>
      <c r="U272" s="250"/>
      <c r="V272" s="250"/>
      <c r="W272" s="250"/>
      <c r="X272" s="250"/>
      <c r="Y272" s="250"/>
      <c r="Z272" s="250"/>
      <c r="AA272" s="250"/>
      <c r="AB272" s="250"/>
      <c r="AC272" s="250"/>
      <c r="AD272" s="250"/>
      <c r="AE272" s="251"/>
      <c r="AF272" s="251"/>
      <c r="AG272" s="251"/>
      <c r="AH272" s="251"/>
      <c r="AI272" s="250"/>
    </row>
    <row r="273" spans="2:35" x14ac:dyDescent="0.35">
      <c r="B273" s="250"/>
      <c r="C273" s="250"/>
      <c r="D273" s="250"/>
      <c r="E273" s="250"/>
      <c r="F273" s="250"/>
      <c r="G273" s="250"/>
      <c r="H273" s="250"/>
      <c r="I273" s="250"/>
      <c r="J273" s="250"/>
      <c r="K273" s="250"/>
      <c r="L273" s="250"/>
      <c r="M273" s="250"/>
      <c r="N273" s="250"/>
      <c r="O273" s="250"/>
      <c r="P273" s="250"/>
      <c r="Q273" s="250"/>
      <c r="R273" s="250"/>
      <c r="S273" s="250"/>
      <c r="T273" s="250"/>
      <c r="U273" s="250"/>
      <c r="V273" s="250"/>
      <c r="W273" s="250"/>
      <c r="X273" s="250"/>
      <c r="Y273" s="250"/>
      <c r="Z273" s="250"/>
      <c r="AA273" s="250"/>
      <c r="AB273" s="250"/>
      <c r="AC273" s="250"/>
      <c r="AD273" s="250"/>
      <c r="AE273" s="251"/>
      <c r="AF273" s="251"/>
      <c r="AG273" s="251"/>
      <c r="AH273" s="251"/>
      <c r="AI273" s="250"/>
    </row>
    <row r="274" spans="2:35" x14ac:dyDescent="0.35">
      <c r="B274" s="250"/>
      <c r="C274" s="250"/>
      <c r="D274" s="250"/>
      <c r="E274" s="250"/>
      <c r="F274" s="250"/>
      <c r="G274" s="250"/>
      <c r="H274" s="250"/>
      <c r="I274" s="250"/>
      <c r="J274" s="250"/>
      <c r="K274" s="250"/>
      <c r="L274" s="250"/>
      <c r="M274" s="250"/>
      <c r="N274" s="250"/>
      <c r="O274" s="250"/>
      <c r="P274" s="250"/>
      <c r="Q274" s="250"/>
      <c r="R274" s="250"/>
      <c r="S274" s="250"/>
      <c r="T274" s="250"/>
      <c r="U274" s="250"/>
      <c r="V274" s="250"/>
      <c r="W274" s="250"/>
      <c r="X274" s="250"/>
      <c r="Y274" s="250"/>
      <c r="Z274" s="250"/>
      <c r="AA274" s="250"/>
      <c r="AB274" s="250"/>
      <c r="AC274" s="250"/>
      <c r="AD274" s="250"/>
      <c r="AE274" s="251"/>
      <c r="AF274" s="251"/>
      <c r="AG274" s="251"/>
      <c r="AH274" s="251"/>
      <c r="AI274" s="250"/>
    </row>
    <row r="275" spans="2:35" x14ac:dyDescent="0.35">
      <c r="B275" s="250"/>
      <c r="C275" s="250"/>
      <c r="D275" s="250"/>
      <c r="E275" s="250"/>
      <c r="F275" s="250"/>
      <c r="G275" s="250"/>
      <c r="H275" s="250"/>
      <c r="I275" s="250"/>
      <c r="J275" s="250"/>
      <c r="K275" s="250"/>
      <c r="L275" s="250"/>
      <c r="M275" s="250"/>
      <c r="N275" s="250"/>
      <c r="O275" s="250"/>
      <c r="P275" s="250"/>
      <c r="Q275" s="250"/>
      <c r="R275" s="250"/>
      <c r="S275" s="250"/>
      <c r="T275" s="250"/>
      <c r="U275" s="250"/>
      <c r="V275" s="250"/>
      <c r="W275" s="250"/>
      <c r="X275" s="250"/>
      <c r="Y275" s="250"/>
      <c r="Z275" s="250"/>
      <c r="AA275" s="250"/>
      <c r="AB275" s="250"/>
      <c r="AC275" s="250"/>
      <c r="AD275" s="250"/>
      <c r="AE275" s="251"/>
      <c r="AF275" s="251"/>
      <c r="AG275" s="251"/>
      <c r="AH275" s="251"/>
      <c r="AI275" s="250"/>
    </row>
    <row r="276" spans="2:35" x14ac:dyDescent="0.35">
      <c r="AH276" s="252"/>
    </row>
    <row r="277" spans="2:35" x14ac:dyDescent="0.35">
      <c r="AH277" s="252"/>
    </row>
    <row r="278" spans="2:35" x14ac:dyDescent="0.35">
      <c r="AH278" s="252"/>
    </row>
    <row r="279" spans="2:35" x14ac:dyDescent="0.35">
      <c r="AH279" s="252"/>
    </row>
    <row r="280" spans="2:35" x14ac:dyDescent="0.35">
      <c r="AH280" s="252"/>
    </row>
    <row r="281" spans="2:35" x14ac:dyDescent="0.35">
      <c r="AH281" s="252"/>
    </row>
    <row r="282" spans="2:35" x14ac:dyDescent="0.35">
      <c r="AH282" s="252"/>
    </row>
    <row r="283" spans="2:35" x14ac:dyDescent="0.35">
      <c r="AH283" s="252"/>
    </row>
    <row r="284" spans="2:35" x14ac:dyDescent="0.35">
      <c r="AH284" s="252"/>
    </row>
    <row r="285" spans="2:35" x14ac:dyDescent="0.35">
      <c r="AH285" s="252"/>
    </row>
    <row r="286" spans="2:35" x14ac:dyDescent="0.35">
      <c r="AH286" s="252"/>
    </row>
    <row r="287" spans="2:35" x14ac:dyDescent="0.35">
      <c r="AH287" s="252"/>
    </row>
    <row r="288" spans="2:35" x14ac:dyDescent="0.35">
      <c r="AH288" s="252"/>
    </row>
    <row r="289" spans="34:34" x14ac:dyDescent="0.35">
      <c r="AH289" s="252"/>
    </row>
    <row r="290" spans="34:34" x14ac:dyDescent="0.35">
      <c r="AH290" s="252"/>
    </row>
    <row r="291" spans="34:34" x14ac:dyDescent="0.35">
      <c r="AH291" s="252"/>
    </row>
    <row r="292" spans="34:34" x14ac:dyDescent="0.35">
      <c r="AH292" s="252"/>
    </row>
    <row r="293" spans="34:34" x14ac:dyDescent="0.35">
      <c r="AH293" s="252"/>
    </row>
    <row r="294" spans="34:34" x14ac:dyDescent="0.35">
      <c r="AH294" s="252"/>
    </row>
    <row r="295" spans="34:34" x14ac:dyDescent="0.35">
      <c r="AH295" s="252"/>
    </row>
    <row r="296" spans="34:34" x14ac:dyDescent="0.35">
      <c r="AH296" s="252"/>
    </row>
    <row r="297" spans="34:34" x14ac:dyDescent="0.35">
      <c r="AH297" s="252"/>
    </row>
    <row r="298" spans="34:34" x14ac:dyDescent="0.35">
      <c r="AH298" s="252"/>
    </row>
    <row r="299" spans="34:34" x14ac:dyDescent="0.35">
      <c r="AH299" s="252"/>
    </row>
    <row r="300" spans="34:34" x14ac:dyDescent="0.35">
      <c r="AH300" s="252"/>
    </row>
    <row r="301" spans="34:34" x14ac:dyDescent="0.35">
      <c r="AH301" s="252"/>
    </row>
    <row r="302" spans="34:34" x14ac:dyDescent="0.35">
      <c r="AH302" s="252"/>
    </row>
    <row r="303" spans="34:34" x14ac:dyDescent="0.35">
      <c r="AH303" s="252"/>
    </row>
    <row r="304" spans="34:34" x14ac:dyDescent="0.35">
      <c r="AH304" s="252"/>
    </row>
    <row r="305" spans="34:34" x14ac:dyDescent="0.35">
      <c r="AH305" s="252"/>
    </row>
    <row r="306" spans="34:34" x14ac:dyDescent="0.35">
      <c r="AH306" s="252"/>
    </row>
    <row r="307" spans="34:34" x14ac:dyDescent="0.35">
      <c r="AH307" s="252"/>
    </row>
    <row r="308" spans="34:34" x14ac:dyDescent="0.35">
      <c r="AH308" s="252"/>
    </row>
    <row r="309" spans="34:34" x14ac:dyDescent="0.35">
      <c r="AH309" s="252"/>
    </row>
    <row r="310" spans="34:34" x14ac:dyDescent="0.35">
      <c r="AH310" s="252"/>
    </row>
    <row r="311" spans="34:34" x14ac:dyDescent="0.35">
      <c r="AH311" s="252"/>
    </row>
    <row r="312" spans="34:34" x14ac:dyDescent="0.35">
      <c r="AH312" s="252"/>
    </row>
    <row r="313" spans="34:34" x14ac:dyDescent="0.35">
      <c r="AH313" s="252"/>
    </row>
    <row r="314" spans="34:34" x14ac:dyDescent="0.35">
      <c r="AH314" s="252"/>
    </row>
    <row r="315" spans="34:34" x14ac:dyDescent="0.35">
      <c r="AH315" s="252"/>
    </row>
    <row r="316" spans="34:34" x14ac:dyDescent="0.35">
      <c r="AH316" s="252"/>
    </row>
    <row r="317" spans="34:34" x14ac:dyDescent="0.35">
      <c r="AH317" s="252"/>
    </row>
    <row r="318" spans="34:34" x14ac:dyDescent="0.35">
      <c r="AH318" s="252"/>
    </row>
    <row r="319" spans="34:34" x14ac:dyDescent="0.35">
      <c r="AH319" s="252"/>
    </row>
    <row r="320" spans="34:34" x14ac:dyDescent="0.35">
      <c r="AH320" s="252"/>
    </row>
    <row r="321" spans="34:34" x14ac:dyDescent="0.35">
      <c r="AH321" s="252"/>
    </row>
    <row r="322" spans="34:34" x14ac:dyDescent="0.35">
      <c r="AH322" s="252"/>
    </row>
  </sheetData>
  <sortState xmlns:xlrd2="http://schemas.microsoft.com/office/spreadsheetml/2017/richdata2" ref="A1:AI221">
    <sortCondition descending="1" ref="AI1:AI221"/>
  </sortState>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93FA6-4563-4043-B99D-6D974473EFF2}">
  <dimension ref="A1:F10"/>
  <sheetViews>
    <sheetView workbookViewId="0">
      <selection activeCell="C21" sqref="C21"/>
    </sheetView>
  </sheetViews>
  <sheetFormatPr defaultColWidth="30" defaultRowHeight="14.5" x14ac:dyDescent="0.35"/>
  <cols>
    <col min="1" max="1" width="30" style="5"/>
    <col min="2" max="2" width="38" style="5" customWidth="1"/>
    <col min="3" max="3" width="36.81640625" style="5" customWidth="1"/>
    <col min="4" max="4" width="40.81640625" style="114" customWidth="1"/>
    <col min="5" max="5" width="30" style="5"/>
    <col min="6" max="6" width="30.7265625" style="5" bestFit="1" customWidth="1"/>
    <col min="7" max="16384" width="30" style="5"/>
  </cols>
  <sheetData>
    <row r="1" spans="1:6" x14ac:dyDescent="0.35">
      <c r="A1" s="122" t="s">
        <v>2575</v>
      </c>
      <c r="B1" s="122" t="s">
        <v>17</v>
      </c>
      <c r="C1" s="122" t="s">
        <v>19</v>
      </c>
      <c r="D1" s="122" t="s">
        <v>3181</v>
      </c>
      <c r="F1" s="47" t="s">
        <v>3182</v>
      </c>
    </row>
    <row r="2" spans="1:6" x14ac:dyDescent="0.35">
      <c r="A2" s="9" t="s">
        <v>2526</v>
      </c>
      <c r="B2" s="9" t="s">
        <v>3183</v>
      </c>
      <c r="C2" s="87" t="s">
        <v>3184</v>
      </c>
      <c r="D2" s="115">
        <v>2</v>
      </c>
    </row>
    <row r="3" spans="1:6" x14ac:dyDescent="0.35">
      <c r="A3" s="9" t="s">
        <v>117</v>
      </c>
      <c r="B3" s="9" t="s">
        <v>3185</v>
      </c>
      <c r="C3" s="9"/>
      <c r="D3" s="115">
        <v>9</v>
      </c>
    </row>
    <row r="4" spans="1:6" x14ac:dyDescent="0.35">
      <c r="A4" s="9" t="s">
        <v>2574</v>
      </c>
      <c r="B4" s="9" t="s">
        <v>3186</v>
      </c>
      <c r="C4" s="87" t="s">
        <v>3187</v>
      </c>
      <c r="D4" s="115">
        <v>2</v>
      </c>
    </row>
    <row r="5" spans="1:6" ht="29" x14ac:dyDescent="0.35">
      <c r="A5" s="9" t="s">
        <v>346</v>
      </c>
      <c r="B5" s="9" t="s">
        <v>348</v>
      </c>
      <c r="C5" s="87" t="s">
        <v>349</v>
      </c>
      <c r="D5" s="115">
        <v>5</v>
      </c>
    </row>
    <row r="6" spans="1:6" x14ac:dyDescent="0.35">
      <c r="A6" s="9" t="s">
        <v>1778</v>
      </c>
      <c r="B6" s="9" t="s">
        <v>1138</v>
      </c>
      <c r="C6" s="92" t="s">
        <v>1139</v>
      </c>
      <c r="D6" s="115">
        <v>3</v>
      </c>
    </row>
    <row r="7" spans="1:6" x14ac:dyDescent="0.35">
      <c r="A7" s="9" t="s">
        <v>841</v>
      </c>
      <c r="B7" s="9" t="s">
        <v>844</v>
      </c>
      <c r="C7" s="81" t="s">
        <v>845</v>
      </c>
      <c r="D7" s="115">
        <v>2</v>
      </c>
    </row>
    <row r="8" spans="1:6" x14ac:dyDescent="0.35">
      <c r="A8" s="9" t="s">
        <v>3188</v>
      </c>
      <c r="B8" s="9" t="s">
        <v>832</v>
      </c>
      <c r="C8" s="9"/>
      <c r="D8" s="115">
        <v>8</v>
      </c>
    </row>
    <row r="9" spans="1:6" ht="43.5" x14ac:dyDescent="0.35">
      <c r="A9" s="9" t="s">
        <v>747</v>
      </c>
      <c r="B9" s="9" t="s">
        <v>559</v>
      </c>
      <c r="C9" s="87" t="s">
        <v>560</v>
      </c>
      <c r="D9" s="115">
        <v>1</v>
      </c>
    </row>
    <row r="10" spans="1:6" x14ac:dyDescent="0.35">
      <c r="A10" s="9"/>
      <c r="B10" s="9"/>
      <c r="C10" s="9"/>
      <c r="D10" s="115"/>
    </row>
  </sheetData>
  <hyperlinks>
    <hyperlink ref="C2" r:id="rId1" xr:uid="{F3150FAB-F9C4-4D0E-865A-6E48AC638912}"/>
    <hyperlink ref="C4" r:id="rId2" display="mailto:shaneil@wlnarkansas.org" xr:uid="{1FE3F4DB-93AD-499C-85F5-58C7F3ABA0E1}"/>
    <hyperlink ref="C5" r:id="rId3" display="mailto:ADuVall@rockefellerinstitute.org" xr:uid="{5B5D3E54-9970-4100-BC56-6FD98030AE5A}"/>
    <hyperlink ref="C6" r:id="rId4" display="mailto:rjohnson@bandapm.com" xr:uid="{40577F54-622A-48C8-8A0C-AAFC1D5F17A6}"/>
    <hyperlink ref="C7" r:id="rId5" display="mailto:David@littlerockconwaysign.com" xr:uid="{9C08009A-DF05-4041-A36F-11F762827474}"/>
    <hyperlink ref="C9" r:id="rId6" display="mailto:heather.finch@staleyelectric.com" xr:uid="{7C7D25AC-1B59-4E2E-8728-048E353E54FF}"/>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71EAD-06D8-4FAD-B6F8-4E11EF078DD9}">
  <dimension ref="A1:B5"/>
  <sheetViews>
    <sheetView workbookViewId="0">
      <selection activeCell="G9" sqref="G9"/>
    </sheetView>
  </sheetViews>
  <sheetFormatPr defaultRowHeight="14.5" x14ac:dyDescent="0.35"/>
  <cols>
    <col min="1" max="1" width="14" bestFit="1" customWidth="1"/>
    <col min="2" max="2" width="16.1796875" bestFit="1" customWidth="1"/>
  </cols>
  <sheetData>
    <row r="1" spans="1:2" x14ac:dyDescent="0.35">
      <c r="A1" s="72" t="s">
        <v>3189</v>
      </c>
      <c r="B1" s="72" t="s">
        <v>3190</v>
      </c>
    </row>
    <row r="2" spans="1:2" x14ac:dyDescent="0.35">
      <c r="A2" s="72" t="s">
        <v>131</v>
      </c>
      <c r="B2" s="72" t="s">
        <v>3191</v>
      </c>
    </row>
    <row r="3" spans="1:2" x14ac:dyDescent="0.35">
      <c r="A3" s="72" t="s">
        <v>39</v>
      </c>
      <c r="B3" s="72" t="s">
        <v>3192</v>
      </c>
    </row>
    <row r="4" spans="1:2" x14ac:dyDescent="0.35">
      <c r="A4" s="72" t="s">
        <v>109</v>
      </c>
      <c r="B4" s="72" t="s">
        <v>3193</v>
      </c>
    </row>
    <row r="5" spans="1:2" x14ac:dyDescent="0.35">
      <c r="A5" s="72" t="s">
        <v>3194</v>
      </c>
      <c r="B5" s="72" t="s">
        <v>3195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8D87-4A1A-44AF-BB91-EB1732BEBCA0}">
  <dimension ref="A2:AJ126"/>
  <sheetViews>
    <sheetView workbookViewId="0">
      <pane ySplit="2" topLeftCell="A3" activePane="bottomLeft" state="frozen"/>
      <selection pane="bottomLeft" activeCell="AK75" sqref="AK75"/>
    </sheetView>
  </sheetViews>
  <sheetFormatPr defaultColWidth="64.453125" defaultRowHeight="14.5" x14ac:dyDescent="0.35"/>
  <cols>
    <col min="1" max="1" width="55.1796875" style="5" bestFit="1" customWidth="1"/>
    <col min="2" max="2" width="23.81640625" style="5" hidden="1" customWidth="1"/>
    <col min="3" max="3" width="17.453125" style="5" hidden="1" customWidth="1"/>
    <col min="4" max="4" width="21.54296875" style="5" hidden="1" customWidth="1"/>
    <col min="5" max="5" width="15.453125" style="5" hidden="1" customWidth="1"/>
    <col min="6" max="6" width="23.81640625" style="5" hidden="1" customWidth="1"/>
    <col min="7" max="7" width="23.26953125" style="5" hidden="1" customWidth="1"/>
    <col min="8" max="8" width="22.1796875" style="5" hidden="1" customWidth="1"/>
    <col min="9" max="9" width="22" style="5" hidden="1" customWidth="1"/>
    <col min="10" max="10" width="17.453125" style="5" hidden="1" customWidth="1"/>
    <col min="11" max="11" width="10.453125" style="5" hidden="1" customWidth="1"/>
    <col min="12" max="12" width="27.7265625" style="5" hidden="1" customWidth="1"/>
    <col min="13" max="13" width="12.81640625" style="5" hidden="1" customWidth="1"/>
    <col min="14" max="14" width="10.1796875" style="5" hidden="1" customWidth="1"/>
    <col min="15" max="15" width="22.7265625" style="5" hidden="1" customWidth="1"/>
    <col min="16" max="16" width="22.1796875" style="5" hidden="1" customWidth="1"/>
    <col min="17" max="17" width="21.54296875" style="5" hidden="1" customWidth="1"/>
    <col min="18" max="18" width="11.7265625" style="5" hidden="1" customWidth="1"/>
    <col min="19" max="19" width="17.81640625" style="5" hidden="1" customWidth="1"/>
    <col min="20" max="20" width="16.54296875" style="5" hidden="1" customWidth="1"/>
    <col min="21" max="21" width="18.81640625" style="5" hidden="1" customWidth="1"/>
    <col min="22" max="22" width="9.1796875" style="5" hidden="1" customWidth="1"/>
    <col min="23" max="23" width="18.7265625" style="5" hidden="1" customWidth="1"/>
    <col min="24" max="24" width="8" style="5" hidden="1" customWidth="1"/>
    <col min="25" max="25" width="16.54296875" style="5" hidden="1" customWidth="1"/>
    <col min="26" max="26" width="10.1796875" style="5" hidden="1" customWidth="1"/>
    <col min="27" max="27" width="13.453125" style="5" hidden="1" customWidth="1"/>
    <col min="28" max="28" width="16.7265625" style="5" hidden="1" customWidth="1"/>
    <col min="29" max="29" width="27" style="5" hidden="1" customWidth="1"/>
    <col min="30" max="30" width="20.54296875" style="5" hidden="1" customWidth="1"/>
    <col min="31" max="31" width="9.1796875" style="5" hidden="1" customWidth="1"/>
    <col min="32" max="32" width="11.1796875" style="5" hidden="1" customWidth="1"/>
    <col min="33" max="33" width="10.1796875" style="5" hidden="1" customWidth="1"/>
    <col min="34" max="34" width="11.1796875" style="5" hidden="1" customWidth="1"/>
    <col min="35" max="35" width="12.7265625" style="5" bestFit="1" customWidth="1"/>
    <col min="36" max="36" width="9.1796875" style="5" bestFit="1" customWidth="1"/>
    <col min="37" max="16384" width="64.453125" style="5"/>
  </cols>
  <sheetData>
    <row r="2" spans="1:36" s="249" customFormat="1" x14ac:dyDescent="0.35">
      <c r="A2" s="122" t="s">
        <v>2575</v>
      </c>
      <c r="B2" s="122" t="s">
        <v>0</v>
      </c>
      <c r="C2" s="122" t="s">
        <v>100</v>
      </c>
      <c r="D2" s="122" t="s">
        <v>474</v>
      </c>
      <c r="E2" s="122" t="s">
        <v>594</v>
      </c>
      <c r="F2" s="122" t="s">
        <v>620</v>
      </c>
      <c r="G2" s="122" t="s">
        <v>2576</v>
      </c>
      <c r="H2" s="122" t="s">
        <v>2577</v>
      </c>
      <c r="I2" s="122" t="s">
        <v>1243</v>
      </c>
      <c r="J2" s="122" t="s">
        <v>1262</v>
      </c>
      <c r="K2" s="122" t="s">
        <v>1330</v>
      </c>
      <c r="L2" s="122" t="s">
        <v>2578</v>
      </c>
      <c r="M2" s="122" t="s">
        <v>1485</v>
      </c>
      <c r="N2" s="122" t="s">
        <v>1524</v>
      </c>
      <c r="O2" s="122" t="s">
        <v>1553</v>
      </c>
      <c r="P2" s="122" t="s">
        <v>1564</v>
      </c>
      <c r="Q2" s="122" t="s">
        <v>2579</v>
      </c>
      <c r="R2" s="122" t="s">
        <v>1653</v>
      </c>
      <c r="S2" s="122" t="s">
        <v>1701</v>
      </c>
      <c r="T2" s="122" t="s">
        <v>1731</v>
      </c>
      <c r="U2" s="122" t="s">
        <v>1760</v>
      </c>
      <c r="V2" s="122" t="s">
        <v>2580</v>
      </c>
      <c r="W2" s="122" t="s">
        <v>1882</v>
      </c>
      <c r="X2" s="122" t="s">
        <v>2581</v>
      </c>
      <c r="Y2" s="122" t="s">
        <v>2112</v>
      </c>
      <c r="Z2" s="122" t="s">
        <v>2143</v>
      </c>
      <c r="AA2" s="122" t="s">
        <v>2582</v>
      </c>
      <c r="AB2" s="122" t="s">
        <v>2354</v>
      </c>
      <c r="AC2" s="122" t="s">
        <v>2507</v>
      </c>
      <c r="AD2" s="122" t="s">
        <v>2523</v>
      </c>
      <c r="AE2" s="122" t="s">
        <v>2583</v>
      </c>
      <c r="AF2" s="122" t="s">
        <v>2584</v>
      </c>
      <c r="AG2" s="122" t="s">
        <v>2585</v>
      </c>
      <c r="AH2" s="122" t="s">
        <v>2586</v>
      </c>
      <c r="AI2" s="122" t="s">
        <v>99</v>
      </c>
      <c r="AJ2" s="122" t="s">
        <v>3196</v>
      </c>
    </row>
    <row r="3" spans="1:36" s="249" customFormat="1" x14ac:dyDescent="0.35">
      <c r="A3" s="268" t="s">
        <v>3197</v>
      </c>
      <c r="B3" s="247">
        <v>3500</v>
      </c>
      <c r="C3" s="247">
        <v>15000</v>
      </c>
      <c r="D3" s="247">
        <v>0</v>
      </c>
      <c r="E3" s="247">
        <v>0</v>
      </c>
      <c r="F3" s="247">
        <v>1000</v>
      </c>
      <c r="G3" s="247">
        <v>1000</v>
      </c>
      <c r="H3" s="247">
        <v>0</v>
      </c>
      <c r="I3" s="247">
        <v>1000</v>
      </c>
      <c r="J3" s="247">
        <v>0</v>
      </c>
      <c r="K3" s="247">
        <v>0</v>
      </c>
      <c r="L3" s="247">
        <v>0</v>
      </c>
      <c r="M3" s="247">
        <v>3590</v>
      </c>
      <c r="N3" s="247">
        <v>1000</v>
      </c>
      <c r="O3" s="247">
        <v>1000</v>
      </c>
      <c r="P3" s="247">
        <v>3000</v>
      </c>
      <c r="Q3" s="247">
        <v>1000</v>
      </c>
      <c r="R3" s="247">
        <v>0</v>
      </c>
      <c r="S3" s="247">
        <v>3000</v>
      </c>
      <c r="T3" s="247">
        <v>0</v>
      </c>
      <c r="U3" s="247">
        <v>0</v>
      </c>
      <c r="V3" s="247">
        <v>0</v>
      </c>
      <c r="W3" s="247">
        <v>0</v>
      </c>
      <c r="X3" s="247">
        <v>0</v>
      </c>
      <c r="Y3" s="247">
        <v>0</v>
      </c>
      <c r="Z3" s="247">
        <v>10000</v>
      </c>
      <c r="AA3" s="247">
        <v>0</v>
      </c>
      <c r="AB3" s="247">
        <v>25000</v>
      </c>
      <c r="AC3" s="247">
        <v>0</v>
      </c>
      <c r="AD3" s="247">
        <v>2500</v>
      </c>
      <c r="AE3" s="248">
        <v>1000</v>
      </c>
      <c r="AF3" s="248">
        <v>3000</v>
      </c>
      <c r="AG3" s="248">
        <v>3000</v>
      </c>
      <c r="AH3" s="248">
        <v>0</v>
      </c>
      <c r="AI3" s="247">
        <f t="shared" ref="AI3:AI9" si="0">SUM(B3:AH3)</f>
        <v>78590</v>
      </c>
      <c r="AJ3" s="249" t="s">
        <v>2525</v>
      </c>
    </row>
    <row r="4" spans="1:36" s="249" customFormat="1" x14ac:dyDescent="0.35">
      <c r="A4" s="268" t="s">
        <v>3198</v>
      </c>
      <c r="B4" s="247">
        <v>0</v>
      </c>
      <c r="C4" s="247">
        <v>5000</v>
      </c>
      <c r="D4" s="247">
        <v>0</v>
      </c>
      <c r="E4" s="247">
        <v>0</v>
      </c>
      <c r="F4" s="247">
        <v>0</v>
      </c>
      <c r="G4" s="247">
        <v>0</v>
      </c>
      <c r="H4" s="247">
        <v>0</v>
      </c>
      <c r="I4" s="247">
        <v>0</v>
      </c>
      <c r="J4" s="247">
        <v>0</v>
      </c>
      <c r="K4" s="247">
        <v>2000</v>
      </c>
      <c r="L4" s="247">
        <v>600</v>
      </c>
      <c r="M4" s="247">
        <v>1795</v>
      </c>
      <c r="N4" s="247">
        <v>0</v>
      </c>
      <c r="O4" s="247">
        <v>0</v>
      </c>
      <c r="P4" s="247">
        <v>3000</v>
      </c>
      <c r="Q4" s="247">
        <v>1000</v>
      </c>
      <c r="R4" s="247">
        <v>10000</v>
      </c>
      <c r="S4" s="247">
        <v>0</v>
      </c>
      <c r="T4" s="247">
        <v>0</v>
      </c>
      <c r="U4" s="247">
        <v>0</v>
      </c>
      <c r="V4" s="247">
        <v>0</v>
      </c>
      <c r="W4" s="247">
        <v>0</v>
      </c>
      <c r="X4" s="247">
        <v>0</v>
      </c>
      <c r="Y4" s="247">
        <v>0</v>
      </c>
      <c r="Z4" s="247">
        <v>7000</v>
      </c>
      <c r="AA4" s="247">
        <v>5000</v>
      </c>
      <c r="AB4" s="247">
        <v>30000</v>
      </c>
      <c r="AC4" s="247">
        <v>0</v>
      </c>
      <c r="AD4" s="247">
        <v>5000</v>
      </c>
      <c r="AE4" s="248">
        <v>2500</v>
      </c>
      <c r="AF4" s="248">
        <v>1500</v>
      </c>
      <c r="AG4" s="248">
        <v>2500</v>
      </c>
      <c r="AH4" s="248">
        <v>0</v>
      </c>
      <c r="AI4" s="247">
        <f t="shared" si="0"/>
        <v>76895</v>
      </c>
      <c r="AJ4" s="249" t="s">
        <v>2525</v>
      </c>
    </row>
    <row r="5" spans="1:36" s="249" customFormat="1" x14ac:dyDescent="0.35">
      <c r="A5" s="38" t="s">
        <v>170</v>
      </c>
      <c r="B5" s="250">
        <v>0</v>
      </c>
      <c r="C5" s="250">
        <v>2850</v>
      </c>
      <c r="D5" s="250">
        <v>0</v>
      </c>
      <c r="E5" s="250">
        <v>0</v>
      </c>
      <c r="F5" s="250">
        <v>0</v>
      </c>
      <c r="G5" s="250">
        <v>2000</v>
      </c>
      <c r="H5" s="250">
        <v>0</v>
      </c>
      <c r="I5" s="250">
        <v>1000</v>
      </c>
      <c r="J5" s="250">
        <v>0</v>
      </c>
      <c r="K5" s="250">
        <v>3000</v>
      </c>
      <c r="L5" s="250">
        <v>0</v>
      </c>
      <c r="M5" s="250">
        <v>1795</v>
      </c>
      <c r="N5" s="250">
        <v>1000</v>
      </c>
      <c r="O5" s="250">
        <v>0</v>
      </c>
      <c r="P5" s="250">
        <v>0</v>
      </c>
      <c r="Q5" s="250">
        <v>2500</v>
      </c>
      <c r="R5" s="250">
        <v>3000</v>
      </c>
      <c r="S5" s="250">
        <v>1500</v>
      </c>
      <c r="T5" s="250">
        <v>0</v>
      </c>
      <c r="U5" s="250">
        <v>0</v>
      </c>
      <c r="V5" s="250"/>
      <c r="W5" s="250">
        <v>5000</v>
      </c>
      <c r="X5" s="250">
        <v>0</v>
      </c>
      <c r="Y5" s="250">
        <v>0</v>
      </c>
      <c r="Z5" s="250">
        <v>5000</v>
      </c>
      <c r="AA5" s="250">
        <v>0</v>
      </c>
      <c r="AB5" s="250">
        <v>25000</v>
      </c>
      <c r="AC5" s="250">
        <v>1200</v>
      </c>
      <c r="AD5" s="250">
        <v>1000</v>
      </c>
      <c r="AE5" s="251">
        <v>1000</v>
      </c>
      <c r="AF5" s="251">
        <v>1500</v>
      </c>
      <c r="AG5" s="251">
        <v>2600</v>
      </c>
      <c r="AH5" s="251">
        <v>9020</v>
      </c>
      <c r="AI5" s="250">
        <f t="shared" si="0"/>
        <v>69965</v>
      </c>
      <c r="AJ5" s="249" t="s">
        <v>2525</v>
      </c>
    </row>
    <row r="6" spans="1:36" s="249" customFormat="1" x14ac:dyDescent="0.35">
      <c r="A6" s="38" t="s">
        <v>38</v>
      </c>
      <c r="B6" s="250">
        <v>0</v>
      </c>
      <c r="C6" s="250">
        <v>7500</v>
      </c>
      <c r="D6" s="250">
        <v>0</v>
      </c>
      <c r="E6" s="250">
        <v>0</v>
      </c>
      <c r="F6" s="250">
        <v>0</v>
      </c>
      <c r="G6" s="250">
        <v>0</v>
      </c>
      <c r="H6" s="250">
        <v>0</v>
      </c>
      <c r="I6" s="250">
        <v>1000</v>
      </c>
      <c r="J6" s="250">
        <v>0</v>
      </c>
      <c r="K6" s="250">
        <v>2295</v>
      </c>
      <c r="L6" s="250">
        <v>0</v>
      </c>
      <c r="M6" s="250">
        <v>3590</v>
      </c>
      <c r="N6" s="250">
        <v>1600</v>
      </c>
      <c r="O6" s="250">
        <v>2500</v>
      </c>
      <c r="P6" s="250">
        <v>0</v>
      </c>
      <c r="Q6" s="250">
        <v>2500</v>
      </c>
      <c r="R6" s="250">
        <v>2000</v>
      </c>
      <c r="S6" s="250">
        <v>1500</v>
      </c>
      <c r="T6" s="250">
        <v>0</v>
      </c>
      <c r="U6" s="250">
        <v>2500</v>
      </c>
      <c r="V6" s="250">
        <v>0</v>
      </c>
      <c r="W6" s="250">
        <v>5000</v>
      </c>
      <c r="X6" s="250">
        <v>0</v>
      </c>
      <c r="Y6" s="250">
        <v>0</v>
      </c>
      <c r="Z6" s="250">
        <v>10000</v>
      </c>
      <c r="AA6" s="250">
        <v>2500</v>
      </c>
      <c r="AB6" s="250">
        <v>10000</v>
      </c>
      <c r="AC6" s="250">
        <v>0</v>
      </c>
      <c r="AD6" s="250">
        <v>2500</v>
      </c>
      <c r="AE6" s="251">
        <v>5000</v>
      </c>
      <c r="AF6" s="251">
        <v>100000</v>
      </c>
      <c r="AG6" s="251">
        <v>2500</v>
      </c>
      <c r="AH6" s="251">
        <v>100000</v>
      </c>
      <c r="AI6" s="250">
        <f t="shared" si="0"/>
        <v>264485</v>
      </c>
      <c r="AJ6" s="249" t="s">
        <v>2525</v>
      </c>
    </row>
    <row r="7" spans="1:36" s="249" customFormat="1" x14ac:dyDescent="0.35">
      <c r="A7" s="268" t="s">
        <v>2724</v>
      </c>
      <c r="B7" s="250">
        <v>500</v>
      </c>
      <c r="C7" s="250">
        <v>10000</v>
      </c>
      <c r="D7" s="250">
        <v>500</v>
      </c>
      <c r="E7" s="250">
        <v>7500</v>
      </c>
      <c r="F7" s="250">
        <v>500</v>
      </c>
      <c r="G7" s="250">
        <v>1000</v>
      </c>
      <c r="H7" s="250">
        <v>2500</v>
      </c>
      <c r="I7" s="250">
        <v>1000</v>
      </c>
      <c r="J7" s="250">
        <v>0</v>
      </c>
      <c r="K7" s="250">
        <v>3000</v>
      </c>
      <c r="L7" s="250">
        <v>1200</v>
      </c>
      <c r="M7" s="250">
        <v>5385</v>
      </c>
      <c r="N7" s="250">
        <v>2500</v>
      </c>
      <c r="O7" s="250">
        <v>1000</v>
      </c>
      <c r="P7" s="250">
        <v>3000</v>
      </c>
      <c r="Q7" s="250">
        <v>5000</v>
      </c>
      <c r="R7" s="250">
        <v>0</v>
      </c>
      <c r="S7" s="250">
        <v>3500</v>
      </c>
      <c r="T7" s="250">
        <v>10000</v>
      </c>
      <c r="U7" s="250">
        <v>1000</v>
      </c>
      <c r="V7" s="250">
        <v>0</v>
      </c>
      <c r="W7" s="250">
        <v>11700</v>
      </c>
      <c r="X7" s="250">
        <v>0</v>
      </c>
      <c r="Y7" s="250">
        <v>1000</v>
      </c>
      <c r="Z7" s="250">
        <v>2500</v>
      </c>
      <c r="AA7" s="250">
        <v>2500</v>
      </c>
      <c r="AB7" s="250">
        <v>5000</v>
      </c>
      <c r="AC7" s="250">
        <v>1200</v>
      </c>
      <c r="AD7" s="250">
        <v>1000</v>
      </c>
      <c r="AE7" s="251">
        <v>3000</v>
      </c>
      <c r="AF7" s="251">
        <v>2500</v>
      </c>
      <c r="AG7" s="251">
        <v>3250</v>
      </c>
      <c r="AH7" s="251">
        <v>0</v>
      </c>
      <c r="AI7" s="250">
        <f t="shared" si="0"/>
        <v>92735</v>
      </c>
      <c r="AJ7" s="249" t="s">
        <v>2525</v>
      </c>
    </row>
    <row r="8" spans="1:36" s="249" customFormat="1" x14ac:dyDescent="0.35">
      <c r="A8" s="38" t="s">
        <v>1519</v>
      </c>
      <c r="B8" s="250">
        <v>2500</v>
      </c>
      <c r="C8" s="250">
        <v>10000</v>
      </c>
      <c r="D8" s="250">
        <v>2500</v>
      </c>
      <c r="E8" s="250">
        <v>0</v>
      </c>
      <c r="F8" s="250">
        <v>1350</v>
      </c>
      <c r="G8" s="250">
        <v>500</v>
      </c>
      <c r="H8" s="250">
        <v>2500</v>
      </c>
      <c r="I8" s="250">
        <v>2500</v>
      </c>
      <c r="J8" s="250">
        <v>0</v>
      </c>
      <c r="K8" s="250">
        <v>0</v>
      </c>
      <c r="L8" s="250">
        <v>2500</v>
      </c>
      <c r="M8" s="250">
        <v>0</v>
      </c>
      <c r="N8" s="250">
        <v>6795</v>
      </c>
      <c r="O8" s="250">
        <v>2500</v>
      </c>
      <c r="P8" s="250">
        <v>3000</v>
      </c>
      <c r="Q8" s="250">
        <v>5000</v>
      </c>
      <c r="R8" s="250">
        <v>5000</v>
      </c>
      <c r="S8" s="250">
        <v>3500</v>
      </c>
      <c r="T8" s="250">
        <v>7500</v>
      </c>
      <c r="U8" s="250">
        <v>1000</v>
      </c>
      <c r="V8" s="250">
        <v>0</v>
      </c>
      <c r="W8" s="250">
        <v>4000</v>
      </c>
      <c r="X8" s="250">
        <v>0</v>
      </c>
      <c r="Y8" s="250">
        <v>2500</v>
      </c>
      <c r="Z8" s="250">
        <v>10000</v>
      </c>
      <c r="AA8" s="250">
        <v>0</v>
      </c>
      <c r="AB8" s="250">
        <v>10000</v>
      </c>
      <c r="AC8" s="250">
        <v>0</v>
      </c>
      <c r="AD8" s="250">
        <v>3500</v>
      </c>
      <c r="AE8" s="251">
        <v>500</v>
      </c>
      <c r="AF8" s="251">
        <v>3000</v>
      </c>
      <c r="AG8" s="251">
        <v>550</v>
      </c>
      <c r="AH8" s="251">
        <v>0</v>
      </c>
      <c r="AI8" s="250">
        <f t="shared" si="0"/>
        <v>92695</v>
      </c>
      <c r="AJ8" s="249" t="s">
        <v>2525</v>
      </c>
    </row>
    <row r="9" spans="1:36" s="249" customFormat="1" x14ac:dyDescent="0.35">
      <c r="A9" s="38" t="s">
        <v>1373</v>
      </c>
      <c r="B9" s="250">
        <v>0</v>
      </c>
      <c r="C9" s="250">
        <v>0</v>
      </c>
      <c r="D9" s="250">
        <v>0</v>
      </c>
      <c r="E9" s="250">
        <v>0</v>
      </c>
      <c r="F9" s="250">
        <v>0</v>
      </c>
      <c r="G9" s="250">
        <v>0</v>
      </c>
      <c r="H9" s="250">
        <v>0</v>
      </c>
      <c r="I9" s="250">
        <v>0</v>
      </c>
      <c r="J9" s="250">
        <v>0</v>
      </c>
      <c r="K9" s="250">
        <v>2000</v>
      </c>
      <c r="L9" s="250">
        <v>0</v>
      </c>
      <c r="M9" s="250">
        <v>0</v>
      </c>
      <c r="N9" s="250">
        <v>0</v>
      </c>
      <c r="O9" s="250">
        <v>0</v>
      </c>
      <c r="P9" s="250">
        <v>0</v>
      </c>
      <c r="Q9" s="250">
        <v>0</v>
      </c>
      <c r="R9" s="250">
        <v>0</v>
      </c>
      <c r="S9" s="250">
        <v>0</v>
      </c>
      <c r="T9" s="250">
        <v>0</v>
      </c>
      <c r="U9" s="250">
        <v>0</v>
      </c>
      <c r="V9" s="250">
        <v>0</v>
      </c>
      <c r="W9" s="250">
        <v>0</v>
      </c>
      <c r="X9" s="250">
        <v>0</v>
      </c>
      <c r="Y9" s="250">
        <v>0</v>
      </c>
      <c r="Z9" s="250">
        <v>0</v>
      </c>
      <c r="AA9" s="250">
        <v>0</v>
      </c>
      <c r="AB9" s="250">
        <v>15000</v>
      </c>
      <c r="AC9" s="250">
        <v>0</v>
      </c>
      <c r="AD9" s="250">
        <v>0</v>
      </c>
      <c r="AE9" s="251">
        <v>0</v>
      </c>
      <c r="AF9" s="251">
        <v>0</v>
      </c>
      <c r="AG9" s="251">
        <v>0</v>
      </c>
      <c r="AH9" s="251">
        <v>217285</v>
      </c>
      <c r="AI9" s="250">
        <f t="shared" si="0"/>
        <v>234285</v>
      </c>
      <c r="AJ9" s="249" t="s">
        <v>2525</v>
      </c>
    </row>
    <row r="10" spans="1:36" s="249" customFormat="1" x14ac:dyDescent="0.35">
      <c r="A10" s="5"/>
      <c r="B10" s="250"/>
      <c r="C10" s="250"/>
      <c r="D10" s="250"/>
      <c r="E10" s="250"/>
      <c r="F10" s="250"/>
      <c r="G10" s="250"/>
      <c r="H10" s="250"/>
      <c r="I10" s="250"/>
      <c r="J10" s="250"/>
      <c r="K10" s="250"/>
      <c r="L10" s="250"/>
      <c r="M10" s="250"/>
      <c r="N10" s="250"/>
      <c r="O10" s="250"/>
      <c r="P10" s="250"/>
      <c r="Q10" s="250"/>
      <c r="R10" s="250"/>
      <c r="S10" s="250"/>
      <c r="T10" s="250"/>
      <c r="U10" s="250"/>
      <c r="V10" s="250"/>
      <c r="W10" s="250"/>
      <c r="X10" s="250"/>
      <c r="Y10" s="250"/>
      <c r="Z10" s="250"/>
      <c r="AA10" s="250"/>
      <c r="AB10" s="250"/>
      <c r="AC10" s="250"/>
      <c r="AD10" s="250"/>
      <c r="AE10" s="251"/>
      <c r="AF10" s="251"/>
      <c r="AG10" s="251"/>
      <c r="AH10" s="251"/>
      <c r="AI10" s="250"/>
    </row>
    <row r="11" spans="1:36" s="249" customFormat="1" x14ac:dyDescent="0.35">
      <c r="A11" s="5"/>
      <c r="B11" s="250"/>
      <c r="C11" s="250"/>
      <c r="D11" s="250"/>
      <c r="E11" s="250"/>
      <c r="F11" s="250"/>
      <c r="G11" s="250"/>
      <c r="H11" s="250"/>
      <c r="I11" s="250"/>
      <c r="J11" s="250"/>
      <c r="K11" s="250"/>
      <c r="L11" s="250"/>
      <c r="M11" s="250"/>
      <c r="N11" s="250"/>
      <c r="O11" s="250"/>
      <c r="P11" s="250"/>
      <c r="Q11" s="250"/>
      <c r="R11" s="250"/>
      <c r="S11" s="250"/>
      <c r="T11" s="250"/>
      <c r="U11" s="250"/>
      <c r="V11" s="250"/>
      <c r="W11" s="250"/>
      <c r="X11" s="250"/>
      <c r="Y11" s="250"/>
      <c r="Z11" s="250"/>
      <c r="AA11" s="250"/>
      <c r="AB11" s="250"/>
      <c r="AC11" s="250"/>
      <c r="AD11" s="250"/>
      <c r="AE11" s="251"/>
      <c r="AF11" s="251"/>
      <c r="AG11" s="251"/>
      <c r="AH11" s="251"/>
      <c r="AI11" s="250"/>
    </row>
    <row r="12" spans="1:36" s="249" customFormat="1" x14ac:dyDescent="0.35">
      <c r="A12" s="268" t="s">
        <v>1137</v>
      </c>
      <c r="B12" s="247">
        <v>0</v>
      </c>
      <c r="C12" s="247">
        <v>2850</v>
      </c>
      <c r="D12" s="247">
        <v>0</v>
      </c>
      <c r="E12" s="247">
        <v>0</v>
      </c>
      <c r="F12" s="247">
        <v>0</v>
      </c>
      <c r="G12" s="247">
        <v>500</v>
      </c>
      <c r="H12" s="247">
        <v>0</v>
      </c>
      <c r="I12" s="247">
        <v>1000</v>
      </c>
      <c r="J12" s="247">
        <v>0</v>
      </c>
      <c r="K12" s="247">
        <v>0</v>
      </c>
      <c r="L12" s="247">
        <v>0</v>
      </c>
      <c r="M12" s="247">
        <v>1795</v>
      </c>
      <c r="N12" s="247">
        <v>0</v>
      </c>
      <c r="O12" s="247">
        <v>1000</v>
      </c>
      <c r="P12" s="247">
        <v>3000</v>
      </c>
      <c r="Q12" s="247">
        <v>0</v>
      </c>
      <c r="R12" s="247">
        <v>0</v>
      </c>
      <c r="S12" s="247">
        <v>0</v>
      </c>
      <c r="T12" s="247">
        <v>0</v>
      </c>
      <c r="U12" s="247">
        <v>500</v>
      </c>
      <c r="V12" s="247">
        <v>0</v>
      </c>
      <c r="W12" s="247">
        <v>20166</v>
      </c>
      <c r="X12" s="247">
        <v>0</v>
      </c>
      <c r="Y12" s="247">
        <v>0</v>
      </c>
      <c r="Z12" s="247">
        <v>0</v>
      </c>
      <c r="AA12" s="247">
        <v>0</v>
      </c>
      <c r="AB12" s="247">
        <v>0</v>
      </c>
      <c r="AC12" s="247">
        <v>1200</v>
      </c>
      <c r="AD12" s="247">
        <v>1000</v>
      </c>
      <c r="AE12" s="248">
        <v>500</v>
      </c>
      <c r="AF12" s="248">
        <v>3000</v>
      </c>
      <c r="AG12" s="248">
        <v>4788</v>
      </c>
      <c r="AH12" s="248">
        <v>0</v>
      </c>
      <c r="AI12" s="247">
        <f t="shared" ref="AI12:AI25" si="1">SUM(B12:AH12)</f>
        <v>41299</v>
      </c>
      <c r="AJ12" s="249" t="s">
        <v>131</v>
      </c>
    </row>
    <row r="13" spans="1:36" s="249" customFormat="1" x14ac:dyDescent="0.35">
      <c r="A13" s="268" t="s">
        <v>129</v>
      </c>
      <c r="B13" s="247">
        <v>0</v>
      </c>
      <c r="C13" s="247">
        <v>0</v>
      </c>
      <c r="D13" s="247">
        <v>0</v>
      </c>
      <c r="E13" s="247">
        <v>0</v>
      </c>
      <c r="F13" s="247">
        <v>0</v>
      </c>
      <c r="G13" s="247">
        <v>500</v>
      </c>
      <c r="H13" s="247">
        <v>0</v>
      </c>
      <c r="I13" s="247">
        <v>0</v>
      </c>
      <c r="J13" s="247">
        <v>0</v>
      </c>
      <c r="K13" s="247">
        <v>0</v>
      </c>
      <c r="L13" s="247">
        <v>0</v>
      </c>
      <c r="M13" s="247">
        <v>0</v>
      </c>
      <c r="N13" s="247">
        <v>0</v>
      </c>
      <c r="O13" s="247">
        <v>0</v>
      </c>
      <c r="P13" s="247">
        <v>0</v>
      </c>
      <c r="Q13" s="247">
        <v>0</v>
      </c>
      <c r="R13" s="247">
        <v>0</v>
      </c>
      <c r="S13" s="247">
        <v>0</v>
      </c>
      <c r="T13" s="247">
        <v>0</v>
      </c>
      <c r="U13" s="247">
        <v>0</v>
      </c>
      <c r="V13" s="247">
        <v>0</v>
      </c>
      <c r="W13" s="247">
        <v>0</v>
      </c>
      <c r="X13" s="247">
        <v>0</v>
      </c>
      <c r="Y13" s="247">
        <v>0</v>
      </c>
      <c r="Z13" s="247">
        <v>0</v>
      </c>
      <c r="AA13" s="247">
        <v>0</v>
      </c>
      <c r="AB13" s="247">
        <v>42500</v>
      </c>
      <c r="AC13" s="247">
        <v>0</v>
      </c>
      <c r="AD13" s="247">
        <v>0</v>
      </c>
      <c r="AE13" s="248">
        <v>0</v>
      </c>
      <c r="AF13" s="248">
        <v>1500</v>
      </c>
      <c r="AG13" s="248">
        <v>2000</v>
      </c>
      <c r="AH13" s="248">
        <v>0</v>
      </c>
      <c r="AI13" s="247">
        <f t="shared" si="1"/>
        <v>46500</v>
      </c>
      <c r="AJ13" s="249" t="s">
        <v>131</v>
      </c>
    </row>
    <row r="14" spans="1:36" s="249" customFormat="1" x14ac:dyDescent="0.35">
      <c r="A14" s="268" t="s">
        <v>181</v>
      </c>
      <c r="B14" s="247">
        <v>0</v>
      </c>
      <c r="C14" s="247">
        <v>0</v>
      </c>
      <c r="D14" s="247">
        <v>0</v>
      </c>
      <c r="E14" s="247">
        <v>0</v>
      </c>
      <c r="F14" s="247">
        <v>0</v>
      </c>
      <c r="G14" s="247">
        <v>0</v>
      </c>
      <c r="H14" s="247">
        <v>0</v>
      </c>
      <c r="I14" s="247">
        <v>0</v>
      </c>
      <c r="J14" s="247">
        <v>0</v>
      </c>
      <c r="K14" s="247">
        <v>0</v>
      </c>
      <c r="L14" s="247">
        <v>0</v>
      </c>
      <c r="M14" s="247">
        <v>0</v>
      </c>
      <c r="N14" s="247">
        <v>0</v>
      </c>
      <c r="O14" s="247">
        <v>0</v>
      </c>
      <c r="P14" s="247">
        <v>0</v>
      </c>
      <c r="Q14" s="247">
        <v>0</v>
      </c>
      <c r="R14" s="247">
        <v>1000</v>
      </c>
      <c r="S14" s="247">
        <v>0</v>
      </c>
      <c r="T14" s="247">
        <v>0</v>
      </c>
      <c r="U14" s="247">
        <v>0</v>
      </c>
      <c r="V14" s="247">
        <v>0</v>
      </c>
      <c r="W14" s="247">
        <v>0</v>
      </c>
      <c r="X14" s="247">
        <v>0</v>
      </c>
      <c r="Y14" s="247">
        <v>0</v>
      </c>
      <c r="Z14" s="247">
        <v>0</v>
      </c>
      <c r="AA14" s="247">
        <v>0</v>
      </c>
      <c r="AB14" s="247">
        <v>47000</v>
      </c>
      <c r="AC14" s="247">
        <v>0</v>
      </c>
      <c r="AD14" s="247">
        <v>0</v>
      </c>
      <c r="AE14" s="248">
        <v>0</v>
      </c>
      <c r="AF14" s="248">
        <v>0</v>
      </c>
      <c r="AG14" s="248">
        <v>0</v>
      </c>
      <c r="AH14" s="248">
        <v>0</v>
      </c>
      <c r="AI14" s="250">
        <f t="shared" si="1"/>
        <v>48000</v>
      </c>
      <c r="AJ14" s="249" t="s">
        <v>131</v>
      </c>
    </row>
    <row r="15" spans="1:36" s="249" customFormat="1" x14ac:dyDescent="0.35">
      <c r="A15" s="38" t="s">
        <v>1819</v>
      </c>
      <c r="B15" s="250">
        <v>0</v>
      </c>
      <c r="C15" s="250">
        <v>15000</v>
      </c>
      <c r="D15" s="250">
        <v>0</v>
      </c>
      <c r="E15" s="250">
        <v>0</v>
      </c>
      <c r="F15" s="250">
        <v>0</v>
      </c>
      <c r="G15" s="250">
        <v>3500</v>
      </c>
      <c r="H15" s="250">
        <v>0</v>
      </c>
      <c r="I15" s="250">
        <v>0</v>
      </c>
      <c r="J15" s="250">
        <v>0</v>
      </c>
      <c r="K15" s="250">
        <v>3495</v>
      </c>
      <c r="L15" s="250">
        <v>0</v>
      </c>
      <c r="M15" s="250">
        <v>0</v>
      </c>
      <c r="N15" s="250">
        <v>0</v>
      </c>
      <c r="O15" s="250">
        <v>0</v>
      </c>
      <c r="P15" s="250">
        <v>0</v>
      </c>
      <c r="Q15" s="250">
        <v>0</v>
      </c>
      <c r="R15" s="250">
        <v>0</v>
      </c>
      <c r="S15" s="250">
        <v>0</v>
      </c>
      <c r="T15" s="250">
        <v>15000</v>
      </c>
      <c r="U15" s="250">
        <v>0</v>
      </c>
      <c r="V15" s="250">
        <v>0</v>
      </c>
      <c r="W15" s="250">
        <v>8000</v>
      </c>
      <c r="X15" s="250">
        <v>0</v>
      </c>
      <c r="Y15" s="250">
        <v>0</v>
      </c>
      <c r="Z15" s="250">
        <v>0</v>
      </c>
      <c r="AA15" s="250">
        <v>3955</v>
      </c>
      <c r="AB15" s="250">
        <v>15000</v>
      </c>
      <c r="AC15" s="250">
        <v>0</v>
      </c>
      <c r="AD15" s="250">
        <v>0</v>
      </c>
      <c r="AE15" s="251">
        <v>0</v>
      </c>
      <c r="AF15" s="251">
        <v>0</v>
      </c>
      <c r="AG15" s="251">
        <v>1050</v>
      </c>
      <c r="AH15" s="251">
        <v>0</v>
      </c>
      <c r="AI15" s="250">
        <f t="shared" si="1"/>
        <v>65000</v>
      </c>
      <c r="AJ15" s="249" t="s">
        <v>131</v>
      </c>
    </row>
    <row r="16" spans="1:36" s="249" customFormat="1" x14ac:dyDescent="0.35">
      <c r="A16" s="38" t="s">
        <v>2604</v>
      </c>
      <c r="B16" s="250">
        <v>0</v>
      </c>
      <c r="C16" s="250">
        <v>925</v>
      </c>
      <c r="D16" s="250">
        <v>0</v>
      </c>
      <c r="E16" s="250">
        <v>0</v>
      </c>
      <c r="F16" s="250">
        <v>0</v>
      </c>
      <c r="G16" s="250">
        <v>80</v>
      </c>
      <c r="H16" s="250">
        <v>0</v>
      </c>
      <c r="I16" s="250">
        <v>0</v>
      </c>
      <c r="J16" s="250">
        <v>0</v>
      </c>
      <c r="K16" s="250">
        <v>1495</v>
      </c>
      <c r="L16" s="250">
        <v>0</v>
      </c>
      <c r="M16" s="250">
        <v>0</v>
      </c>
      <c r="N16" s="250">
        <v>15000</v>
      </c>
      <c r="O16" s="250">
        <v>0</v>
      </c>
      <c r="P16" s="250">
        <v>3000</v>
      </c>
      <c r="Q16" s="250">
        <v>0</v>
      </c>
      <c r="R16" s="250">
        <v>0</v>
      </c>
      <c r="S16" s="250">
        <v>0</v>
      </c>
      <c r="T16" s="250">
        <v>0</v>
      </c>
      <c r="U16" s="250">
        <v>10000</v>
      </c>
      <c r="V16" s="250">
        <v>0</v>
      </c>
      <c r="W16" s="250">
        <v>8250</v>
      </c>
      <c r="X16" s="250">
        <v>0</v>
      </c>
      <c r="Y16" s="250">
        <v>0</v>
      </c>
      <c r="Z16" s="250">
        <v>750</v>
      </c>
      <c r="AA16" s="250">
        <v>0</v>
      </c>
      <c r="AB16" s="250">
        <v>0</v>
      </c>
      <c r="AC16" s="250">
        <v>0</v>
      </c>
      <c r="AD16" s="250">
        <v>0</v>
      </c>
      <c r="AE16" s="251">
        <v>1000</v>
      </c>
      <c r="AF16" s="251">
        <v>1500</v>
      </c>
      <c r="AG16" s="251">
        <v>1875</v>
      </c>
      <c r="AH16" s="251">
        <v>0</v>
      </c>
      <c r="AI16" s="250">
        <f t="shared" si="1"/>
        <v>43875</v>
      </c>
      <c r="AJ16" s="249" t="s">
        <v>131</v>
      </c>
    </row>
    <row r="17" spans="1:36" s="249" customFormat="1" x14ac:dyDescent="0.35">
      <c r="A17" s="38" t="s">
        <v>110</v>
      </c>
      <c r="B17" s="250">
        <v>0</v>
      </c>
      <c r="C17" s="250">
        <v>15000</v>
      </c>
      <c r="D17" s="250">
        <v>500</v>
      </c>
      <c r="E17" s="250">
        <v>0</v>
      </c>
      <c r="F17" s="250">
        <v>300</v>
      </c>
      <c r="G17" s="250">
        <v>1090</v>
      </c>
      <c r="H17" s="250">
        <v>0</v>
      </c>
      <c r="I17" s="250">
        <v>1000</v>
      </c>
      <c r="J17" s="250">
        <v>0</v>
      </c>
      <c r="K17" s="250">
        <v>3990</v>
      </c>
      <c r="L17" s="250">
        <v>8000</v>
      </c>
      <c r="M17" s="250">
        <v>1795</v>
      </c>
      <c r="N17" s="250">
        <v>0</v>
      </c>
      <c r="O17" s="250">
        <v>350</v>
      </c>
      <c r="P17" s="250">
        <v>3000</v>
      </c>
      <c r="Q17" s="250">
        <v>2000</v>
      </c>
      <c r="R17" s="250">
        <v>0</v>
      </c>
      <c r="S17" s="250">
        <v>2500</v>
      </c>
      <c r="T17" s="250">
        <v>0</v>
      </c>
      <c r="U17" s="250">
        <v>2500</v>
      </c>
      <c r="V17" s="250">
        <v>0</v>
      </c>
      <c r="W17" s="250">
        <v>8400</v>
      </c>
      <c r="X17" s="250">
        <v>0</v>
      </c>
      <c r="Y17" s="250">
        <v>0</v>
      </c>
      <c r="Z17" s="250">
        <v>1000</v>
      </c>
      <c r="AA17" s="250">
        <v>400</v>
      </c>
      <c r="AB17" s="250">
        <v>0</v>
      </c>
      <c r="AC17" s="250">
        <v>1200</v>
      </c>
      <c r="AD17" s="250">
        <v>1300</v>
      </c>
      <c r="AE17" s="251">
        <v>1000</v>
      </c>
      <c r="AF17" s="251">
        <v>5000</v>
      </c>
      <c r="AG17" s="251">
        <v>6500</v>
      </c>
      <c r="AH17" s="251">
        <v>0</v>
      </c>
      <c r="AI17" s="250">
        <f t="shared" si="1"/>
        <v>66825</v>
      </c>
      <c r="AJ17" s="249" t="s">
        <v>131</v>
      </c>
    </row>
    <row r="18" spans="1:36" s="249" customFormat="1" x14ac:dyDescent="0.35">
      <c r="A18" s="38" t="s">
        <v>57</v>
      </c>
      <c r="B18" s="250">
        <v>1000</v>
      </c>
      <c r="C18" s="250">
        <v>5000</v>
      </c>
      <c r="D18" s="250">
        <v>500</v>
      </c>
      <c r="E18" s="250">
        <v>0</v>
      </c>
      <c r="F18" s="250">
        <v>500</v>
      </c>
      <c r="G18" s="250">
        <v>1400</v>
      </c>
      <c r="H18" s="250">
        <v>5000</v>
      </c>
      <c r="I18" s="250">
        <v>1000</v>
      </c>
      <c r="J18" s="250">
        <v>0</v>
      </c>
      <c r="K18" s="250">
        <v>0</v>
      </c>
      <c r="L18" s="250">
        <v>0</v>
      </c>
      <c r="M18" s="250">
        <v>3590</v>
      </c>
      <c r="N18" s="250">
        <v>1000</v>
      </c>
      <c r="O18" s="250">
        <v>0</v>
      </c>
      <c r="P18" s="250">
        <v>3000</v>
      </c>
      <c r="Q18" s="250">
        <v>1500</v>
      </c>
      <c r="R18" s="250">
        <v>2500</v>
      </c>
      <c r="S18" s="250">
        <v>3000</v>
      </c>
      <c r="T18" s="250">
        <v>1500</v>
      </c>
      <c r="U18" s="250">
        <v>1000</v>
      </c>
      <c r="V18" s="250"/>
      <c r="W18" s="250">
        <v>0</v>
      </c>
      <c r="X18" s="250">
        <v>0</v>
      </c>
      <c r="Y18" s="250">
        <v>0</v>
      </c>
      <c r="Z18" s="250">
        <v>3200</v>
      </c>
      <c r="AA18" s="250">
        <v>500</v>
      </c>
      <c r="AB18" s="250">
        <v>12000</v>
      </c>
      <c r="AC18" s="250">
        <v>0</v>
      </c>
      <c r="AD18" s="250">
        <v>1200</v>
      </c>
      <c r="AE18" s="251">
        <v>1000</v>
      </c>
      <c r="AF18" s="251">
        <v>1500</v>
      </c>
      <c r="AG18" s="251">
        <v>1100</v>
      </c>
      <c r="AH18" s="251">
        <v>0</v>
      </c>
      <c r="AI18" s="250">
        <f t="shared" si="1"/>
        <v>51990</v>
      </c>
      <c r="AJ18" s="249" t="s">
        <v>131</v>
      </c>
    </row>
    <row r="19" spans="1:36" s="249" customFormat="1" x14ac:dyDescent="0.35">
      <c r="A19" s="38" t="s">
        <v>1840</v>
      </c>
      <c r="B19" s="250">
        <v>0</v>
      </c>
      <c r="C19" s="250">
        <v>4000</v>
      </c>
      <c r="D19" s="250">
        <v>500</v>
      </c>
      <c r="E19" s="250">
        <v>0</v>
      </c>
      <c r="F19" s="250">
        <v>1200</v>
      </c>
      <c r="G19" s="250">
        <v>0</v>
      </c>
      <c r="H19" s="250">
        <v>0</v>
      </c>
      <c r="I19" s="250">
        <v>0</v>
      </c>
      <c r="J19" s="250">
        <v>0</v>
      </c>
      <c r="K19" s="250">
        <v>0</v>
      </c>
      <c r="L19" s="250">
        <v>0</v>
      </c>
      <c r="M19" s="250">
        <v>3590</v>
      </c>
      <c r="N19" s="250">
        <v>5000</v>
      </c>
      <c r="O19" s="250">
        <v>4500</v>
      </c>
      <c r="P19" s="250">
        <v>0</v>
      </c>
      <c r="Q19" s="250">
        <v>2500</v>
      </c>
      <c r="R19" s="250">
        <v>0</v>
      </c>
      <c r="S19" s="250">
        <v>2500</v>
      </c>
      <c r="T19" s="250">
        <v>0</v>
      </c>
      <c r="U19" s="250">
        <v>0</v>
      </c>
      <c r="V19" s="250">
        <v>0</v>
      </c>
      <c r="W19" s="250">
        <v>0</v>
      </c>
      <c r="X19" s="250">
        <v>0</v>
      </c>
      <c r="Y19" s="250">
        <v>0</v>
      </c>
      <c r="Z19" s="250">
        <v>0</v>
      </c>
      <c r="AA19" s="250">
        <v>0</v>
      </c>
      <c r="AB19" s="250">
        <v>5000</v>
      </c>
      <c r="AC19" s="250">
        <v>0</v>
      </c>
      <c r="AD19" s="250">
        <v>7500</v>
      </c>
      <c r="AE19" s="251">
        <v>500</v>
      </c>
      <c r="AF19" s="251">
        <v>3000</v>
      </c>
      <c r="AG19" s="251">
        <v>950</v>
      </c>
      <c r="AH19" s="251">
        <v>0</v>
      </c>
      <c r="AI19" s="250">
        <f t="shared" si="1"/>
        <v>40740</v>
      </c>
      <c r="AJ19" s="249" t="s">
        <v>131</v>
      </c>
    </row>
    <row r="20" spans="1:36" s="249" customFormat="1" x14ac:dyDescent="0.35">
      <c r="A20" s="38" t="s">
        <v>1507</v>
      </c>
      <c r="B20" s="250">
        <v>0</v>
      </c>
      <c r="C20" s="250">
        <v>5000</v>
      </c>
      <c r="D20" s="250">
        <v>0</v>
      </c>
      <c r="E20" s="250">
        <v>0</v>
      </c>
      <c r="F20" s="250">
        <v>0</v>
      </c>
      <c r="G20" s="250">
        <v>0</v>
      </c>
      <c r="H20" s="250">
        <v>0</v>
      </c>
      <c r="I20" s="250">
        <v>1000</v>
      </c>
      <c r="J20" s="250">
        <v>10000</v>
      </c>
      <c r="K20" s="250">
        <v>0</v>
      </c>
      <c r="L20" s="250">
        <v>0</v>
      </c>
      <c r="M20" s="250">
        <v>1795</v>
      </c>
      <c r="N20" s="250">
        <v>2000</v>
      </c>
      <c r="O20" s="250">
        <v>0</v>
      </c>
      <c r="P20" s="250">
        <v>3000</v>
      </c>
      <c r="Q20" s="250">
        <v>2500</v>
      </c>
      <c r="R20" s="250">
        <v>0</v>
      </c>
      <c r="S20" s="250">
        <v>1500</v>
      </c>
      <c r="T20" s="250">
        <v>5000</v>
      </c>
      <c r="U20" s="250">
        <v>2500</v>
      </c>
      <c r="V20" s="250">
        <v>0</v>
      </c>
      <c r="W20" s="250">
        <v>2250</v>
      </c>
      <c r="X20" s="250">
        <v>0</v>
      </c>
      <c r="Y20" s="250">
        <v>0</v>
      </c>
      <c r="Z20" s="250">
        <v>0</v>
      </c>
      <c r="AA20" s="250">
        <v>0</v>
      </c>
      <c r="AB20" s="250">
        <v>0</v>
      </c>
      <c r="AC20" s="250">
        <v>0</v>
      </c>
      <c r="AD20" s="250">
        <v>0</v>
      </c>
      <c r="AE20" s="251">
        <v>500</v>
      </c>
      <c r="AF20" s="251">
        <v>3000</v>
      </c>
      <c r="AG20" s="251">
        <v>1475</v>
      </c>
      <c r="AH20" s="251">
        <v>0</v>
      </c>
      <c r="AI20" s="250">
        <f t="shared" si="1"/>
        <v>41520</v>
      </c>
      <c r="AJ20" s="249" t="s">
        <v>131</v>
      </c>
    </row>
    <row r="21" spans="1:36" s="249" customFormat="1" x14ac:dyDescent="0.35">
      <c r="A21" s="38" t="s">
        <v>1055</v>
      </c>
      <c r="B21" s="250">
        <v>0</v>
      </c>
      <c r="C21" s="250">
        <v>0</v>
      </c>
      <c r="D21" s="250">
        <v>0</v>
      </c>
      <c r="E21" s="250">
        <v>0</v>
      </c>
      <c r="F21" s="250">
        <v>0</v>
      </c>
      <c r="G21" s="250">
        <v>0</v>
      </c>
      <c r="H21" s="250">
        <v>5000</v>
      </c>
      <c r="I21" s="250">
        <v>5000</v>
      </c>
      <c r="J21" s="250">
        <v>0</v>
      </c>
      <c r="K21" s="250">
        <v>0</v>
      </c>
      <c r="L21" s="250">
        <v>0</v>
      </c>
      <c r="M21" s="250">
        <v>0</v>
      </c>
      <c r="N21" s="250">
        <v>0</v>
      </c>
      <c r="O21" s="250">
        <v>0</v>
      </c>
      <c r="P21" s="250">
        <v>3000</v>
      </c>
      <c r="Q21" s="250">
        <v>2500</v>
      </c>
      <c r="R21" s="250">
        <v>5000</v>
      </c>
      <c r="S21" s="250">
        <v>7500</v>
      </c>
      <c r="T21" s="250">
        <v>2500</v>
      </c>
      <c r="U21" s="250">
        <v>4000</v>
      </c>
      <c r="V21" s="250">
        <v>0</v>
      </c>
      <c r="W21" s="250">
        <v>0</v>
      </c>
      <c r="X21" s="250">
        <v>0</v>
      </c>
      <c r="Y21" s="250">
        <v>2500</v>
      </c>
      <c r="Z21" s="250">
        <v>5000</v>
      </c>
      <c r="AA21" s="250">
        <v>0</v>
      </c>
      <c r="AB21" s="250">
        <v>0</v>
      </c>
      <c r="AC21" s="250">
        <v>0</v>
      </c>
      <c r="AD21" s="250">
        <v>4000</v>
      </c>
      <c r="AE21" s="251">
        <v>1000</v>
      </c>
      <c r="AF21" s="251">
        <v>1500</v>
      </c>
      <c r="AG21" s="251">
        <v>1500</v>
      </c>
      <c r="AH21" s="251">
        <v>0</v>
      </c>
      <c r="AI21" s="250">
        <f t="shared" si="1"/>
        <v>50000</v>
      </c>
      <c r="AJ21" s="249" t="s">
        <v>131</v>
      </c>
    </row>
    <row r="22" spans="1:36" s="249" customFormat="1" x14ac:dyDescent="0.35">
      <c r="A22" s="38" t="s">
        <v>1648</v>
      </c>
      <c r="B22" s="250">
        <v>0</v>
      </c>
      <c r="C22" s="250">
        <v>2850</v>
      </c>
      <c r="D22" s="250">
        <v>0</v>
      </c>
      <c r="E22" s="250">
        <v>0</v>
      </c>
      <c r="F22" s="250">
        <v>0</v>
      </c>
      <c r="G22" s="250">
        <v>2500</v>
      </c>
      <c r="H22" s="250">
        <v>0</v>
      </c>
      <c r="I22" s="250">
        <v>0</v>
      </c>
      <c r="J22" s="250">
        <v>0</v>
      </c>
      <c r="K22" s="250">
        <v>0</v>
      </c>
      <c r="L22" s="250">
        <v>0</v>
      </c>
      <c r="M22" s="250">
        <v>0</v>
      </c>
      <c r="N22" s="250">
        <v>0</v>
      </c>
      <c r="O22" s="250">
        <v>0</v>
      </c>
      <c r="P22" s="250">
        <v>0</v>
      </c>
      <c r="Q22" s="250">
        <v>1000</v>
      </c>
      <c r="R22" s="250">
        <v>0</v>
      </c>
      <c r="S22" s="250">
        <v>0</v>
      </c>
      <c r="T22" s="250">
        <v>0</v>
      </c>
      <c r="U22" s="250">
        <v>0</v>
      </c>
      <c r="V22" s="250">
        <v>0</v>
      </c>
      <c r="W22" s="250">
        <v>0</v>
      </c>
      <c r="X22" s="250">
        <v>0</v>
      </c>
      <c r="Y22" s="250">
        <v>0</v>
      </c>
      <c r="Z22" s="250">
        <v>0</v>
      </c>
      <c r="AA22" s="250">
        <v>0</v>
      </c>
      <c r="AB22" s="250">
        <v>50000</v>
      </c>
      <c r="AC22" s="250">
        <v>0</v>
      </c>
      <c r="AD22" s="250">
        <v>0</v>
      </c>
      <c r="AE22" s="251">
        <v>0</v>
      </c>
      <c r="AF22" s="251">
        <v>0</v>
      </c>
      <c r="AG22" s="251">
        <v>650</v>
      </c>
      <c r="AH22" s="251">
        <v>0</v>
      </c>
      <c r="AI22" s="250">
        <f t="shared" si="1"/>
        <v>57000</v>
      </c>
      <c r="AJ22" s="249" t="s">
        <v>131</v>
      </c>
    </row>
    <row r="23" spans="1:36" s="249" customFormat="1" x14ac:dyDescent="0.35">
      <c r="A23" s="38" t="s">
        <v>70</v>
      </c>
      <c r="B23" s="250">
        <v>1500</v>
      </c>
      <c r="C23" s="250">
        <v>1500</v>
      </c>
      <c r="D23" s="250">
        <v>0</v>
      </c>
      <c r="E23" s="250">
        <v>0</v>
      </c>
      <c r="F23" s="250">
        <v>0</v>
      </c>
      <c r="G23" s="250">
        <v>0</v>
      </c>
      <c r="H23" s="250">
        <v>0</v>
      </c>
      <c r="I23" s="250">
        <v>0</v>
      </c>
      <c r="J23" s="250">
        <v>0</v>
      </c>
      <c r="K23" s="250">
        <v>0</v>
      </c>
      <c r="L23" s="250">
        <v>0</v>
      </c>
      <c r="M23" s="250">
        <v>0</v>
      </c>
      <c r="N23" s="250">
        <v>0</v>
      </c>
      <c r="O23" s="250">
        <v>0</v>
      </c>
      <c r="P23" s="250">
        <v>3000</v>
      </c>
      <c r="Q23" s="250">
        <v>2500</v>
      </c>
      <c r="R23" s="250">
        <v>0</v>
      </c>
      <c r="S23" s="250">
        <v>0</v>
      </c>
      <c r="T23" s="250">
        <v>0</v>
      </c>
      <c r="U23" s="250">
        <v>0</v>
      </c>
      <c r="V23" s="250">
        <v>0</v>
      </c>
      <c r="W23" s="250">
        <v>0</v>
      </c>
      <c r="X23" s="250">
        <v>0</v>
      </c>
      <c r="Y23" s="250">
        <v>0</v>
      </c>
      <c r="Z23" s="250">
        <v>0</v>
      </c>
      <c r="AA23" s="250">
        <v>0</v>
      </c>
      <c r="AB23" s="250">
        <v>30000</v>
      </c>
      <c r="AC23" s="250">
        <v>0</v>
      </c>
      <c r="AD23" s="250">
        <v>0</v>
      </c>
      <c r="AE23" s="251">
        <v>1000</v>
      </c>
      <c r="AF23" s="251">
        <v>0</v>
      </c>
      <c r="AG23" s="251">
        <v>1000</v>
      </c>
      <c r="AH23" s="251">
        <v>0</v>
      </c>
      <c r="AI23" s="250">
        <f t="shared" si="1"/>
        <v>40500</v>
      </c>
      <c r="AJ23" s="249" t="s">
        <v>131</v>
      </c>
    </row>
    <row r="24" spans="1:36" s="249" customFormat="1" x14ac:dyDescent="0.35">
      <c r="A24" s="38" t="s">
        <v>1229</v>
      </c>
      <c r="B24" s="250">
        <v>0</v>
      </c>
      <c r="C24" s="250">
        <v>10000</v>
      </c>
      <c r="D24" s="250">
        <v>0</v>
      </c>
      <c r="E24" s="250">
        <v>0</v>
      </c>
      <c r="F24" s="250">
        <v>0</v>
      </c>
      <c r="G24" s="250">
        <v>0</v>
      </c>
      <c r="H24" s="250">
        <v>0</v>
      </c>
      <c r="I24" s="250">
        <v>500</v>
      </c>
      <c r="J24" s="250">
        <v>0</v>
      </c>
      <c r="K24" s="250">
        <v>1495</v>
      </c>
      <c r="L24" s="250">
        <v>2500</v>
      </c>
      <c r="M24" s="250">
        <v>5385</v>
      </c>
      <c r="N24" s="250">
        <v>0</v>
      </c>
      <c r="O24" s="250">
        <v>500</v>
      </c>
      <c r="P24" s="250">
        <v>3000</v>
      </c>
      <c r="Q24" s="250"/>
      <c r="R24" s="250">
        <v>0</v>
      </c>
      <c r="S24" s="250">
        <v>0</v>
      </c>
      <c r="T24" s="250">
        <v>0</v>
      </c>
      <c r="U24" s="250">
        <v>1000</v>
      </c>
      <c r="V24" s="250">
        <v>0</v>
      </c>
      <c r="W24" s="250">
        <v>7200</v>
      </c>
      <c r="X24" s="250">
        <v>0</v>
      </c>
      <c r="Y24" s="250">
        <v>0</v>
      </c>
      <c r="Z24" s="250">
        <v>0</v>
      </c>
      <c r="AA24" s="250">
        <v>0</v>
      </c>
      <c r="AB24" s="250">
        <v>0</v>
      </c>
      <c r="AC24" s="250">
        <v>0</v>
      </c>
      <c r="AD24" s="250">
        <v>1725</v>
      </c>
      <c r="AE24" s="251">
        <v>1000</v>
      </c>
      <c r="AF24" s="251">
        <v>5000</v>
      </c>
      <c r="AG24" s="251">
        <v>6500</v>
      </c>
      <c r="AH24" s="251">
        <v>0</v>
      </c>
      <c r="AI24" s="250">
        <f t="shared" si="1"/>
        <v>45805</v>
      </c>
      <c r="AJ24" s="249" t="s">
        <v>131</v>
      </c>
    </row>
    <row r="25" spans="1:36" s="249" customFormat="1" x14ac:dyDescent="0.35">
      <c r="A25" s="38" t="s">
        <v>3199</v>
      </c>
      <c r="B25" s="250">
        <v>1000</v>
      </c>
      <c r="C25" s="250">
        <v>6500</v>
      </c>
      <c r="D25" s="250">
        <v>0</v>
      </c>
      <c r="E25" s="250">
        <v>0</v>
      </c>
      <c r="F25" s="250">
        <v>0</v>
      </c>
      <c r="G25" s="250">
        <v>0</v>
      </c>
      <c r="H25" s="250">
        <v>0</v>
      </c>
      <c r="I25" s="250">
        <v>0</v>
      </c>
      <c r="J25" s="250">
        <v>0</v>
      </c>
      <c r="K25" s="250">
        <v>0</v>
      </c>
      <c r="L25" s="250">
        <v>0</v>
      </c>
      <c r="M25" s="250">
        <v>3590</v>
      </c>
      <c r="N25" s="250">
        <v>1000</v>
      </c>
      <c r="O25" s="250">
        <v>0</v>
      </c>
      <c r="P25" s="250">
        <v>3000</v>
      </c>
      <c r="Q25" s="250">
        <v>1000</v>
      </c>
      <c r="R25" s="250">
        <v>0</v>
      </c>
      <c r="S25" s="250">
        <v>5000</v>
      </c>
      <c r="T25" s="250">
        <v>2500</v>
      </c>
      <c r="U25" s="250">
        <v>0</v>
      </c>
      <c r="V25" s="250"/>
      <c r="W25" s="250">
        <v>750</v>
      </c>
      <c r="X25" s="250">
        <v>0</v>
      </c>
      <c r="Y25" s="250">
        <v>1250</v>
      </c>
      <c r="Z25" s="250">
        <v>5000</v>
      </c>
      <c r="AA25" s="250">
        <v>4000</v>
      </c>
      <c r="AB25" s="250">
        <v>5000</v>
      </c>
      <c r="AC25" s="250">
        <v>0</v>
      </c>
      <c r="AD25" s="250">
        <v>0</v>
      </c>
      <c r="AE25" s="251">
        <v>1000</v>
      </c>
      <c r="AF25" s="251">
        <v>3000</v>
      </c>
      <c r="AG25" s="251">
        <v>1600</v>
      </c>
      <c r="AH25" s="251">
        <v>0</v>
      </c>
      <c r="AI25" s="250">
        <f t="shared" si="1"/>
        <v>45190</v>
      </c>
      <c r="AJ25" s="249" t="s">
        <v>131</v>
      </c>
    </row>
    <row r="26" spans="1:36" s="249" customFormat="1" x14ac:dyDescent="0.35">
      <c r="A26" s="5"/>
      <c r="B26" s="250"/>
      <c r="C26" s="250"/>
      <c r="D26" s="250"/>
      <c r="E26" s="250"/>
      <c r="F26" s="250"/>
      <c r="G26" s="250"/>
      <c r="H26" s="250"/>
      <c r="I26" s="250"/>
      <c r="J26" s="250"/>
      <c r="K26" s="250"/>
      <c r="L26" s="250"/>
      <c r="M26" s="250"/>
      <c r="N26" s="250"/>
      <c r="O26" s="250"/>
      <c r="P26" s="250"/>
      <c r="Q26" s="250"/>
      <c r="R26" s="250"/>
      <c r="S26" s="250"/>
      <c r="T26" s="250"/>
      <c r="U26" s="250"/>
      <c r="V26" s="250"/>
      <c r="W26" s="250"/>
      <c r="X26" s="250"/>
      <c r="Y26" s="250"/>
      <c r="Z26" s="250"/>
      <c r="AA26" s="250"/>
      <c r="AB26" s="250"/>
      <c r="AC26" s="250"/>
      <c r="AD26" s="250"/>
      <c r="AE26" s="251"/>
      <c r="AF26" s="251"/>
      <c r="AG26" s="251"/>
      <c r="AH26" s="251"/>
      <c r="AI26" s="250"/>
    </row>
    <row r="28" spans="1:36" s="249" customFormat="1" x14ac:dyDescent="0.35">
      <c r="A28" s="268" t="s">
        <v>108</v>
      </c>
      <c r="B28" s="247">
        <v>0</v>
      </c>
      <c r="C28" s="247">
        <v>1500</v>
      </c>
      <c r="D28" s="247">
        <v>5000</v>
      </c>
      <c r="E28" s="247">
        <v>0</v>
      </c>
      <c r="F28" s="247">
        <v>1050</v>
      </c>
      <c r="G28" s="247">
        <v>0</v>
      </c>
      <c r="H28" s="247">
        <v>0</v>
      </c>
      <c r="I28" s="247">
        <v>0</v>
      </c>
      <c r="J28" s="247">
        <v>0</v>
      </c>
      <c r="K28" s="247">
        <v>0</v>
      </c>
      <c r="L28" s="247">
        <v>0</v>
      </c>
      <c r="M28" s="247">
        <v>1795</v>
      </c>
      <c r="N28" s="247">
        <v>750</v>
      </c>
      <c r="O28" s="247">
        <v>0</v>
      </c>
      <c r="P28" s="247">
        <v>0</v>
      </c>
      <c r="Q28" s="247">
        <v>1000</v>
      </c>
      <c r="R28" s="247">
        <v>0</v>
      </c>
      <c r="S28" s="247">
        <v>0</v>
      </c>
      <c r="T28" s="247">
        <v>0</v>
      </c>
      <c r="U28" s="247">
        <v>0</v>
      </c>
      <c r="V28" s="247">
        <v>0</v>
      </c>
      <c r="W28" s="247">
        <v>10000</v>
      </c>
      <c r="X28" s="247">
        <v>0</v>
      </c>
      <c r="Y28" s="247">
        <v>0</v>
      </c>
      <c r="Z28" s="247">
        <v>0</v>
      </c>
      <c r="AA28" s="247">
        <v>0</v>
      </c>
      <c r="AB28" s="247">
        <v>0</v>
      </c>
      <c r="AC28" s="247">
        <v>0</v>
      </c>
      <c r="AD28" s="247">
        <v>0</v>
      </c>
      <c r="AE28" s="248">
        <v>0</v>
      </c>
      <c r="AF28" s="248">
        <v>1500</v>
      </c>
      <c r="AG28" s="248">
        <v>350</v>
      </c>
      <c r="AH28" s="248">
        <v>0</v>
      </c>
      <c r="AI28" s="247">
        <f t="shared" ref="AI28:AI44" si="2">SUM(B28:AH28)</f>
        <v>22945</v>
      </c>
      <c r="AJ28" s="249" t="s">
        <v>39</v>
      </c>
    </row>
    <row r="29" spans="1:36" s="249" customFormat="1" x14ac:dyDescent="0.35">
      <c r="A29" s="268" t="s">
        <v>114</v>
      </c>
      <c r="B29" s="247">
        <v>0</v>
      </c>
      <c r="C29" s="247">
        <v>0</v>
      </c>
      <c r="D29" s="247">
        <v>0</v>
      </c>
      <c r="E29" s="247">
        <v>0</v>
      </c>
      <c r="F29" s="247">
        <v>0</v>
      </c>
      <c r="G29" s="247">
        <v>0</v>
      </c>
      <c r="H29" s="247">
        <v>7500</v>
      </c>
      <c r="I29" s="247">
        <v>0</v>
      </c>
      <c r="J29" s="247">
        <v>0</v>
      </c>
      <c r="K29" s="247">
        <v>0</v>
      </c>
      <c r="L29" s="247">
        <v>0</v>
      </c>
      <c r="M29" s="247">
        <v>1795</v>
      </c>
      <c r="N29" s="247">
        <v>0</v>
      </c>
      <c r="O29" s="247">
        <v>0</v>
      </c>
      <c r="P29" s="247">
        <v>0</v>
      </c>
      <c r="Q29" s="247">
        <v>0</v>
      </c>
      <c r="R29" s="247">
        <v>0</v>
      </c>
      <c r="S29" s="247">
        <v>0</v>
      </c>
      <c r="T29" s="247">
        <v>0</v>
      </c>
      <c r="U29" s="247">
        <v>0</v>
      </c>
      <c r="V29" s="247">
        <v>0</v>
      </c>
      <c r="W29" s="247">
        <v>0</v>
      </c>
      <c r="X29" s="247">
        <v>0</v>
      </c>
      <c r="Y29" s="247">
        <v>0</v>
      </c>
      <c r="Z29" s="247">
        <v>0</v>
      </c>
      <c r="AA29" s="247">
        <v>450</v>
      </c>
      <c r="AB29" s="247">
        <v>10000</v>
      </c>
      <c r="AC29" s="247">
        <v>0</v>
      </c>
      <c r="AD29" s="247">
        <v>0</v>
      </c>
      <c r="AE29" s="248">
        <v>0</v>
      </c>
      <c r="AF29" s="248">
        <v>0</v>
      </c>
      <c r="AG29" s="248">
        <v>480</v>
      </c>
      <c r="AH29" s="248">
        <v>0</v>
      </c>
      <c r="AI29" s="247">
        <f t="shared" si="2"/>
        <v>20225</v>
      </c>
      <c r="AJ29" s="249" t="s">
        <v>39</v>
      </c>
    </row>
    <row r="30" spans="1:36" s="249" customFormat="1" x14ac:dyDescent="0.35">
      <c r="A30" s="268" t="s">
        <v>1064</v>
      </c>
      <c r="B30" s="247">
        <v>0</v>
      </c>
      <c r="C30" s="247">
        <v>1500</v>
      </c>
      <c r="D30" s="247">
        <v>1000</v>
      </c>
      <c r="E30" s="247">
        <v>0</v>
      </c>
      <c r="F30" s="247">
        <v>1000</v>
      </c>
      <c r="G30" s="247">
        <v>0</v>
      </c>
      <c r="H30" s="247">
        <v>2500</v>
      </c>
      <c r="I30" s="247">
        <v>0</v>
      </c>
      <c r="J30" s="247">
        <v>0</v>
      </c>
      <c r="K30" s="247">
        <v>0</v>
      </c>
      <c r="L30" s="247">
        <v>0</v>
      </c>
      <c r="M30" s="247">
        <v>0</v>
      </c>
      <c r="N30" s="247">
        <v>0</v>
      </c>
      <c r="O30" s="247">
        <v>0</v>
      </c>
      <c r="P30" s="247">
        <v>0</v>
      </c>
      <c r="Q30" s="247">
        <v>2500</v>
      </c>
      <c r="R30" s="247">
        <v>1500</v>
      </c>
      <c r="S30" s="247">
        <v>1000</v>
      </c>
      <c r="T30" s="247">
        <v>2000</v>
      </c>
      <c r="U30" s="247">
        <v>0</v>
      </c>
      <c r="V30" s="247">
        <v>0</v>
      </c>
      <c r="W30" s="247">
        <v>750</v>
      </c>
      <c r="X30" s="247">
        <v>0</v>
      </c>
      <c r="Y30" s="247">
        <v>6000</v>
      </c>
      <c r="Z30" s="247">
        <v>0</v>
      </c>
      <c r="AA30" s="247">
        <v>0</v>
      </c>
      <c r="AB30" s="247">
        <v>10000</v>
      </c>
      <c r="AC30" s="247">
        <v>0</v>
      </c>
      <c r="AD30" s="247">
        <v>0</v>
      </c>
      <c r="AE30" s="248">
        <v>1000</v>
      </c>
      <c r="AF30" s="248">
        <v>1350</v>
      </c>
      <c r="AG30" s="248">
        <v>1150</v>
      </c>
      <c r="AH30" s="248">
        <v>0</v>
      </c>
      <c r="AI30" s="250">
        <f t="shared" si="2"/>
        <v>33250</v>
      </c>
      <c r="AJ30" s="249" t="s">
        <v>39</v>
      </c>
    </row>
    <row r="31" spans="1:36" s="249" customFormat="1" x14ac:dyDescent="0.35">
      <c r="A31" s="268" t="s">
        <v>140</v>
      </c>
      <c r="B31" s="247">
        <v>0</v>
      </c>
      <c r="C31" s="247">
        <v>0</v>
      </c>
      <c r="D31" s="247">
        <v>0</v>
      </c>
      <c r="E31" s="247">
        <v>0</v>
      </c>
      <c r="F31" s="247">
        <v>0</v>
      </c>
      <c r="G31" s="247">
        <v>0</v>
      </c>
      <c r="H31" s="247">
        <v>0</v>
      </c>
      <c r="I31" s="247">
        <v>1000</v>
      </c>
      <c r="J31" s="247">
        <v>0</v>
      </c>
      <c r="K31" s="247">
        <v>2295</v>
      </c>
      <c r="L31" s="247">
        <v>0</v>
      </c>
      <c r="M31" s="247">
        <v>1795</v>
      </c>
      <c r="N31" s="247">
        <v>0</v>
      </c>
      <c r="O31" s="247">
        <v>0</v>
      </c>
      <c r="P31" s="247">
        <v>0</v>
      </c>
      <c r="Q31" s="247">
        <v>1000</v>
      </c>
      <c r="R31" s="247">
        <v>0</v>
      </c>
      <c r="S31" s="247">
        <v>0</v>
      </c>
      <c r="T31" s="247">
        <v>2500</v>
      </c>
      <c r="U31" s="247">
        <v>0</v>
      </c>
      <c r="V31" s="247">
        <v>0</v>
      </c>
      <c r="W31" s="247">
        <v>13000</v>
      </c>
      <c r="X31" s="247">
        <v>0</v>
      </c>
      <c r="Y31" s="247">
        <v>0</v>
      </c>
      <c r="Z31" s="247">
        <v>0</v>
      </c>
      <c r="AA31" s="247">
        <v>2000</v>
      </c>
      <c r="AB31" s="247">
        <v>7500</v>
      </c>
      <c r="AC31" s="247">
        <v>0</v>
      </c>
      <c r="AD31" s="247">
        <v>0</v>
      </c>
      <c r="AE31" s="248">
        <v>0</v>
      </c>
      <c r="AF31" s="248">
        <v>0</v>
      </c>
      <c r="AG31" s="248">
        <v>6500</v>
      </c>
      <c r="AH31" s="248">
        <v>0</v>
      </c>
      <c r="AI31" s="250">
        <f t="shared" si="2"/>
        <v>37590</v>
      </c>
      <c r="AJ31" s="249" t="s">
        <v>39</v>
      </c>
    </row>
    <row r="32" spans="1:36" x14ac:dyDescent="0.35">
      <c r="A32" s="268" t="s">
        <v>338</v>
      </c>
      <c r="B32" s="247">
        <v>0</v>
      </c>
      <c r="C32" s="247">
        <v>1500</v>
      </c>
      <c r="D32" s="247">
        <v>0</v>
      </c>
      <c r="E32" s="247">
        <v>0</v>
      </c>
      <c r="F32" s="247">
        <v>0</v>
      </c>
      <c r="G32" s="247">
        <v>425</v>
      </c>
      <c r="H32" s="247">
        <v>0</v>
      </c>
      <c r="I32" s="247">
        <v>0</v>
      </c>
      <c r="J32" s="247">
        <v>15960</v>
      </c>
      <c r="K32" s="247">
        <v>0</v>
      </c>
      <c r="L32" s="247">
        <v>0</v>
      </c>
      <c r="M32" s="247">
        <v>0</v>
      </c>
      <c r="N32" s="247">
        <v>1000</v>
      </c>
      <c r="O32" s="247">
        <v>0</v>
      </c>
      <c r="P32" s="247">
        <v>0</v>
      </c>
      <c r="Q32" s="247">
        <v>0</v>
      </c>
      <c r="R32" s="247">
        <v>0</v>
      </c>
      <c r="S32" s="247">
        <v>750</v>
      </c>
      <c r="T32" s="247">
        <v>0</v>
      </c>
      <c r="U32" s="247">
        <v>0</v>
      </c>
      <c r="V32" s="247">
        <v>0</v>
      </c>
      <c r="W32" s="247">
        <v>0</v>
      </c>
      <c r="X32" s="247">
        <v>0</v>
      </c>
      <c r="Y32" s="247">
        <v>0</v>
      </c>
      <c r="Z32" s="247">
        <v>0</v>
      </c>
      <c r="AA32" s="247">
        <v>450</v>
      </c>
      <c r="AB32" s="247">
        <v>0</v>
      </c>
      <c r="AC32" s="247">
        <v>0</v>
      </c>
      <c r="AD32" s="247">
        <v>0</v>
      </c>
      <c r="AE32" s="248">
        <v>0</v>
      </c>
      <c r="AF32" s="248">
        <v>1500</v>
      </c>
      <c r="AG32" s="248">
        <v>650</v>
      </c>
      <c r="AH32" s="248">
        <v>0</v>
      </c>
      <c r="AI32" s="250">
        <f t="shared" si="2"/>
        <v>22235</v>
      </c>
      <c r="AJ32" s="249" t="s">
        <v>39</v>
      </c>
    </row>
    <row r="33" spans="1:36" s="246" customFormat="1" x14ac:dyDescent="0.35">
      <c r="A33" s="268" t="s">
        <v>1339</v>
      </c>
      <c r="B33" s="247">
        <v>0</v>
      </c>
      <c r="C33" s="247">
        <v>0</v>
      </c>
      <c r="D33" s="247">
        <v>0</v>
      </c>
      <c r="E33" s="247">
        <v>0</v>
      </c>
      <c r="F33" s="247">
        <v>0</v>
      </c>
      <c r="G33" s="247">
        <v>0</v>
      </c>
      <c r="H33" s="247">
        <v>0</v>
      </c>
      <c r="I33" s="247">
        <v>0</v>
      </c>
      <c r="J33" s="247">
        <v>0</v>
      </c>
      <c r="K33" s="247">
        <v>1500</v>
      </c>
      <c r="L33" s="247">
        <v>0</v>
      </c>
      <c r="M33" s="247">
        <v>0</v>
      </c>
      <c r="N33" s="247">
        <v>0</v>
      </c>
      <c r="O33" s="247">
        <v>0</v>
      </c>
      <c r="P33" s="247">
        <v>0</v>
      </c>
      <c r="Q33" s="247">
        <v>1000</v>
      </c>
      <c r="R33" s="247">
        <v>0</v>
      </c>
      <c r="S33" s="247">
        <v>0</v>
      </c>
      <c r="T33" s="247">
        <v>0</v>
      </c>
      <c r="U33" s="247">
        <v>0</v>
      </c>
      <c r="V33" s="247">
        <v>0</v>
      </c>
      <c r="W33" s="247">
        <v>0</v>
      </c>
      <c r="X33" s="247">
        <v>0</v>
      </c>
      <c r="Y33" s="247">
        <v>0</v>
      </c>
      <c r="Z33" s="247">
        <v>0</v>
      </c>
      <c r="AA33" s="247">
        <v>0</v>
      </c>
      <c r="AB33" s="247">
        <v>25000</v>
      </c>
      <c r="AC33" s="247">
        <v>0</v>
      </c>
      <c r="AD33" s="247">
        <v>0</v>
      </c>
      <c r="AE33" s="248">
        <v>0</v>
      </c>
      <c r="AF33" s="248">
        <v>0</v>
      </c>
      <c r="AG33" s="248">
        <v>1150</v>
      </c>
      <c r="AH33" s="248">
        <v>0</v>
      </c>
      <c r="AI33" s="250">
        <f t="shared" si="2"/>
        <v>28650</v>
      </c>
      <c r="AJ33" s="249" t="s">
        <v>39</v>
      </c>
    </row>
    <row r="34" spans="1:36" s="246" customFormat="1" x14ac:dyDescent="0.35">
      <c r="A34" s="268" t="s">
        <v>175</v>
      </c>
      <c r="B34" s="247">
        <v>0</v>
      </c>
      <c r="C34" s="247">
        <v>2450</v>
      </c>
      <c r="D34" s="247">
        <v>0</v>
      </c>
      <c r="E34" s="247">
        <v>0</v>
      </c>
      <c r="F34" s="247">
        <v>0</v>
      </c>
      <c r="G34" s="247">
        <v>0</v>
      </c>
      <c r="H34" s="247">
        <v>1350</v>
      </c>
      <c r="I34" s="247">
        <v>0</v>
      </c>
      <c r="J34" s="247">
        <v>0</v>
      </c>
      <c r="K34" s="247">
        <v>0</v>
      </c>
      <c r="L34" s="247">
        <v>10000</v>
      </c>
      <c r="M34" s="247">
        <v>0</v>
      </c>
      <c r="N34" s="247">
        <v>0</v>
      </c>
      <c r="O34" s="247">
        <v>0</v>
      </c>
      <c r="P34" s="247">
        <v>0</v>
      </c>
      <c r="Q34" s="247">
        <v>1000</v>
      </c>
      <c r="R34" s="247">
        <v>0</v>
      </c>
      <c r="S34" s="247">
        <v>0</v>
      </c>
      <c r="T34" s="247">
        <v>0</v>
      </c>
      <c r="U34" s="247">
        <v>0</v>
      </c>
      <c r="V34" s="247">
        <v>0</v>
      </c>
      <c r="W34" s="247">
        <v>0</v>
      </c>
      <c r="X34" s="247">
        <v>0</v>
      </c>
      <c r="Y34" s="247">
        <v>0</v>
      </c>
      <c r="Z34" s="247">
        <v>0</v>
      </c>
      <c r="AA34" s="247">
        <v>0</v>
      </c>
      <c r="AB34" s="247">
        <v>10000</v>
      </c>
      <c r="AC34" s="247">
        <v>0</v>
      </c>
      <c r="AD34" s="247">
        <v>0</v>
      </c>
      <c r="AE34" s="248">
        <v>0</v>
      </c>
      <c r="AF34" s="248">
        <v>1500</v>
      </c>
      <c r="AG34" s="248">
        <v>775</v>
      </c>
      <c r="AH34" s="248">
        <v>0</v>
      </c>
      <c r="AI34" s="250">
        <f t="shared" si="2"/>
        <v>27075</v>
      </c>
      <c r="AJ34" s="249" t="s">
        <v>39</v>
      </c>
    </row>
    <row r="35" spans="1:36" s="246" customFormat="1" x14ac:dyDescent="0.35">
      <c r="A35" s="268" t="s">
        <v>176</v>
      </c>
      <c r="B35" s="250">
        <v>0</v>
      </c>
      <c r="C35" s="250">
        <v>4000</v>
      </c>
      <c r="D35" s="250">
        <v>0</v>
      </c>
      <c r="E35" s="250">
        <v>0</v>
      </c>
      <c r="F35" s="250">
        <v>0</v>
      </c>
      <c r="G35" s="250">
        <v>0</v>
      </c>
      <c r="H35" s="250">
        <v>0</v>
      </c>
      <c r="I35" s="250">
        <v>2500</v>
      </c>
      <c r="J35" s="250">
        <v>0</v>
      </c>
      <c r="K35" s="250">
        <v>0</v>
      </c>
      <c r="L35" s="250">
        <v>0</v>
      </c>
      <c r="M35" s="250">
        <v>0</v>
      </c>
      <c r="N35" s="250">
        <v>0</v>
      </c>
      <c r="O35" s="250">
        <v>300</v>
      </c>
      <c r="P35" s="250">
        <v>0</v>
      </c>
      <c r="Q35" s="250">
        <v>0</v>
      </c>
      <c r="R35" s="250">
        <v>2500</v>
      </c>
      <c r="S35" s="250">
        <v>2500</v>
      </c>
      <c r="T35" s="250">
        <v>0</v>
      </c>
      <c r="U35" s="250">
        <v>0</v>
      </c>
      <c r="V35" s="250">
        <v>0</v>
      </c>
      <c r="W35" s="250">
        <v>0</v>
      </c>
      <c r="X35" s="250">
        <v>0</v>
      </c>
      <c r="Y35" s="250">
        <v>0</v>
      </c>
      <c r="Z35" s="250">
        <v>0</v>
      </c>
      <c r="AA35" s="250">
        <v>0</v>
      </c>
      <c r="AB35" s="250">
        <v>12500</v>
      </c>
      <c r="AC35" s="250">
        <v>0</v>
      </c>
      <c r="AD35" s="250">
        <v>0</v>
      </c>
      <c r="AE35" s="251">
        <v>1000</v>
      </c>
      <c r="AF35" s="251">
        <v>3000</v>
      </c>
      <c r="AG35" s="251">
        <v>950</v>
      </c>
      <c r="AH35" s="251">
        <v>0</v>
      </c>
      <c r="AI35" s="250">
        <f t="shared" si="2"/>
        <v>29250</v>
      </c>
      <c r="AJ35" s="249" t="s">
        <v>39</v>
      </c>
    </row>
    <row r="36" spans="1:36" s="246" customFormat="1" x14ac:dyDescent="0.35">
      <c r="A36" s="268" t="s">
        <v>198</v>
      </c>
      <c r="B36" s="250">
        <v>0</v>
      </c>
      <c r="C36" s="250">
        <v>2850</v>
      </c>
      <c r="D36" s="250">
        <v>0</v>
      </c>
      <c r="E36" s="250">
        <v>0</v>
      </c>
      <c r="F36" s="250">
        <v>0</v>
      </c>
      <c r="G36" s="250">
        <v>0</v>
      </c>
      <c r="H36" s="250">
        <v>0</v>
      </c>
      <c r="I36" s="250">
        <v>1000</v>
      </c>
      <c r="J36" s="250">
        <v>0</v>
      </c>
      <c r="K36" s="250">
        <v>0</v>
      </c>
      <c r="L36" s="250">
        <v>0</v>
      </c>
      <c r="M36" s="250">
        <v>0</v>
      </c>
      <c r="N36" s="250">
        <v>0</v>
      </c>
      <c r="O36" s="250">
        <v>0</v>
      </c>
      <c r="P36" s="250">
        <v>3000</v>
      </c>
      <c r="Q36" s="250">
        <v>0</v>
      </c>
      <c r="R36" s="250">
        <v>0</v>
      </c>
      <c r="S36" s="250">
        <v>0</v>
      </c>
      <c r="T36" s="250">
        <v>0</v>
      </c>
      <c r="U36" s="250">
        <v>0</v>
      </c>
      <c r="V36" s="250">
        <v>0</v>
      </c>
      <c r="W36" s="250">
        <v>0</v>
      </c>
      <c r="X36" s="250">
        <v>0</v>
      </c>
      <c r="Y36" s="250">
        <v>0</v>
      </c>
      <c r="Z36" s="250">
        <v>0</v>
      </c>
      <c r="AA36" s="250">
        <v>0</v>
      </c>
      <c r="AB36" s="250">
        <v>0</v>
      </c>
      <c r="AC36" s="250">
        <v>0</v>
      </c>
      <c r="AD36" s="250">
        <v>0</v>
      </c>
      <c r="AE36" s="251">
        <v>250</v>
      </c>
      <c r="AF36" s="251">
        <v>1500</v>
      </c>
      <c r="AG36" s="251">
        <v>350</v>
      </c>
      <c r="AH36" s="251">
        <v>15000</v>
      </c>
      <c r="AI36" s="250">
        <f t="shared" si="2"/>
        <v>23950</v>
      </c>
      <c r="AJ36" s="249" t="s">
        <v>39</v>
      </c>
    </row>
    <row r="37" spans="1:36" s="246" customFormat="1" x14ac:dyDescent="0.35">
      <c r="A37" s="38" t="s">
        <v>51</v>
      </c>
      <c r="B37" s="250">
        <v>1000</v>
      </c>
      <c r="C37" s="250">
        <v>5000</v>
      </c>
      <c r="D37" s="250">
        <v>0</v>
      </c>
      <c r="E37" s="250">
        <v>2830</v>
      </c>
      <c r="F37" s="250">
        <v>0</v>
      </c>
      <c r="G37" s="250">
        <v>1000</v>
      </c>
      <c r="H37" s="250">
        <v>1000</v>
      </c>
      <c r="I37" s="250">
        <v>0</v>
      </c>
      <c r="J37" s="250">
        <v>0</v>
      </c>
      <c r="K37" s="250">
        <v>0</v>
      </c>
      <c r="L37" s="250">
        <v>0</v>
      </c>
      <c r="M37" s="250">
        <v>1795</v>
      </c>
      <c r="N37" s="250">
        <v>0</v>
      </c>
      <c r="O37" s="250">
        <v>0</v>
      </c>
      <c r="P37" s="250">
        <v>3000</v>
      </c>
      <c r="Q37" s="250">
        <v>1000</v>
      </c>
      <c r="R37" s="250">
        <v>0</v>
      </c>
      <c r="S37" s="250">
        <v>1500</v>
      </c>
      <c r="T37" s="250">
        <v>2500</v>
      </c>
      <c r="U37" s="250">
        <v>1000</v>
      </c>
      <c r="V37" s="250">
        <v>0</v>
      </c>
      <c r="W37" s="250">
        <v>1700</v>
      </c>
      <c r="X37" s="250">
        <v>0</v>
      </c>
      <c r="Y37" s="250">
        <v>0</v>
      </c>
      <c r="Z37" s="250">
        <v>0</v>
      </c>
      <c r="AA37" s="250">
        <v>0</v>
      </c>
      <c r="AB37" s="250">
        <v>5000</v>
      </c>
      <c r="AC37" s="250">
        <v>0</v>
      </c>
      <c r="AD37" s="250">
        <v>0</v>
      </c>
      <c r="AE37" s="251">
        <v>1000</v>
      </c>
      <c r="AF37" s="251">
        <v>1500</v>
      </c>
      <c r="AG37" s="251">
        <v>1025</v>
      </c>
      <c r="AH37" s="251">
        <v>0</v>
      </c>
      <c r="AI37" s="250">
        <f t="shared" si="2"/>
        <v>31850</v>
      </c>
      <c r="AJ37" s="249" t="s">
        <v>39</v>
      </c>
    </row>
    <row r="38" spans="1:36" s="246" customFormat="1" x14ac:dyDescent="0.35">
      <c r="A38" s="38" t="s">
        <v>260</v>
      </c>
      <c r="B38" s="250">
        <v>0</v>
      </c>
      <c r="C38" s="250">
        <v>2850</v>
      </c>
      <c r="D38" s="250">
        <v>0</v>
      </c>
      <c r="E38" s="250">
        <v>0</v>
      </c>
      <c r="F38" s="250">
        <v>0</v>
      </c>
      <c r="G38" s="250">
        <v>1000</v>
      </c>
      <c r="H38" s="250">
        <v>0</v>
      </c>
      <c r="I38" s="250">
        <v>0</v>
      </c>
      <c r="J38" s="250">
        <v>0</v>
      </c>
      <c r="K38" s="250">
        <v>0</v>
      </c>
      <c r="L38" s="250">
        <v>0</v>
      </c>
      <c r="M38" s="250">
        <v>0</v>
      </c>
      <c r="N38" s="250">
        <v>0</v>
      </c>
      <c r="O38" s="250">
        <v>0</v>
      </c>
      <c r="P38" s="250">
        <v>0</v>
      </c>
      <c r="Q38" s="250">
        <v>2500</v>
      </c>
      <c r="R38" s="250">
        <v>0</v>
      </c>
      <c r="S38" s="250">
        <v>1500</v>
      </c>
      <c r="T38" s="250">
        <v>4000</v>
      </c>
      <c r="U38" s="250">
        <v>0</v>
      </c>
      <c r="V38" s="250">
        <v>0</v>
      </c>
      <c r="W38" s="250">
        <v>0</v>
      </c>
      <c r="X38" s="250">
        <v>0</v>
      </c>
      <c r="Y38" s="250">
        <v>1750</v>
      </c>
      <c r="Z38" s="250">
        <v>0</v>
      </c>
      <c r="AA38" s="250">
        <v>0</v>
      </c>
      <c r="AB38" s="250">
        <v>8500</v>
      </c>
      <c r="AC38" s="250">
        <v>0</v>
      </c>
      <c r="AD38" s="250">
        <v>0</v>
      </c>
      <c r="AE38" s="251">
        <v>1000</v>
      </c>
      <c r="AF38" s="251">
        <v>1500</v>
      </c>
      <c r="AG38" s="251">
        <v>430</v>
      </c>
      <c r="AH38" s="251">
        <v>0</v>
      </c>
      <c r="AI38" s="250">
        <f t="shared" si="2"/>
        <v>25030</v>
      </c>
      <c r="AJ38" s="249" t="s">
        <v>39</v>
      </c>
    </row>
    <row r="39" spans="1:36" s="246" customFormat="1" x14ac:dyDescent="0.35">
      <c r="A39" s="38" t="s">
        <v>2600</v>
      </c>
      <c r="B39" s="250">
        <v>0</v>
      </c>
      <c r="C39" s="250">
        <v>2850</v>
      </c>
      <c r="D39" s="250">
        <v>350</v>
      </c>
      <c r="E39" s="250">
        <v>2500</v>
      </c>
      <c r="F39" s="250">
        <v>350</v>
      </c>
      <c r="G39" s="250">
        <v>500</v>
      </c>
      <c r="H39" s="250">
        <v>0</v>
      </c>
      <c r="I39" s="250">
        <v>1000</v>
      </c>
      <c r="J39" s="250">
        <v>0</v>
      </c>
      <c r="K39" s="250">
        <v>1495</v>
      </c>
      <c r="L39" s="250">
        <v>0</v>
      </c>
      <c r="M39" s="250">
        <v>0</v>
      </c>
      <c r="N39" s="250">
        <v>0</v>
      </c>
      <c r="O39" s="250">
        <v>0</v>
      </c>
      <c r="P39" s="250">
        <v>0</v>
      </c>
      <c r="Q39" s="250">
        <v>3500</v>
      </c>
      <c r="R39" s="250">
        <v>0</v>
      </c>
      <c r="S39" s="250">
        <v>0</v>
      </c>
      <c r="T39" s="250">
        <v>0</v>
      </c>
      <c r="U39" s="250">
        <v>0</v>
      </c>
      <c r="V39" s="250"/>
      <c r="W39" s="250">
        <v>750</v>
      </c>
      <c r="X39" s="250">
        <v>0</v>
      </c>
      <c r="Y39" s="250">
        <v>0</v>
      </c>
      <c r="Z39" s="250">
        <v>0</v>
      </c>
      <c r="AA39" s="250">
        <v>0</v>
      </c>
      <c r="AB39" s="250">
        <v>0</v>
      </c>
      <c r="AC39" s="250">
        <v>1200</v>
      </c>
      <c r="AD39" s="250">
        <v>0</v>
      </c>
      <c r="AE39" s="251">
        <v>1000</v>
      </c>
      <c r="AF39" s="251">
        <v>3000</v>
      </c>
      <c r="AG39" s="251">
        <v>1500</v>
      </c>
      <c r="AH39" s="251">
        <v>0</v>
      </c>
      <c r="AI39" s="250">
        <f t="shared" si="2"/>
        <v>19995</v>
      </c>
      <c r="AJ39" s="249" t="s">
        <v>39</v>
      </c>
    </row>
    <row r="40" spans="1:36" s="246" customFormat="1" x14ac:dyDescent="0.35">
      <c r="A40" s="38" t="s">
        <v>259</v>
      </c>
      <c r="B40" s="250">
        <v>0</v>
      </c>
      <c r="C40" s="250">
        <v>20000</v>
      </c>
      <c r="D40" s="250">
        <v>0</v>
      </c>
      <c r="E40" s="250">
        <v>0</v>
      </c>
      <c r="F40" s="250">
        <v>0</v>
      </c>
      <c r="G40" s="250">
        <v>0</v>
      </c>
      <c r="H40" s="250">
        <v>0</v>
      </c>
      <c r="I40" s="250">
        <v>0</v>
      </c>
      <c r="J40" s="250">
        <v>0</v>
      </c>
      <c r="K40" s="250">
        <v>0</v>
      </c>
      <c r="L40" s="250">
        <v>0</v>
      </c>
      <c r="M40" s="250">
        <v>0</v>
      </c>
      <c r="N40" s="250">
        <v>0</v>
      </c>
      <c r="O40" s="250">
        <v>0</v>
      </c>
      <c r="P40" s="250">
        <v>0</v>
      </c>
      <c r="Q40" s="250">
        <v>0</v>
      </c>
      <c r="R40" s="250">
        <v>0</v>
      </c>
      <c r="S40" s="250">
        <v>0</v>
      </c>
      <c r="T40" s="250">
        <v>0</v>
      </c>
      <c r="U40" s="250">
        <v>0</v>
      </c>
      <c r="V40" s="250">
        <v>0</v>
      </c>
      <c r="W40" s="250">
        <v>0</v>
      </c>
      <c r="X40" s="250">
        <v>0</v>
      </c>
      <c r="Y40" s="250">
        <v>0</v>
      </c>
      <c r="Z40" s="250">
        <v>0</v>
      </c>
      <c r="AA40" s="250">
        <v>0</v>
      </c>
      <c r="AB40" s="250">
        <v>0</v>
      </c>
      <c r="AC40" s="250">
        <v>0</v>
      </c>
      <c r="AD40" s="250">
        <v>0</v>
      </c>
      <c r="AE40" s="251">
        <v>0</v>
      </c>
      <c r="AF40" s="251">
        <v>1500</v>
      </c>
      <c r="AG40" s="251">
        <v>650</v>
      </c>
      <c r="AH40" s="251">
        <v>0</v>
      </c>
      <c r="AI40" s="250">
        <f t="shared" si="2"/>
        <v>22150</v>
      </c>
      <c r="AJ40" s="249" t="s">
        <v>39</v>
      </c>
    </row>
    <row r="41" spans="1:36" s="246" customFormat="1" x14ac:dyDescent="0.35">
      <c r="A41" s="38" t="s">
        <v>288</v>
      </c>
      <c r="B41" s="250">
        <v>0</v>
      </c>
      <c r="C41" s="250">
        <v>1500</v>
      </c>
      <c r="D41" s="250">
        <v>0</v>
      </c>
      <c r="E41" s="250">
        <v>0</v>
      </c>
      <c r="F41" s="250">
        <v>0</v>
      </c>
      <c r="G41" s="250">
        <v>600</v>
      </c>
      <c r="H41" s="250">
        <v>0</v>
      </c>
      <c r="I41" s="250">
        <v>0</v>
      </c>
      <c r="J41" s="250">
        <v>0</v>
      </c>
      <c r="K41" s="250">
        <v>1495</v>
      </c>
      <c r="L41" s="250">
        <v>0</v>
      </c>
      <c r="M41" s="250">
        <v>0</v>
      </c>
      <c r="N41" s="250">
        <v>0</v>
      </c>
      <c r="O41" s="250">
        <v>0</v>
      </c>
      <c r="P41" s="250">
        <v>3000</v>
      </c>
      <c r="Q41" s="250">
        <v>0</v>
      </c>
      <c r="R41" s="250">
        <v>0</v>
      </c>
      <c r="S41" s="250">
        <v>0</v>
      </c>
      <c r="T41" s="250">
        <v>0</v>
      </c>
      <c r="U41" s="250">
        <v>0</v>
      </c>
      <c r="V41" s="250">
        <v>0</v>
      </c>
      <c r="W41" s="250">
        <v>0</v>
      </c>
      <c r="X41" s="250">
        <v>0</v>
      </c>
      <c r="Y41" s="250">
        <v>0</v>
      </c>
      <c r="Z41" s="250">
        <v>20000</v>
      </c>
      <c r="AA41" s="250">
        <v>0</v>
      </c>
      <c r="AB41" s="250">
        <v>0</v>
      </c>
      <c r="AC41" s="250">
        <v>1500</v>
      </c>
      <c r="AD41" s="250">
        <v>2600</v>
      </c>
      <c r="AE41" s="251">
        <v>500</v>
      </c>
      <c r="AF41" s="251">
        <v>1500</v>
      </c>
      <c r="AG41" s="251">
        <v>1640</v>
      </c>
      <c r="AH41" s="251">
        <v>0</v>
      </c>
      <c r="AI41" s="250">
        <f t="shared" si="2"/>
        <v>34335</v>
      </c>
      <c r="AJ41" s="249" t="s">
        <v>39</v>
      </c>
    </row>
    <row r="42" spans="1:36" s="246" customFormat="1" x14ac:dyDescent="0.35">
      <c r="A42" s="38" t="s">
        <v>248</v>
      </c>
      <c r="B42" s="250">
        <v>0</v>
      </c>
      <c r="C42" s="250">
        <v>2850</v>
      </c>
      <c r="D42" s="250">
        <v>0</v>
      </c>
      <c r="E42" s="250">
        <v>0</v>
      </c>
      <c r="F42" s="250">
        <v>0</v>
      </c>
      <c r="G42" s="250">
        <v>530</v>
      </c>
      <c r="H42" s="250">
        <v>0</v>
      </c>
      <c r="I42" s="250">
        <v>0</v>
      </c>
      <c r="J42" s="250">
        <v>0</v>
      </c>
      <c r="K42" s="250">
        <v>0</v>
      </c>
      <c r="L42" s="250">
        <v>0</v>
      </c>
      <c r="M42" s="250">
        <v>1795</v>
      </c>
      <c r="N42" s="250">
        <v>0</v>
      </c>
      <c r="O42" s="250">
        <v>0</v>
      </c>
      <c r="P42" s="250">
        <v>3000</v>
      </c>
      <c r="Q42" s="250">
        <v>0</v>
      </c>
      <c r="R42" s="250">
        <v>5000</v>
      </c>
      <c r="S42" s="250">
        <v>3500</v>
      </c>
      <c r="T42" s="250">
        <v>1000</v>
      </c>
      <c r="U42" s="250">
        <v>0</v>
      </c>
      <c r="V42" s="250">
        <v>0</v>
      </c>
      <c r="W42" s="250">
        <v>0</v>
      </c>
      <c r="X42" s="250">
        <v>0</v>
      </c>
      <c r="Y42" s="250">
        <v>0</v>
      </c>
      <c r="Z42" s="250">
        <v>1000</v>
      </c>
      <c r="AA42" s="250">
        <v>650</v>
      </c>
      <c r="AB42" s="250">
        <v>0</v>
      </c>
      <c r="AC42" s="250">
        <v>0</v>
      </c>
      <c r="AD42" s="250">
        <v>0</v>
      </c>
      <c r="AE42" s="251">
        <v>1000</v>
      </c>
      <c r="AF42" s="251">
        <v>3000</v>
      </c>
      <c r="AG42" s="251">
        <v>4305</v>
      </c>
      <c r="AH42" s="251">
        <v>0</v>
      </c>
      <c r="AI42" s="250">
        <f t="shared" si="2"/>
        <v>27630</v>
      </c>
      <c r="AJ42" s="249" t="s">
        <v>39</v>
      </c>
    </row>
    <row r="43" spans="1:36" s="246" customFormat="1" x14ac:dyDescent="0.35">
      <c r="A43" s="38" t="s">
        <v>298</v>
      </c>
      <c r="B43" s="250">
        <v>0</v>
      </c>
      <c r="C43" s="250">
        <v>1500</v>
      </c>
      <c r="D43" s="250">
        <v>0</v>
      </c>
      <c r="E43" s="250">
        <v>0</v>
      </c>
      <c r="F43" s="250">
        <v>0</v>
      </c>
      <c r="G43" s="250">
        <v>0</v>
      </c>
      <c r="H43" s="250">
        <v>0</v>
      </c>
      <c r="I43" s="250">
        <v>0</v>
      </c>
      <c r="J43" s="250">
        <v>0</v>
      </c>
      <c r="K43" s="250">
        <v>0</v>
      </c>
      <c r="L43" s="250">
        <v>0</v>
      </c>
      <c r="M43" s="250">
        <v>0</v>
      </c>
      <c r="N43" s="250">
        <v>0</v>
      </c>
      <c r="O43" s="250">
        <v>0</v>
      </c>
      <c r="P43" s="250">
        <v>3000</v>
      </c>
      <c r="Q43" s="250">
        <v>5000</v>
      </c>
      <c r="R43" s="250">
        <v>0</v>
      </c>
      <c r="S43" s="250">
        <v>0</v>
      </c>
      <c r="T43" s="250">
        <v>0</v>
      </c>
      <c r="U43" s="250">
        <v>5000</v>
      </c>
      <c r="V43" s="250">
        <v>0</v>
      </c>
      <c r="W43" s="250">
        <v>4000</v>
      </c>
      <c r="X43" s="250">
        <v>0</v>
      </c>
      <c r="Y43" s="250">
        <v>0</v>
      </c>
      <c r="Z43" s="250">
        <v>0</v>
      </c>
      <c r="AA43" s="250">
        <v>0</v>
      </c>
      <c r="AB43" s="250">
        <v>7500</v>
      </c>
      <c r="AC43" s="250">
        <v>0</v>
      </c>
      <c r="AD43" s="250">
        <v>0</v>
      </c>
      <c r="AE43" s="251">
        <v>750</v>
      </c>
      <c r="AF43" s="251">
        <v>1500</v>
      </c>
      <c r="AG43" s="251">
        <v>2000</v>
      </c>
      <c r="AH43" s="251">
        <v>0</v>
      </c>
      <c r="AI43" s="250">
        <f t="shared" si="2"/>
        <v>30250</v>
      </c>
      <c r="AJ43" s="249" t="s">
        <v>39</v>
      </c>
    </row>
    <row r="44" spans="1:36" s="246" customFormat="1" x14ac:dyDescent="0.35">
      <c r="A44" s="38" t="s">
        <v>160</v>
      </c>
      <c r="B44" s="250">
        <v>0</v>
      </c>
      <c r="C44" s="250">
        <v>5000</v>
      </c>
      <c r="D44" s="250">
        <v>0</v>
      </c>
      <c r="E44" s="250">
        <v>0</v>
      </c>
      <c r="F44" s="250">
        <v>0</v>
      </c>
      <c r="G44" s="250">
        <v>1350</v>
      </c>
      <c r="H44" s="250">
        <v>0</v>
      </c>
      <c r="I44" s="250">
        <v>3000</v>
      </c>
      <c r="J44" s="250">
        <v>0</v>
      </c>
      <c r="K44" s="250">
        <v>0</v>
      </c>
      <c r="L44" s="250">
        <v>0</v>
      </c>
      <c r="M44" s="250">
        <v>0</v>
      </c>
      <c r="N44" s="250">
        <v>0</v>
      </c>
      <c r="O44" s="250">
        <v>0</v>
      </c>
      <c r="P44" s="250">
        <v>3000</v>
      </c>
      <c r="Q44" s="250">
        <v>5000</v>
      </c>
      <c r="R44" s="250">
        <v>0</v>
      </c>
      <c r="S44" s="250">
        <v>5000</v>
      </c>
      <c r="T44" s="250">
        <v>0</v>
      </c>
      <c r="U44" s="250">
        <v>0</v>
      </c>
      <c r="V44" s="250">
        <v>0</v>
      </c>
      <c r="W44" s="250">
        <v>0</v>
      </c>
      <c r="X44" s="250">
        <v>0</v>
      </c>
      <c r="Y44" s="250">
        <v>0</v>
      </c>
      <c r="Z44" s="250">
        <v>0</v>
      </c>
      <c r="AA44" s="250">
        <v>0</v>
      </c>
      <c r="AB44" s="250">
        <v>0</v>
      </c>
      <c r="AC44" s="250">
        <v>0</v>
      </c>
      <c r="AD44" s="250">
        <v>3500</v>
      </c>
      <c r="AE44" s="251">
        <v>0</v>
      </c>
      <c r="AF44" s="251">
        <v>3000</v>
      </c>
      <c r="AG44" s="251">
        <v>725</v>
      </c>
      <c r="AH44" s="251">
        <v>0</v>
      </c>
      <c r="AI44" s="250">
        <f t="shared" si="2"/>
        <v>29575</v>
      </c>
      <c r="AJ44" s="249" t="s">
        <v>39</v>
      </c>
    </row>
    <row r="45" spans="1:36" s="246" customFormat="1" x14ac:dyDescent="0.35">
      <c r="A45" s="38" t="s">
        <v>1836</v>
      </c>
      <c r="B45" s="250"/>
      <c r="C45" s="250"/>
      <c r="D45" s="250"/>
      <c r="E45" s="250"/>
      <c r="F45" s="250"/>
      <c r="G45" s="250"/>
      <c r="H45" s="250"/>
      <c r="I45" s="250"/>
      <c r="J45" s="250"/>
      <c r="K45" s="250"/>
      <c r="L45" s="250"/>
      <c r="M45" s="250"/>
      <c r="N45" s="250"/>
      <c r="O45" s="250"/>
      <c r="P45" s="250"/>
      <c r="Q45" s="250"/>
      <c r="R45" s="250"/>
      <c r="S45" s="250"/>
      <c r="T45" s="250"/>
      <c r="U45" s="250"/>
      <c r="V45" s="250"/>
      <c r="W45" s="250"/>
      <c r="X45" s="250"/>
      <c r="Y45" s="250"/>
      <c r="Z45" s="250"/>
      <c r="AA45" s="250"/>
      <c r="AB45" s="250"/>
      <c r="AC45" s="250"/>
      <c r="AD45" s="250"/>
      <c r="AE45" s="251"/>
      <c r="AF45" s="251"/>
      <c r="AG45" s="251"/>
      <c r="AH45" s="251"/>
      <c r="AI45" s="250">
        <v>0</v>
      </c>
      <c r="AJ45" s="249" t="s">
        <v>39</v>
      </c>
    </row>
    <row r="46" spans="1:36" s="246" customFormat="1" x14ac:dyDescent="0.35">
      <c r="A46" s="38" t="s">
        <v>1838</v>
      </c>
      <c r="B46" s="250"/>
      <c r="C46" s="250"/>
      <c r="D46" s="250"/>
      <c r="E46" s="250"/>
      <c r="F46" s="250"/>
      <c r="G46" s="250"/>
      <c r="H46" s="250"/>
      <c r="I46" s="250"/>
      <c r="J46" s="250"/>
      <c r="K46" s="250"/>
      <c r="L46" s="250"/>
      <c r="M46" s="250"/>
      <c r="N46" s="250"/>
      <c r="O46" s="250"/>
      <c r="P46" s="250"/>
      <c r="Q46" s="250"/>
      <c r="R46" s="250"/>
      <c r="S46" s="250"/>
      <c r="T46" s="250"/>
      <c r="U46" s="250"/>
      <c r="V46" s="250"/>
      <c r="W46" s="250"/>
      <c r="X46" s="250"/>
      <c r="Y46" s="250"/>
      <c r="Z46" s="250"/>
      <c r="AA46" s="250"/>
      <c r="AB46" s="250"/>
      <c r="AC46" s="250"/>
      <c r="AD46" s="250"/>
      <c r="AE46" s="251"/>
      <c r="AF46" s="251"/>
      <c r="AG46" s="251"/>
      <c r="AH46" s="251"/>
      <c r="AI46" s="250">
        <v>0</v>
      </c>
      <c r="AJ46" s="249" t="s">
        <v>39</v>
      </c>
    </row>
    <row r="47" spans="1:36" s="246" customFormat="1" x14ac:dyDescent="0.35">
      <c r="A47" s="38" t="s">
        <v>1839</v>
      </c>
      <c r="B47" s="250"/>
      <c r="C47" s="250"/>
      <c r="D47" s="250"/>
      <c r="E47" s="250"/>
      <c r="F47" s="250"/>
      <c r="G47" s="250"/>
      <c r="H47" s="250"/>
      <c r="I47" s="250"/>
      <c r="J47" s="250"/>
      <c r="K47" s="250"/>
      <c r="L47" s="250"/>
      <c r="M47" s="250"/>
      <c r="N47" s="250"/>
      <c r="O47" s="250"/>
      <c r="P47" s="250"/>
      <c r="Q47" s="250"/>
      <c r="R47" s="250"/>
      <c r="S47" s="250"/>
      <c r="T47" s="250"/>
      <c r="U47" s="250"/>
      <c r="V47" s="250"/>
      <c r="W47" s="250"/>
      <c r="X47" s="250"/>
      <c r="Y47" s="250"/>
      <c r="Z47" s="250"/>
      <c r="AA47" s="250"/>
      <c r="AB47" s="250"/>
      <c r="AC47" s="250"/>
      <c r="AD47" s="250"/>
      <c r="AE47" s="251"/>
      <c r="AF47" s="251"/>
      <c r="AG47" s="251"/>
      <c r="AH47" s="251"/>
      <c r="AI47" s="250">
        <v>0</v>
      </c>
      <c r="AJ47" s="249" t="s">
        <v>39</v>
      </c>
    </row>
    <row r="48" spans="1:36" s="246" customFormat="1" x14ac:dyDescent="0.35">
      <c r="A48" s="38" t="s">
        <v>1193</v>
      </c>
      <c r="B48" s="250">
        <v>1000</v>
      </c>
      <c r="C48" s="250">
        <v>0</v>
      </c>
      <c r="D48" s="250">
        <v>0</v>
      </c>
      <c r="E48" s="250">
        <v>0</v>
      </c>
      <c r="F48" s="250">
        <v>0</v>
      </c>
      <c r="G48" s="250">
        <v>1000</v>
      </c>
      <c r="H48" s="250">
        <v>0</v>
      </c>
      <c r="I48" s="250">
        <v>0</v>
      </c>
      <c r="J48" s="250">
        <v>0</v>
      </c>
      <c r="K48" s="250">
        <v>0</v>
      </c>
      <c r="L48" s="250">
        <v>0</v>
      </c>
      <c r="M48" s="250">
        <v>0</v>
      </c>
      <c r="N48" s="250">
        <v>1000</v>
      </c>
      <c r="O48" s="250">
        <v>0</v>
      </c>
      <c r="P48" s="250">
        <v>3000</v>
      </c>
      <c r="Q48" s="250">
        <v>1000</v>
      </c>
      <c r="R48" s="250">
        <v>1000</v>
      </c>
      <c r="S48" s="250">
        <v>2500</v>
      </c>
      <c r="T48" s="250">
        <v>0</v>
      </c>
      <c r="U48" s="250">
        <v>0</v>
      </c>
      <c r="V48" s="250">
        <v>0</v>
      </c>
      <c r="W48" s="250">
        <v>4000</v>
      </c>
      <c r="X48" s="250">
        <v>0</v>
      </c>
      <c r="Y48" s="250">
        <v>0</v>
      </c>
      <c r="Z48" s="250">
        <v>0</v>
      </c>
      <c r="AA48" s="250">
        <v>2000</v>
      </c>
      <c r="AB48" s="250">
        <v>5000</v>
      </c>
      <c r="AC48" s="250">
        <v>0</v>
      </c>
      <c r="AD48" s="250">
        <v>1500</v>
      </c>
      <c r="AE48" s="251">
        <v>1000</v>
      </c>
      <c r="AF48" s="251">
        <v>3000</v>
      </c>
      <c r="AG48" s="251">
        <v>1025</v>
      </c>
      <c r="AH48" s="251">
        <v>0</v>
      </c>
      <c r="AI48" s="250">
        <f t="shared" ref="AI48:AI54" si="3">SUM(B48:AH48)</f>
        <v>28025</v>
      </c>
      <c r="AJ48" s="249" t="s">
        <v>39</v>
      </c>
    </row>
    <row r="49" spans="1:36" s="246" customFormat="1" x14ac:dyDescent="0.35">
      <c r="A49" s="38" t="s">
        <v>1249</v>
      </c>
      <c r="B49" s="250"/>
      <c r="C49" s="250"/>
      <c r="D49" s="250"/>
      <c r="E49" s="250"/>
      <c r="F49" s="250"/>
      <c r="G49" s="250"/>
      <c r="H49" s="250"/>
      <c r="I49" s="250"/>
      <c r="J49" s="250"/>
      <c r="K49" s="250"/>
      <c r="L49" s="250"/>
      <c r="M49" s="250"/>
      <c r="N49" s="250"/>
      <c r="O49" s="250"/>
      <c r="P49" s="250"/>
      <c r="Q49" s="250"/>
      <c r="R49" s="250"/>
      <c r="S49" s="250"/>
      <c r="T49" s="250"/>
      <c r="U49" s="250"/>
      <c r="V49" s="250"/>
      <c r="W49" s="250"/>
      <c r="X49" s="250"/>
      <c r="Y49" s="250"/>
      <c r="Z49" s="250"/>
      <c r="AA49" s="250"/>
      <c r="AB49" s="250"/>
      <c r="AC49" s="250"/>
      <c r="AD49" s="250"/>
      <c r="AE49" s="251"/>
      <c r="AF49" s="251"/>
      <c r="AG49" s="251"/>
      <c r="AH49" s="251"/>
      <c r="AI49" s="250">
        <v>25000</v>
      </c>
      <c r="AJ49" s="249" t="s">
        <v>39</v>
      </c>
    </row>
    <row r="50" spans="1:36" s="246" customFormat="1" x14ac:dyDescent="0.35">
      <c r="A50" s="38" t="s">
        <v>1851</v>
      </c>
      <c r="B50" s="250">
        <v>0</v>
      </c>
      <c r="C50" s="250">
        <v>0</v>
      </c>
      <c r="D50" s="250">
        <v>0</v>
      </c>
      <c r="E50" s="250">
        <v>0</v>
      </c>
      <c r="F50" s="250">
        <v>0</v>
      </c>
      <c r="G50" s="250">
        <v>0</v>
      </c>
      <c r="H50" s="250">
        <v>0</v>
      </c>
      <c r="I50" s="250">
        <v>0</v>
      </c>
      <c r="J50" s="250">
        <v>0</v>
      </c>
      <c r="K50" s="250">
        <v>0</v>
      </c>
      <c r="L50" s="250">
        <v>0</v>
      </c>
      <c r="M50" s="250">
        <v>0</v>
      </c>
      <c r="N50" s="250">
        <v>0</v>
      </c>
      <c r="O50" s="250">
        <v>0</v>
      </c>
      <c r="P50" s="250">
        <v>0</v>
      </c>
      <c r="Q50" s="250">
        <v>0</v>
      </c>
      <c r="R50" s="250">
        <v>0</v>
      </c>
      <c r="S50" s="250">
        <v>0</v>
      </c>
      <c r="T50" s="250">
        <v>0</v>
      </c>
      <c r="U50" s="250">
        <v>0</v>
      </c>
      <c r="V50" s="250">
        <v>0</v>
      </c>
      <c r="W50" s="250">
        <v>0</v>
      </c>
      <c r="X50" s="250">
        <v>0</v>
      </c>
      <c r="Y50" s="250">
        <v>0</v>
      </c>
      <c r="Z50" s="250">
        <v>0</v>
      </c>
      <c r="AA50" s="250">
        <v>0</v>
      </c>
      <c r="AB50" s="250">
        <v>0</v>
      </c>
      <c r="AC50" s="250">
        <v>0</v>
      </c>
      <c r="AD50" s="250">
        <v>0</v>
      </c>
      <c r="AE50" s="251">
        <v>0</v>
      </c>
      <c r="AF50" s="251">
        <v>0</v>
      </c>
      <c r="AG50" s="251">
        <v>0</v>
      </c>
      <c r="AH50" s="251">
        <v>25000</v>
      </c>
      <c r="AI50" s="250">
        <f t="shared" si="3"/>
        <v>25000</v>
      </c>
      <c r="AJ50" s="249" t="s">
        <v>39</v>
      </c>
    </row>
    <row r="51" spans="1:36" s="246" customFormat="1" x14ac:dyDescent="0.35">
      <c r="A51" s="38" t="s">
        <v>232</v>
      </c>
      <c r="B51" s="250">
        <v>0</v>
      </c>
      <c r="C51" s="250">
        <v>2850</v>
      </c>
      <c r="D51" s="250">
        <v>0</v>
      </c>
      <c r="E51" s="250">
        <v>2500</v>
      </c>
      <c r="F51" s="250">
        <v>500</v>
      </c>
      <c r="G51" s="250">
        <v>2000</v>
      </c>
      <c r="H51" s="250">
        <v>0</v>
      </c>
      <c r="I51" s="250">
        <v>1000</v>
      </c>
      <c r="J51" s="250">
        <v>0</v>
      </c>
      <c r="K51" s="250">
        <v>0</v>
      </c>
      <c r="L51" s="250">
        <v>0</v>
      </c>
      <c r="M51" s="250">
        <v>1795</v>
      </c>
      <c r="N51" s="250">
        <v>1750</v>
      </c>
      <c r="O51" s="250">
        <v>0</v>
      </c>
      <c r="P51" s="250">
        <v>3000</v>
      </c>
      <c r="Q51" s="250">
        <v>2500</v>
      </c>
      <c r="R51" s="250">
        <v>0</v>
      </c>
      <c r="S51" s="250">
        <v>1500</v>
      </c>
      <c r="T51" s="250">
        <v>2000</v>
      </c>
      <c r="U51" s="250">
        <v>2500</v>
      </c>
      <c r="V51" s="250">
        <v>0</v>
      </c>
      <c r="W51" s="250">
        <v>750</v>
      </c>
      <c r="X51" s="250">
        <v>0</v>
      </c>
      <c r="Y51" s="250">
        <v>0</v>
      </c>
      <c r="Z51" s="250">
        <v>1000</v>
      </c>
      <c r="AA51" s="250">
        <v>0</v>
      </c>
      <c r="AB51" s="250">
        <v>3000</v>
      </c>
      <c r="AC51" s="250">
        <v>0</v>
      </c>
      <c r="AD51" s="250">
        <v>0</v>
      </c>
      <c r="AE51" s="251">
        <v>1000</v>
      </c>
      <c r="AF51" s="251">
        <v>1500</v>
      </c>
      <c r="AG51" s="251">
        <v>750</v>
      </c>
      <c r="AH51" s="251">
        <v>0</v>
      </c>
      <c r="AI51" s="250">
        <f t="shared" si="3"/>
        <v>31895</v>
      </c>
      <c r="AJ51" s="249" t="s">
        <v>39</v>
      </c>
    </row>
    <row r="52" spans="1:36" s="249" customFormat="1" x14ac:dyDescent="0.35">
      <c r="A52" s="38" t="s">
        <v>235</v>
      </c>
      <c r="B52" s="250">
        <v>0</v>
      </c>
      <c r="C52" s="250">
        <v>2850</v>
      </c>
      <c r="D52" s="250">
        <v>500</v>
      </c>
      <c r="E52" s="250">
        <v>0</v>
      </c>
      <c r="F52" s="250">
        <v>500</v>
      </c>
      <c r="G52" s="250">
        <v>5000</v>
      </c>
      <c r="H52" s="250">
        <v>0</v>
      </c>
      <c r="I52" s="250">
        <v>1000</v>
      </c>
      <c r="J52" s="250">
        <v>0</v>
      </c>
      <c r="K52" s="250">
        <v>1495</v>
      </c>
      <c r="L52" s="250">
        <v>0</v>
      </c>
      <c r="M52" s="250">
        <v>1795</v>
      </c>
      <c r="N52" s="250">
        <v>1000</v>
      </c>
      <c r="O52" s="250">
        <v>1000</v>
      </c>
      <c r="P52" s="250">
        <v>0</v>
      </c>
      <c r="Q52" s="250">
        <v>0</v>
      </c>
      <c r="R52" s="250">
        <v>0</v>
      </c>
      <c r="S52" s="250">
        <v>0</v>
      </c>
      <c r="T52" s="250">
        <v>0</v>
      </c>
      <c r="U52" s="250">
        <v>1000</v>
      </c>
      <c r="V52" s="250">
        <v>0</v>
      </c>
      <c r="W52" s="250">
        <v>0</v>
      </c>
      <c r="X52" s="250">
        <v>0</v>
      </c>
      <c r="Y52" s="250">
        <v>0</v>
      </c>
      <c r="Z52" s="250">
        <v>0</v>
      </c>
      <c r="AA52" s="250">
        <v>0</v>
      </c>
      <c r="AB52" s="250">
        <v>15000</v>
      </c>
      <c r="AC52" s="250">
        <v>0</v>
      </c>
      <c r="AD52" s="250">
        <v>1000</v>
      </c>
      <c r="AE52" s="251">
        <v>500</v>
      </c>
      <c r="AF52" s="251">
        <v>1500</v>
      </c>
      <c r="AG52" s="251">
        <v>4650</v>
      </c>
      <c r="AH52" s="251">
        <v>0</v>
      </c>
      <c r="AI52" s="250">
        <f t="shared" si="3"/>
        <v>38790</v>
      </c>
      <c r="AJ52" s="249" t="s">
        <v>39</v>
      </c>
    </row>
    <row r="53" spans="1:36" s="246" customFormat="1" x14ac:dyDescent="0.35">
      <c r="A53" s="38" t="s">
        <v>1220</v>
      </c>
      <c r="B53" s="250">
        <v>0</v>
      </c>
      <c r="C53" s="250">
        <v>0</v>
      </c>
      <c r="D53" s="250">
        <v>0</v>
      </c>
      <c r="E53" s="250">
        <v>0</v>
      </c>
      <c r="F53" s="250">
        <v>0</v>
      </c>
      <c r="G53" s="250">
        <v>2000</v>
      </c>
      <c r="H53" s="250">
        <v>1000</v>
      </c>
      <c r="I53" s="250">
        <v>0</v>
      </c>
      <c r="J53" s="250">
        <v>0</v>
      </c>
      <c r="K53" s="250">
        <v>0</v>
      </c>
      <c r="L53" s="250">
        <v>0</v>
      </c>
      <c r="M53" s="250">
        <v>0</v>
      </c>
      <c r="N53" s="250">
        <v>0</v>
      </c>
      <c r="O53" s="250">
        <v>0</v>
      </c>
      <c r="P53" s="250">
        <v>0</v>
      </c>
      <c r="Q53" s="250">
        <v>5000</v>
      </c>
      <c r="R53" s="250">
        <v>2500</v>
      </c>
      <c r="S53" s="250">
        <v>1000</v>
      </c>
      <c r="T53" s="250">
        <v>1000</v>
      </c>
      <c r="U53" s="250">
        <v>0</v>
      </c>
      <c r="V53" s="250">
        <v>0</v>
      </c>
      <c r="W53" s="250">
        <v>0</v>
      </c>
      <c r="X53" s="250">
        <v>0</v>
      </c>
      <c r="Y53" s="250">
        <v>2500</v>
      </c>
      <c r="Z53" s="250">
        <v>2500</v>
      </c>
      <c r="AA53" s="250">
        <v>0</v>
      </c>
      <c r="AB53" s="250">
        <v>0</v>
      </c>
      <c r="AC53" s="250">
        <v>0</v>
      </c>
      <c r="AD53" s="250">
        <v>1000</v>
      </c>
      <c r="AE53" s="251">
        <v>1150</v>
      </c>
      <c r="AF53" s="251">
        <v>1500</v>
      </c>
      <c r="AG53" s="251">
        <v>1150</v>
      </c>
      <c r="AH53" s="251">
        <v>0</v>
      </c>
      <c r="AI53" s="250">
        <f t="shared" si="3"/>
        <v>22300</v>
      </c>
      <c r="AJ53" s="249" t="s">
        <v>39</v>
      </c>
    </row>
    <row r="54" spans="1:36" s="246" customFormat="1" x14ac:dyDescent="0.35">
      <c r="A54" s="38" t="s">
        <v>289</v>
      </c>
      <c r="B54" s="250">
        <v>0</v>
      </c>
      <c r="C54" s="250">
        <v>2850</v>
      </c>
      <c r="D54" s="250">
        <v>0</v>
      </c>
      <c r="E54" s="250">
        <v>0</v>
      </c>
      <c r="F54" s="250">
        <v>0</v>
      </c>
      <c r="G54" s="250">
        <v>0</v>
      </c>
      <c r="H54" s="250">
        <v>0</v>
      </c>
      <c r="I54" s="250">
        <v>0</v>
      </c>
      <c r="J54" s="250">
        <v>0</v>
      </c>
      <c r="K54" s="250">
        <v>0</v>
      </c>
      <c r="L54" s="250">
        <v>0</v>
      </c>
      <c r="M54" s="250">
        <v>1795</v>
      </c>
      <c r="N54" s="250">
        <v>0</v>
      </c>
      <c r="O54" s="250">
        <v>0</v>
      </c>
      <c r="P54" s="250">
        <v>3000</v>
      </c>
      <c r="Q54" s="250">
        <v>1000</v>
      </c>
      <c r="R54" s="250">
        <v>0</v>
      </c>
      <c r="S54" s="250">
        <v>0</v>
      </c>
      <c r="T54" s="250">
        <v>5000</v>
      </c>
      <c r="U54" s="250">
        <v>0</v>
      </c>
      <c r="V54" s="250">
        <v>0</v>
      </c>
      <c r="W54" s="250">
        <v>0</v>
      </c>
      <c r="X54" s="250">
        <v>0</v>
      </c>
      <c r="Y54" s="250">
        <v>0</v>
      </c>
      <c r="Z54" s="250">
        <v>0</v>
      </c>
      <c r="AA54" s="250">
        <v>0</v>
      </c>
      <c r="AB54" s="250">
        <v>5000</v>
      </c>
      <c r="AC54" s="250">
        <v>0</v>
      </c>
      <c r="AD54" s="250">
        <v>0</v>
      </c>
      <c r="AE54" s="251">
        <v>500</v>
      </c>
      <c r="AF54" s="251">
        <v>1500</v>
      </c>
      <c r="AG54" s="251">
        <v>1150</v>
      </c>
      <c r="AH54" s="251">
        <v>0</v>
      </c>
      <c r="AI54" s="250">
        <f t="shared" si="3"/>
        <v>21795</v>
      </c>
      <c r="AJ54" s="249" t="s">
        <v>39</v>
      </c>
    </row>
    <row r="55" spans="1:36" s="246" customFormat="1" x14ac:dyDescent="0.35">
      <c r="A55" s="5"/>
      <c r="B55" s="250"/>
      <c r="C55" s="250"/>
      <c r="D55" s="250"/>
      <c r="E55" s="250"/>
      <c r="F55" s="250"/>
      <c r="G55" s="250"/>
      <c r="H55" s="250"/>
      <c r="I55" s="250"/>
      <c r="J55" s="250"/>
      <c r="K55" s="250"/>
      <c r="L55" s="250"/>
      <c r="M55" s="250"/>
      <c r="N55" s="250"/>
      <c r="O55" s="250"/>
      <c r="P55" s="250"/>
      <c r="Q55" s="250"/>
      <c r="R55" s="250"/>
      <c r="S55" s="250"/>
      <c r="T55" s="250"/>
      <c r="U55" s="250"/>
      <c r="V55" s="250"/>
      <c r="W55" s="250"/>
      <c r="X55" s="250"/>
      <c r="Y55" s="250"/>
      <c r="Z55" s="250"/>
      <c r="AA55" s="250"/>
      <c r="AB55" s="250"/>
      <c r="AC55" s="250"/>
      <c r="AD55" s="250"/>
      <c r="AE55" s="251"/>
      <c r="AF55" s="251"/>
      <c r="AG55" s="251"/>
      <c r="AH55" s="251"/>
      <c r="AI55" s="250"/>
      <c r="AJ55" s="249"/>
    </row>
    <row r="57" spans="1:36" s="246" customFormat="1" x14ac:dyDescent="0.35">
      <c r="A57" s="277" t="s">
        <v>1433</v>
      </c>
      <c r="B57" s="247">
        <v>0</v>
      </c>
      <c r="C57" s="247">
        <v>0</v>
      </c>
      <c r="D57" s="247">
        <v>0</v>
      </c>
      <c r="E57" s="247">
        <v>0</v>
      </c>
      <c r="F57" s="247">
        <v>0</v>
      </c>
      <c r="G57" s="247">
        <v>0</v>
      </c>
      <c r="H57" s="247">
        <v>0</v>
      </c>
      <c r="I57" s="247">
        <v>0</v>
      </c>
      <c r="J57" s="247">
        <v>0</v>
      </c>
      <c r="K57" s="247">
        <v>0</v>
      </c>
      <c r="L57" s="247">
        <v>1500</v>
      </c>
      <c r="M57" s="247">
        <v>0</v>
      </c>
      <c r="N57" s="247">
        <v>0</v>
      </c>
      <c r="O57" s="247">
        <v>0</v>
      </c>
      <c r="P57" s="247">
        <v>0</v>
      </c>
      <c r="Q57" s="247">
        <v>0</v>
      </c>
      <c r="R57" s="247">
        <v>0</v>
      </c>
      <c r="S57" s="247">
        <v>0</v>
      </c>
      <c r="T57" s="247">
        <v>0</v>
      </c>
      <c r="U57" s="247">
        <v>0</v>
      </c>
      <c r="V57" s="247">
        <v>0</v>
      </c>
      <c r="W57" s="247">
        <v>0</v>
      </c>
      <c r="X57" s="247">
        <v>0</v>
      </c>
      <c r="Y57" s="247">
        <v>0</v>
      </c>
      <c r="Z57" s="247">
        <v>0</v>
      </c>
      <c r="AA57" s="247">
        <v>0</v>
      </c>
      <c r="AB57" s="247">
        <v>7500</v>
      </c>
      <c r="AC57" s="247">
        <v>0</v>
      </c>
      <c r="AD57" s="247">
        <v>0</v>
      </c>
      <c r="AE57" s="248">
        <v>0</v>
      </c>
      <c r="AF57" s="248">
        <v>0</v>
      </c>
      <c r="AG57" s="248">
        <v>1550</v>
      </c>
      <c r="AH57" s="248">
        <v>0</v>
      </c>
      <c r="AI57" s="247">
        <f t="shared" ref="AI57:AI93" si="4">SUM(B57:AH57)</f>
        <v>10550</v>
      </c>
      <c r="AJ57" s="5" t="s">
        <v>109</v>
      </c>
    </row>
    <row r="58" spans="1:36" x14ac:dyDescent="0.35">
      <c r="A58" s="268" t="s">
        <v>431</v>
      </c>
      <c r="B58" s="247">
        <v>0</v>
      </c>
      <c r="C58" s="247">
        <v>1500</v>
      </c>
      <c r="D58" s="247">
        <v>0</v>
      </c>
      <c r="E58" s="247">
        <v>0</v>
      </c>
      <c r="F58" s="247">
        <v>0</v>
      </c>
      <c r="G58" s="247">
        <v>0</v>
      </c>
      <c r="H58" s="247">
        <v>0</v>
      </c>
      <c r="I58" s="247">
        <v>0</v>
      </c>
      <c r="J58" s="247">
        <v>0</v>
      </c>
      <c r="K58" s="247">
        <v>0</v>
      </c>
      <c r="L58" s="247">
        <v>0</v>
      </c>
      <c r="M58" s="247">
        <v>0</v>
      </c>
      <c r="N58" s="247">
        <v>0</v>
      </c>
      <c r="O58" s="247">
        <v>0</v>
      </c>
      <c r="P58" s="247">
        <v>0</v>
      </c>
      <c r="Q58" s="247">
        <v>1000</v>
      </c>
      <c r="R58" s="247">
        <v>0</v>
      </c>
      <c r="S58" s="247">
        <v>0</v>
      </c>
      <c r="T58" s="247">
        <v>0</v>
      </c>
      <c r="U58" s="247">
        <v>15000</v>
      </c>
      <c r="V58" s="247">
        <v>0</v>
      </c>
      <c r="W58" s="247">
        <v>0</v>
      </c>
      <c r="X58" s="247">
        <v>0</v>
      </c>
      <c r="Y58" s="247">
        <v>0</v>
      </c>
      <c r="Z58" s="247">
        <v>0</v>
      </c>
      <c r="AA58" s="247">
        <v>0</v>
      </c>
      <c r="AB58" s="247">
        <v>0</v>
      </c>
      <c r="AC58" s="247">
        <v>0</v>
      </c>
      <c r="AD58" s="247">
        <v>0</v>
      </c>
      <c r="AE58" s="248">
        <v>0</v>
      </c>
      <c r="AF58" s="248">
        <v>0</v>
      </c>
      <c r="AG58" s="248">
        <v>650</v>
      </c>
      <c r="AH58" s="248">
        <v>0</v>
      </c>
      <c r="AI58" s="247">
        <f t="shared" si="4"/>
        <v>18150</v>
      </c>
      <c r="AJ58" s="5" t="s">
        <v>109</v>
      </c>
    </row>
    <row r="59" spans="1:36" s="246" customFormat="1" x14ac:dyDescent="0.35">
      <c r="A59" s="268" t="s">
        <v>727</v>
      </c>
      <c r="B59" s="247">
        <v>0</v>
      </c>
      <c r="C59" s="247">
        <v>0</v>
      </c>
      <c r="D59" s="247">
        <v>0</v>
      </c>
      <c r="E59" s="247">
        <v>0</v>
      </c>
      <c r="F59" s="247">
        <v>0</v>
      </c>
      <c r="G59" s="247">
        <v>3000</v>
      </c>
      <c r="H59" s="247">
        <v>0</v>
      </c>
      <c r="I59" s="247">
        <v>0</v>
      </c>
      <c r="J59" s="247">
        <v>0</v>
      </c>
      <c r="K59" s="247">
        <v>2065</v>
      </c>
      <c r="L59" s="247">
        <v>0</v>
      </c>
      <c r="M59" s="247">
        <v>0</v>
      </c>
      <c r="N59" s="247">
        <v>0</v>
      </c>
      <c r="O59" s="247">
        <v>0</v>
      </c>
      <c r="P59" s="247">
        <v>0</v>
      </c>
      <c r="Q59" s="247">
        <v>0</v>
      </c>
      <c r="R59" s="247">
        <v>0</v>
      </c>
      <c r="S59" s="247">
        <v>0</v>
      </c>
      <c r="T59" s="247">
        <v>0</v>
      </c>
      <c r="U59" s="247">
        <v>1000</v>
      </c>
      <c r="V59" s="247">
        <v>0</v>
      </c>
      <c r="W59" s="247">
        <v>2500</v>
      </c>
      <c r="X59" s="247">
        <v>0</v>
      </c>
      <c r="Y59" s="247">
        <v>0</v>
      </c>
      <c r="Z59" s="247">
        <v>0</v>
      </c>
      <c r="AA59" s="247">
        <v>4500</v>
      </c>
      <c r="AB59" s="247">
        <v>4500</v>
      </c>
      <c r="AC59" s="247">
        <v>0</v>
      </c>
      <c r="AD59" s="247">
        <v>0</v>
      </c>
      <c r="AE59" s="248">
        <v>0</v>
      </c>
      <c r="AF59" s="248">
        <v>0</v>
      </c>
      <c r="AG59" s="248">
        <v>300</v>
      </c>
      <c r="AH59" s="248">
        <v>0</v>
      </c>
      <c r="AI59" s="247">
        <f t="shared" si="4"/>
        <v>17865</v>
      </c>
      <c r="AJ59" s="5" t="s">
        <v>109</v>
      </c>
    </row>
    <row r="60" spans="1:36" s="246" customFormat="1" x14ac:dyDescent="0.35">
      <c r="A60" s="268" t="s">
        <v>1348</v>
      </c>
      <c r="B60" s="247">
        <v>0</v>
      </c>
      <c r="C60" s="247">
        <v>0</v>
      </c>
      <c r="D60" s="247">
        <v>0</v>
      </c>
      <c r="E60" s="247">
        <v>0</v>
      </c>
      <c r="F60" s="247">
        <v>0</v>
      </c>
      <c r="G60" s="247">
        <v>0</v>
      </c>
      <c r="H60" s="247">
        <v>0</v>
      </c>
      <c r="I60" s="247">
        <v>0</v>
      </c>
      <c r="J60" s="247">
        <v>0</v>
      </c>
      <c r="K60" s="247">
        <v>2495</v>
      </c>
      <c r="L60" s="247">
        <v>0</v>
      </c>
      <c r="M60" s="247">
        <v>0</v>
      </c>
      <c r="N60" s="247">
        <v>0</v>
      </c>
      <c r="O60" s="247">
        <v>0</v>
      </c>
      <c r="P60" s="247">
        <v>0</v>
      </c>
      <c r="Q60" s="247">
        <v>0</v>
      </c>
      <c r="R60" s="247">
        <v>0</v>
      </c>
      <c r="S60" s="247">
        <v>0</v>
      </c>
      <c r="T60" s="247">
        <v>0</v>
      </c>
      <c r="U60" s="247">
        <v>0</v>
      </c>
      <c r="V60" s="247">
        <v>0</v>
      </c>
      <c r="W60" s="247">
        <v>0</v>
      </c>
      <c r="X60" s="247">
        <v>0</v>
      </c>
      <c r="Y60" s="247">
        <v>0</v>
      </c>
      <c r="Z60" s="247">
        <v>0</v>
      </c>
      <c r="AA60" s="247">
        <v>2500</v>
      </c>
      <c r="AB60" s="247">
        <v>0</v>
      </c>
      <c r="AC60" s="247">
        <v>1200</v>
      </c>
      <c r="AD60" s="247">
        <v>2500</v>
      </c>
      <c r="AE60" s="248">
        <v>0</v>
      </c>
      <c r="AF60" s="248">
        <v>0</v>
      </c>
      <c r="AG60" s="248">
        <v>375</v>
      </c>
      <c r="AH60" s="248">
        <v>2500</v>
      </c>
      <c r="AI60" s="247">
        <f t="shared" si="4"/>
        <v>11570</v>
      </c>
      <c r="AJ60" s="5" t="s">
        <v>109</v>
      </c>
    </row>
    <row r="61" spans="1:36" s="246" customFormat="1" x14ac:dyDescent="0.35">
      <c r="A61" s="268" t="s">
        <v>596</v>
      </c>
      <c r="B61" s="247">
        <v>0</v>
      </c>
      <c r="C61" s="247">
        <v>0</v>
      </c>
      <c r="D61" s="247">
        <v>0</v>
      </c>
      <c r="E61" s="247">
        <v>4000</v>
      </c>
      <c r="F61" s="247">
        <v>0</v>
      </c>
      <c r="G61" s="247">
        <v>0</v>
      </c>
      <c r="H61" s="247">
        <v>4000</v>
      </c>
      <c r="I61" s="247">
        <v>0</v>
      </c>
      <c r="J61" s="247">
        <v>0</v>
      </c>
      <c r="K61" s="247">
        <v>0</v>
      </c>
      <c r="L61" s="247">
        <v>0</v>
      </c>
      <c r="M61" s="247">
        <v>0</v>
      </c>
      <c r="N61" s="247">
        <v>0</v>
      </c>
      <c r="O61" s="247">
        <v>0</v>
      </c>
      <c r="P61" s="247">
        <v>0</v>
      </c>
      <c r="Q61" s="247">
        <v>1000</v>
      </c>
      <c r="R61" s="247">
        <v>0</v>
      </c>
      <c r="S61" s="247">
        <v>0</v>
      </c>
      <c r="T61" s="247">
        <v>0</v>
      </c>
      <c r="U61" s="247">
        <v>0</v>
      </c>
      <c r="V61" s="247">
        <v>0</v>
      </c>
      <c r="W61" s="247">
        <v>0</v>
      </c>
      <c r="X61" s="247">
        <v>0</v>
      </c>
      <c r="Y61" s="247">
        <v>0</v>
      </c>
      <c r="Z61" s="247">
        <v>0</v>
      </c>
      <c r="AA61" s="247">
        <v>0</v>
      </c>
      <c r="AB61" s="247">
        <v>9000</v>
      </c>
      <c r="AC61" s="247">
        <v>0</v>
      </c>
      <c r="AD61" s="247">
        <v>0</v>
      </c>
      <c r="AE61" s="248">
        <v>0</v>
      </c>
      <c r="AF61" s="248">
        <v>0</v>
      </c>
      <c r="AG61" s="248">
        <v>600</v>
      </c>
      <c r="AH61" s="248">
        <v>0</v>
      </c>
      <c r="AI61" s="250">
        <f t="shared" si="4"/>
        <v>18600</v>
      </c>
      <c r="AJ61" s="5" t="s">
        <v>109</v>
      </c>
    </row>
    <row r="62" spans="1:36" s="249" customFormat="1" x14ac:dyDescent="0.35">
      <c r="A62" s="268" t="s">
        <v>368</v>
      </c>
      <c r="B62" s="247">
        <v>0</v>
      </c>
      <c r="C62" s="247">
        <v>1500</v>
      </c>
      <c r="D62" s="247">
        <v>0</v>
      </c>
      <c r="E62" s="247">
        <v>0</v>
      </c>
      <c r="F62" s="247">
        <v>0</v>
      </c>
      <c r="G62" s="247">
        <v>2500</v>
      </c>
      <c r="H62" s="247">
        <v>0</v>
      </c>
      <c r="I62" s="247">
        <v>0</v>
      </c>
      <c r="J62" s="247">
        <v>0</v>
      </c>
      <c r="K62" s="247">
        <v>0</v>
      </c>
      <c r="L62" s="247">
        <v>2500</v>
      </c>
      <c r="M62" s="247">
        <v>0</v>
      </c>
      <c r="N62" s="247">
        <v>0</v>
      </c>
      <c r="O62" s="247">
        <v>0</v>
      </c>
      <c r="P62" s="247">
        <v>0</v>
      </c>
      <c r="Q62" s="247">
        <v>0</v>
      </c>
      <c r="R62" s="247">
        <v>0</v>
      </c>
      <c r="S62" s="247">
        <v>0</v>
      </c>
      <c r="T62" s="247">
        <v>0</v>
      </c>
      <c r="U62" s="247">
        <v>0</v>
      </c>
      <c r="V62" s="247">
        <v>0</v>
      </c>
      <c r="W62" s="247">
        <v>0</v>
      </c>
      <c r="X62" s="247">
        <v>0</v>
      </c>
      <c r="Y62" s="247">
        <v>0</v>
      </c>
      <c r="Z62" s="247">
        <v>0</v>
      </c>
      <c r="AA62" s="247">
        <v>2000</v>
      </c>
      <c r="AB62" s="247">
        <v>0</v>
      </c>
      <c r="AC62" s="247">
        <v>0</v>
      </c>
      <c r="AD62" s="247">
        <v>2500</v>
      </c>
      <c r="AE62" s="248">
        <v>0</v>
      </c>
      <c r="AF62" s="248">
        <v>0</v>
      </c>
      <c r="AG62" s="248">
        <v>0</v>
      </c>
      <c r="AH62" s="248">
        <v>0</v>
      </c>
      <c r="AI62" s="250">
        <f t="shared" si="4"/>
        <v>11000</v>
      </c>
      <c r="AJ62" s="5" t="s">
        <v>109</v>
      </c>
    </row>
    <row r="63" spans="1:36" s="246" customFormat="1" x14ac:dyDescent="0.35">
      <c r="A63" s="268" t="s">
        <v>193</v>
      </c>
      <c r="B63" s="250">
        <v>0</v>
      </c>
      <c r="C63" s="250">
        <v>1500</v>
      </c>
      <c r="D63" s="250">
        <v>0</v>
      </c>
      <c r="E63" s="250">
        <v>0</v>
      </c>
      <c r="F63" s="250">
        <v>0</v>
      </c>
      <c r="G63" s="250">
        <v>0</v>
      </c>
      <c r="H63" s="250">
        <v>0</v>
      </c>
      <c r="I63" s="250">
        <v>0</v>
      </c>
      <c r="J63" s="250">
        <v>0</v>
      </c>
      <c r="K63" s="250">
        <v>2295</v>
      </c>
      <c r="L63" s="250">
        <v>0</v>
      </c>
      <c r="M63" s="250">
        <v>0</v>
      </c>
      <c r="N63" s="250">
        <v>0</v>
      </c>
      <c r="O63" s="250">
        <v>0</v>
      </c>
      <c r="P63" s="250">
        <v>0</v>
      </c>
      <c r="Q63" s="250">
        <v>0</v>
      </c>
      <c r="R63" s="250">
        <v>0</v>
      </c>
      <c r="S63" s="250">
        <v>0</v>
      </c>
      <c r="T63" s="250">
        <v>0</v>
      </c>
      <c r="U63" s="250">
        <v>3500</v>
      </c>
      <c r="V63" s="250">
        <v>0</v>
      </c>
      <c r="W63" s="250">
        <v>1000</v>
      </c>
      <c r="X63" s="250">
        <v>0</v>
      </c>
      <c r="Y63" s="250">
        <v>0</v>
      </c>
      <c r="Z63" s="250">
        <v>0</v>
      </c>
      <c r="AA63" s="250">
        <v>0</v>
      </c>
      <c r="AB63" s="250">
        <v>0</v>
      </c>
      <c r="AC63" s="250">
        <v>0</v>
      </c>
      <c r="AD63" s="250">
        <v>0</v>
      </c>
      <c r="AE63" s="251">
        <v>0</v>
      </c>
      <c r="AF63" s="251">
        <v>1500</v>
      </c>
      <c r="AG63" s="251">
        <v>650</v>
      </c>
      <c r="AH63" s="251">
        <v>0</v>
      </c>
      <c r="AI63" s="250">
        <f t="shared" si="4"/>
        <v>10445</v>
      </c>
      <c r="AJ63" s="5" t="s">
        <v>109</v>
      </c>
    </row>
    <row r="64" spans="1:36" s="246" customFormat="1" x14ac:dyDescent="0.35">
      <c r="A64" s="268" t="s">
        <v>199</v>
      </c>
      <c r="B64" s="250">
        <v>0</v>
      </c>
      <c r="C64" s="250">
        <v>1500</v>
      </c>
      <c r="D64" s="250">
        <v>0</v>
      </c>
      <c r="E64" s="250">
        <v>0</v>
      </c>
      <c r="F64" s="250">
        <v>0</v>
      </c>
      <c r="G64" s="250">
        <v>0</v>
      </c>
      <c r="H64" s="250">
        <v>0</v>
      </c>
      <c r="I64" s="250">
        <v>0</v>
      </c>
      <c r="J64" s="250">
        <v>0</v>
      </c>
      <c r="K64" s="250">
        <v>0</v>
      </c>
      <c r="L64" s="250">
        <v>0</v>
      </c>
      <c r="M64" s="250">
        <v>0</v>
      </c>
      <c r="N64" s="250">
        <v>0</v>
      </c>
      <c r="O64" s="250">
        <v>0</v>
      </c>
      <c r="P64" s="250">
        <v>0</v>
      </c>
      <c r="Q64" s="250">
        <v>0</v>
      </c>
      <c r="R64" s="250">
        <v>0</v>
      </c>
      <c r="S64" s="250">
        <v>0</v>
      </c>
      <c r="T64" s="250">
        <v>0</v>
      </c>
      <c r="U64" s="250">
        <v>0</v>
      </c>
      <c r="V64" s="250">
        <v>0</v>
      </c>
      <c r="W64" s="250">
        <v>0</v>
      </c>
      <c r="X64" s="250">
        <v>0</v>
      </c>
      <c r="Y64" s="250">
        <v>0</v>
      </c>
      <c r="Z64" s="250">
        <v>0</v>
      </c>
      <c r="AA64" s="250">
        <v>0</v>
      </c>
      <c r="AB64" s="250">
        <v>10000</v>
      </c>
      <c r="AC64" s="250">
        <v>0</v>
      </c>
      <c r="AD64" s="250">
        <v>0</v>
      </c>
      <c r="AE64" s="251">
        <v>0</v>
      </c>
      <c r="AF64" s="251">
        <v>1500</v>
      </c>
      <c r="AG64" s="251">
        <v>1150</v>
      </c>
      <c r="AH64" s="251">
        <v>0</v>
      </c>
      <c r="AI64" s="250">
        <f t="shared" si="4"/>
        <v>14150</v>
      </c>
      <c r="AJ64" s="5" t="s">
        <v>109</v>
      </c>
    </row>
    <row r="65" spans="1:36" s="246" customFormat="1" x14ac:dyDescent="0.35">
      <c r="A65" s="268" t="s">
        <v>2388</v>
      </c>
      <c r="B65" s="250">
        <v>0</v>
      </c>
      <c r="C65" s="250">
        <v>0</v>
      </c>
      <c r="D65" s="250">
        <v>0</v>
      </c>
      <c r="E65" s="250">
        <v>0</v>
      </c>
      <c r="F65" s="250">
        <v>0</v>
      </c>
      <c r="G65" s="250">
        <v>0</v>
      </c>
      <c r="H65" s="250">
        <v>0</v>
      </c>
      <c r="I65" s="250">
        <v>0</v>
      </c>
      <c r="J65" s="250">
        <v>0</v>
      </c>
      <c r="K65" s="250">
        <v>0</v>
      </c>
      <c r="L65" s="250">
        <v>0</v>
      </c>
      <c r="M65" s="250">
        <v>0</v>
      </c>
      <c r="N65" s="250">
        <v>0</v>
      </c>
      <c r="O65" s="250">
        <v>0</v>
      </c>
      <c r="P65" s="250">
        <v>0</v>
      </c>
      <c r="Q65" s="250">
        <v>0</v>
      </c>
      <c r="R65" s="250">
        <v>0</v>
      </c>
      <c r="S65" s="250">
        <v>0</v>
      </c>
      <c r="T65" s="250">
        <v>0</v>
      </c>
      <c r="U65" s="250">
        <v>0</v>
      </c>
      <c r="V65" s="250">
        <v>0</v>
      </c>
      <c r="W65" s="250">
        <v>0</v>
      </c>
      <c r="X65" s="250">
        <v>0</v>
      </c>
      <c r="Y65" s="250">
        <v>0</v>
      </c>
      <c r="Z65" s="250">
        <v>0</v>
      </c>
      <c r="AA65" s="250">
        <v>0</v>
      </c>
      <c r="AB65" s="250">
        <v>10000</v>
      </c>
      <c r="AC65" s="250">
        <v>0</v>
      </c>
      <c r="AD65" s="250">
        <v>0</v>
      </c>
      <c r="AE65" s="251">
        <v>0</v>
      </c>
      <c r="AF65" s="251">
        <v>0</v>
      </c>
      <c r="AG65" s="251">
        <v>300</v>
      </c>
      <c r="AH65" s="251">
        <v>0</v>
      </c>
      <c r="AI65" s="250">
        <f t="shared" si="4"/>
        <v>10300</v>
      </c>
      <c r="AJ65" s="5" t="s">
        <v>109</v>
      </c>
    </row>
    <row r="66" spans="1:36" s="246" customFormat="1" x14ac:dyDescent="0.35">
      <c r="A66" s="268" t="s">
        <v>218</v>
      </c>
      <c r="B66" s="250">
        <v>0</v>
      </c>
      <c r="C66" s="250">
        <v>1500</v>
      </c>
      <c r="D66" s="250">
        <v>0</v>
      </c>
      <c r="E66" s="250">
        <v>0</v>
      </c>
      <c r="F66" s="250">
        <v>0</v>
      </c>
      <c r="G66" s="250">
        <v>500</v>
      </c>
      <c r="H66" s="250">
        <v>0</v>
      </c>
      <c r="I66" s="250">
        <v>0</v>
      </c>
      <c r="J66" s="250">
        <v>0</v>
      </c>
      <c r="K66" s="250">
        <v>2295</v>
      </c>
      <c r="L66" s="250">
        <v>0</v>
      </c>
      <c r="M66" s="250">
        <v>0</v>
      </c>
      <c r="N66" s="250">
        <v>0</v>
      </c>
      <c r="O66" s="250">
        <v>0</v>
      </c>
      <c r="P66" s="250">
        <v>0</v>
      </c>
      <c r="Q66" s="250">
        <v>1000</v>
      </c>
      <c r="R66" s="250">
        <v>0</v>
      </c>
      <c r="S66" s="250">
        <v>0</v>
      </c>
      <c r="T66" s="250">
        <v>0</v>
      </c>
      <c r="U66" s="250">
        <v>0</v>
      </c>
      <c r="V66" s="250">
        <v>0</v>
      </c>
      <c r="W66" s="250">
        <v>2250</v>
      </c>
      <c r="X66" s="250">
        <v>0</v>
      </c>
      <c r="Y66" s="250">
        <v>0</v>
      </c>
      <c r="Z66" s="250">
        <v>0</v>
      </c>
      <c r="AA66" s="250">
        <v>0</v>
      </c>
      <c r="AB66" s="250">
        <v>0</v>
      </c>
      <c r="AC66" s="250">
        <v>1200</v>
      </c>
      <c r="AD66" s="250">
        <v>0</v>
      </c>
      <c r="AE66" s="251">
        <v>250</v>
      </c>
      <c r="AF66" s="251">
        <v>1500</v>
      </c>
      <c r="AG66" s="251">
        <v>405</v>
      </c>
      <c r="AH66" s="251">
        <v>0</v>
      </c>
      <c r="AI66" s="250">
        <f t="shared" si="4"/>
        <v>10900</v>
      </c>
      <c r="AJ66" s="5" t="s">
        <v>109</v>
      </c>
    </row>
    <row r="67" spans="1:36" x14ac:dyDescent="0.35">
      <c r="A67" s="268" t="s">
        <v>494</v>
      </c>
      <c r="B67" s="250">
        <v>0</v>
      </c>
      <c r="C67" s="250">
        <v>1500</v>
      </c>
      <c r="D67" s="250">
        <v>1500</v>
      </c>
      <c r="E67" s="250">
        <v>0</v>
      </c>
      <c r="F67" s="250">
        <v>0</v>
      </c>
      <c r="G67" s="250">
        <v>0</v>
      </c>
      <c r="H67" s="250">
        <v>0</v>
      </c>
      <c r="I67" s="250">
        <v>0</v>
      </c>
      <c r="J67" s="250">
        <v>0</v>
      </c>
      <c r="K67" s="250">
        <v>0</v>
      </c>
      <c r="L67" s="250">
        <v>0</v>
      </c>
      <c r="M67" s="250">
        <v>0</v>
      </c>
      <c r="N67" s="250">
        <v>0</v>
      </c>
      <c r="O67" s="250">
        <v>0</v>
      </c>
      <c r="P67" s="250">
        <v>0</v>
      </c>
      <c r="Q67" s="250">
        <v>1000</v>
      </c>
      <c r="R67" s="250">
        <v>1000</v>
      </c>
      <c r="S67" s="250">
        <v>0</v>
      </c>
      <c r="T67" s="250">
        <v>1000</v>
      </c>
      <c r="U67" s="250">
        <v>0</v>
      </c>
      <c r="V67" s="250">
        <v>500</v>
      </c>
      <c r="W67" s="250">
        <v>0</v>
      </c>
      <c r="X67" s="250">
        <v>0</v>
      </c>
      <c r="Y67" s="247">
        <v>1000</v>
      </c>
      <c r="Z67" s="250">
        <v>2500</v>
      </c>
      <c r="AA67" s="250">
        <v>1650</v>
      </c>
      <c r="AB67" s="250">
        <v>0</v>
      </c>
      <c r="AC67" s="250">
        <v>0</v>
      </c>
      <c r="AD67" s="250">
        <v>0</v>
      </c>
      <c r="AE67" s="251">
        <v>250</v>
      </c>
      <c r="AF67" s="251">
        <v>0</v>
      </c>
      <c r="AG67" s="251">
        <v>350</v>
      </c>
      <c r="AH67" s="251">
        <v>0</v>
      </c>
      <c r="AI67" s="250">
        <f t="shared" si="4"/>
        <v>12250</v>
      </c>
      <c r="AJ67" s="5" t="s">
        <v>109</v>
      </c>
    </row>
    <row r="68" spans="1:36" s="249" customFormat="1" x14ac:dyDescent="0.35">
      <c r="A68" s="38" t="s">
        <v>130</v>
      </c>
      <c r="B68" s="250">
        <v>0</v>
      </c>
      <c r="C68" s="250">
        <v>5000</v>
      </c>
      <c r="D68" s="250">
        <v>600</v>
      </c>
      <c r="E68" s="250">
        <v>0</v>
      </c>
      <c r="F68" s="250">
        <v>600</v>
      </c>
      <c r="G68" s="250">
        <v>0</v>
      </c>
      <c r="H68" s="250">
        <v>0</v>
      </c>
      <c r="I68" s="250">
        <v>0</v>
      </c>
      <c r="J68" s="250">
        <v>0</v>
      </c>
      <c r="K68" s="250">
        <v>0</v>
      </c>
      <c r="L68" s="250">
        <v>0</v>
      </c>
      <c r="M68" s="250">
        <v>1795</v>
      </c>
      <c r="N68" s="250">
        <v>0</v>
      </c>
      <c r="O68" s="250">
        <v>0</v>
      </c>
      <c r="P68" s="250">
        <v>0</v>
      </c>
      <c r="Q68" s="250">
        <v>0</v>
      </c>
      <c r="R68" s="250">
        <v>0</v>
      </c>
      <c r="S68" s="250">
        <v>1000</v>
      </c>
      <c r="T68" s="250">
        <v>0</v>
      </c>
      <c r="U68" s="250">
        <v>2500</v>
      </c>
      <c r="V68" s="250">
        <v>0</v>
      </c>
      <c r="W68" s="250">
        <v>0</v>
      </c>
      <c r="X68" s="250">
        <v>0</v>
      </c>
      <c r="Y68" s="250">
        <v>0</v>
      </c>
      <c r="Z68" s="250">
        <v>0</v>
      </c>
      <c r="AA68" s="250">
        <v>0</v>
      </c>
      <c r="AB68" s="250">
        <v>0</v>
      </c>
      <c r="AC68" s="250">
        <v>0</v>
      </c>
      <c r="AD68" s="250">
        <v>2500</v>
      </c>
      <c r="AE68" s="251">
        <v>0</v>
      </c>
      <c r="AF68" s="251">
        <v>1500</v>
      </c>
      <c r="AG68" s="251">
        <v>1600</v>
      </c>
      <c r="AH68" s="251">
        <v>0</v>
      </c>
      <c r="AI68" s="250">
        <f t="shared" si="4"/>
        <v>17095</v>
      </c>
      <c r="AJ68" s="5" t="s">
        <v>109</v>
      </c>
    </row>
    <row r="69" spans="1:36" s="249" customFormat="1" x14ac:dyDescent="0.35">
      <c r="A69" s="38" t="s">
        <v>276</v>
      </c>
      <c r="B69" s="250">
        <v>0</v>
      </c>
      <c r="C69" s="250">
        <v>2850</v>
      </c>
      <c r="D69" s="250">
        <v>1000</v>
      </c>
      <c r="E69" s="250">
        <v>0</v>
      </c>
      <c r="F69" s="250">
        <v>600</v>
      </c>
      <c r="G69" s="250">
        <v>0</v>
      </c>
      <c r="H69" s="250">
        <v>0</v>
      </c>
      <c r="I69" s="250">
        <v>0</v>
      </c>
      <c r="J69" s="250">
        <v>800</v>
      </c>
      <c r="K69" s="250">
        <v>1500</v>
      </c>
      <c r="L69" s="250">
        <v>0</v>
      </c>
      <c r="M69" s="250">
        <v>0</v>
      </c>
      <c r="N69" s="250">
        <v>0</v>
      </c>
      <c r="O69" s="250">
        <v>0</v>
      </c>
      <c r="P69" s="250">
        <v>0</v>
      </c>
      <c r="Q69" s="250">
        <v>1000</v>
      </c>
      <c r="R69" s="250">
        <v>0</v>
      </c>
      <c r="S69" s="250">
        <v>0</v>
      </c>
      <c r="T69" s="250">
        <v>0</v>
      </c>
      <c r="U69" s="250">
        <v>0</v>
      </c>
      <c r="V69" s="250">
        <v>350</v>
      </c>
      <c r="W69" s="250">
        <v>0</v>
      </c>
      <c r="X69" s="250">
        <v>0</v>
      </c>
      <c r="Y69" s="250">
        <v>0</v>
      </c>
      <c r="Z69" s="250">
        <v>0</v>
      </c>
      <c r="AA69" s="250">
        <v>0</v>
      </c>
      <c r="AB69" s="250">
        <v>0</v>
      </c>
      <c r="AC69" s="250">
        <v>0</v>
      </c>
      <c r="AD69" s="250">
        <v>680</v>
      </c>
      <c r="AE69" s="251">
        <v>500</v>
      </c>
      <c r="AF69" s="251">
        <v>1500</v>
      </c>
      <c r="AG69" s="251">
        <v>430</v>
      </c>
      <c r="AH69" s="251">
        <v>0</v>
      </c>
      <c r="AI69" s="250">
        <f t="shared" si="4"/>
        <v>11210</v>
      </c>
      <c r="AJ69" s="5" t="s">
        <v>109</v>
      </c>
    </row>
    <row r="70" spans="1:36" x14ac:dyDescent="0.35">
      <c r="A70" s="38" t="s">
        <v>434</v>
      </c>
      <c r="B70" s="250">
        <v>0</v>
      </c>
      <c r="C70" s="250">
        <v>1500</v>
      </c>
      <c r="D70" s="250">
        <v>0</v>
      </c>
      <c r="E70" s="250">
        <v>0</v>
      </c>
      <c r="F70" s="250">
        <v>0</v>
      </c>
      <c r="G70" s="250">
        <v>500</v>
      </c>
      <c r="H70" s="250">
        <v>0</v>
      </c>
      <c r="I70" s="250">
        <v>0</v>
      </c>
      <c r="J70" s="250">
        <v>6000</v>
      </c>
      <c r="K70" s="250">
        <v>0</v>
      </c>
      <c r="L70" s="250">
        <v>0</v>
      </c>
      <c r="M70" s="250">
        <v>1795</v>
      </c>
      <c r="N70" s="250">
        <v>0</v>
      </c>
      <c r="O70" s="250">
        <v>0</v>
      </c>
      <c r="P70" s="250">
        <v>0</v>
      </c>
      <c r="Q70" s="250">
        <v>0</v>
      </c>
      <c r="R70" s="250">
        <v>7500</v>
      </c>
      <c r="S70" s="250">
        <v>0</v>
      </c>
      <c r="T70" s="250">
        <v>0</v>
      </c>
      <c r="U70" s="250">
        <v>0</v>
      </c>
      <c r="V70" s="250">
        <v>1000</v>
      </c>
      <c r="W70" s="250">
        <v>0</v>
      </c>
      <c r="X70" s="250">
        <v>0</v>
      </c>
      <c r="Y70" s="250">
        <v>0</v>
      </c>
      <c r="Z70" s="250">
        <v>0</v>
      </c>
      <c r="AA70" s="250">
        <v>0</v>
      </c>
      <c r="AB70" s="250">
        <v>0</v>
      </c>
      <c r="AC70" s="250">
        <v>0</v>
      </c>
      <c r="AD70" s="250">
        <v>0</v>
      </c>
      <c r="AE70" s="251">
        <v>0</v>
      </c>
      <c r="AF70" s="251">
        <v>0</v>
      </c>
      <c r="AG70" s="251">
        <v>350</v>
      </c>
      <c r="AH70" s="251">
        <v>0</v>
      </c>
      <c r="AI70" s="250">
        <f t="shared" si="4"/>
        <v>18645</v>
      </c>
      <c r="AJ70" s="5" t="s">
        <v>109</v>
      </c>
    </row>
    <row r="71" spans="1:36" s="249" customFormat="1" x14ac:dyDescent="0.35">
      <c r="A71" s="38" t="s">
        <v>313</v>
      </c>
      <c r="B71" s="250">
        <v>0</v>
      </c>
      <c r="C71" s="250">
        <v>1500</v>
      </c>
      <c r="D71" s="250">
        <v>0</v>
      </c>
      <c r="E71" s="250">
        <v>0</v>
      </c>
      <c r="F71" s="250">
        <v>0</v>
      </c>
      <c r="G71" s="250">
        <v>0</v>
      </c>
      <c r="H71" s="250">
        <v>0</v>
      </c>
      <c r="I71" s="250">
        <v>2500</v>
      </c>
      <c r="J71" s="250">
        <v>0</v>
      </c>
      <c r="K71" s="250">
        <v>0</v>
      </c>
      <c r="L71" s="250">
        <v>0</v>
      </c>
      <c r="M71" s="250">
        <v>0</v>
      </c>
      <c r="N71" s="250">
        <v>1000</v>
      </c>
      <c r="O71" s="250">
        <v>0</v>
      </c>
      <c r="P71" s="250">
        <v>3000</v>
      </c>
      <c r="Q71" s="250">
        <v>0</v>
      </c>
      <c r="R71" s="250">
        <v>0</v>
      </c>
      <c r="S71" s="250">
        <v>0</v>
      </c>
      <c r="T71" s="250">
        <v>0</v>
      </c>
      <c r="U71" s="250">
        <v>5000</v>
      </c>
      <c r="V71" s="250">
        <v>0</v>
      </c>
      <c r="W71" s="250">
        <v>2500</v>
      </c>
      <c r="X71" s="250">
        <v>0</v>
      </c>
      <c r="Y71" s="250">
        <v>0</v>
      </c>
      <c r="Z71" s="250">
        <v>0</v>
      </c>
      <c r="AA71" s="250">
        <v>0</v>
      </c>
      <c r="AB71" s="250">
        <v>0</v>
      </c>
      <c r="AC71" s="250">
        <v>0</v>
      </c>
      <c r="AD71" s="250">
        <v>0</v>
      </c>
      <c r="AE71" s="251">
        <v>250</v>
      </c>
      <c r="AF71" s="251">
        <v>1500</v>
      </c>
      <c r="AG71" s="251">
        <v>350</v>
      </c>
      <c r="AH71" s="251">
        <v>0</v>
      </c>
      <c r="AI71" s="250">
        <f t="shared" si="4"/>
        <v>17600</v>
      </c>
      <c r="AJ71" s="5" t="s">
        <v>109</v>
      </c>
    </row>
    <row r="72" spans="1:36" x14ac:dyDescent="0.35">
      <c r="A72" s="38" t="s">
        <v>329</v>
      </c>
      <c r="B72" s="251">
        <v>0</v>
      </c>
      <c r="C72" s="251">
        <v>1500</v>
      </c>
      <c r="D72" s="251">
        <v>350</v>
      </c>
      <c r="E72" s="251">
        <v>0</v>
      </c>
      <c r="F72" s="251">
        <v>0</v>
      </c>
      <c r="G72" s="251">
        <v>0</v>
      </c>
      <c r="H72" s="251">
        <v>0</v>
      </c>
      <c r="I72" s="251">
        <v>0</v>
      </c>
      <c r="J72" s="251">
        <v>0</v>
      </c>
      <c r="K72" s="251">
        <v>0</v>
      </c>
      <c r="L72" s="251">
        <v>0</v>
      </c>
      <c r="M72" s="251">
        <v>0</v>
      </c>
      <c r="N72" s="251">
        <v>0</v>
      </c>
      <c r="O72" s="251">
        <v>0</v>
      </c>
      <c r="P72" s="251">
        <v>3000</v>
      </c>
      <c r="Q72" s="251">
        <v>0</v>
      </c>
      <c r="R72" s="251">
        <v>0</v>
      </c>
      <c r="S72" s="251">
        <v>0</v>
      </c>
      <c r="T72" s="251">
        <v>2500</v>
      </c>
      <c r="U72" s="251">
        <v>0</v>
      </c>
      <c r="V72" s="251">
        <v>0</v>
      </c>
      <c r="W72" s="251">
        <v>0</v>
      </c>
      <c r="X72" s="251">
        <v>0</v>
      </c>
      <c r="Y72" s="251">
        <v>0</v>
      </c>
      <c r="Z72" s="251">
        <v>0</v>
      </c>
      <c r="AA72" s="251">
        <v>0</v>
      </c>
      <c r="AB72" s="251">
        <v>0</v>
      </c>
      <c r="AC72" s="251">
        <v>0</v>
      </c>
      <c r="AD72" s="251">
        <v>0</v>
      </c>
      <c r="AE72" s="251">
        <v>500</v>
      </c>
      <c r="AF72" s="251">
        <v>1500</v>
      </c>
      <c r="AG72" s="251">
        <v>480</v>
      </c>
      <c r="AH72" s="251">
        <v>0</v>
      </c>
      <c r="AI72" s="250">
        <f t="shared" si="4"/>
        <v>9830</v>
      </c>
      <c r="AJ72" s="5" t="s">
        <v>109</v>
      </c>
    </row>
    <row r="73" spans="1:36" s="249" customFormat="1" x14ac:dyDescent="0.35">
      <c r="A73" s="38" t="s">
        <v>1186</v>
      </c>
      <c r="B73" s="250">
        <v>0</v>
      </c>
      <c r="C73" s="250">
        <v>0</v>
      </c>
      <c r="D73" s="250">
        <v>0</v>
      </c>
      <c r="E73" s="250">
        <v>0</v>
      </c>
      <c r="F73" s="250">
        <v>0</v>
      </c>
      <c r="G73" s="250">
        <v>0</v>
      </c>
      <c r="H73" s="250">
        <v>0</v>
      </c>
      <c r="I73" s="250">
        <v>0</v>
      </c>
      <c r="J73" s="250">
        <v>0</v>
      </c>
      <c r="K73" s="250">
        <v>0</v>
      </c>
      <c r="L73" s="250">
        <v>0</v>
      </c>
      <c r="M73" s="250">
        <v>0</v>
      </c>
      <c r="N73" s="250">
        <v>0</v>
      </c>
      <c r="O73" s="250">
        <v>0</v>
      </c>
      <c r="P73" s="250">
        <v>0</v>
      </c>
      <c r="Q73" s="250">
        <v>0</v>
      </c>
      <c r="R73" s="250">
        <v>0</v>
      </c>
      <c r="S73" s="250">
        <v>0</v>
      </c>
      <c r="T73" s="250">
        <v>0</v>
      </c>
      <c r="U73" s="250">
        <v>0</v>
      </c>
      <c r="V73" s="250">
        <v>0</v>
      </c>
      <c r="W73" s="250">
        <v>0</v>
      </c>
      <c r="X73" s="250">
        <v>0</v>
      </c>
      <c r="Y73" s="250">
        <v>0</v>
      </c>
      <c r="Z73" s="250">
        <v>0</v>
      </c>
      <c r="AA73" s="250">
        <v>0</v>
      </c>
      <c r="AB73" s="250">
        <v>7500</v>
      </c>
      <c r="AC73" s="250">
        <v>0</v>
      </c>
      <c r="AD73" s="250">
        <v>0</v>
      </c>
      <c r="AE73" s="251">
        <v>0</v>
      </c>
      <c r="AF73" s="251">
        <v>1500</v>
      </c>
      <c r="AG73" s="251">
        <v>1150</v>
      </c>
      <c r="AH73" s="251">
        <v>0</v>
      </c>
      <c r="AI73" s="250">
        <f t="shared" si="4"/>
        <v>10150</v>
      </c>
      <c r="AJ73" s="5" t="s">
        <v>109</v>
      </c>
    </row>
    <row r="74" spans="1:36" s="249" customFormat="1" x14ac:dyDescent="0.35">
      <c r="A74" s="38" t="s">
        <v>279</v>
      </c>
      <c r="B74" s="250">
        <v>0</v>
      </c>
      <c r="C74" s="250">
        <v>2850</v>
      </c>
      <c r="D74" s="250">
        <v>0</v>
      </c>
      <c r="E74" s="250">
        <v>0</v>
      </c>
      <c r="F74" s="250">
        <v>0</v>
      </c>
      <c r="G74" s="250">
        <v>0</v>
      </c>
      <c r="H74" s="250">
        <v>0</v>
      </c>
      <c r="I74" s="250">
        <v>0</v>
      </c>
      <c r="J74" s="250">
        <v>0</v>
      </c>
      <c r="K74" s="250">
        <v>0</v>
      </c>
      <c r="L74" s="250">
        <v>0</v>
      </c>
      <c r="M74" s="250">
        <v>0</v>
      </c>
      <c r="N74" s="250">
        <v>0</v>
      </c>
      <c r="O74" s="250">
        <v>0</v>
      </c>
      <c r="P74" s="250">
        <v>0</v>
      </c>
      <c r="Q74" s="250">
        <v>0</v>
      </c>
      <c r="R74" s="250">
        <v>0</v>
      </c>
      <c r="S74" s="250">
        <v>0</v>
      </c>
      <c r="T74" s="250">
        <v>5000</v>
      </c>
      <c r="U74" s="250">
        <v>2500</v>
      </c>
      <c r="V74" s="250">
        <v>0</v>
      </c>
      <c r="W74" s="250">
        <v>0</v>
      </c>
      <c r="X74" s="250">
        <v>0</v>
      </c>
      <c r="Y74" s="250">
        <v>0</v>
      </c>
      <c r="Z74" s="250">
        <v>0</v>
      </c>
      <c r="AA74" s="250">
        <v>0</v>
      </c>
      <c r="AB74" s="250">
        <v>0</v>
      </c>
      <c r="AC74" s="250">
        <v>0</v>
      </c>
      <c r="AD74" s="250">
        <v>0</v>
      </c>
      <c r="AE74" s="251">
        <v>500</v>
      </c>
      <c r="AF74" s="251">
        <v>1500</v>
      </c>
      <c r="AG74" s="251">
        <v>625</v>
      </c>
      <c r="AH74" s="251">
        <v>0</v>
      </c>
      <c r="AI74" s="250">
        <f t="shared" si="4"/>
        <v>12975</v>
      </c>
      <c r="AJ74" s="5" t="s">
        <v>109</v>
      </c>
    </row>
    <row r="75" spans="1:36" s="249" customFormat="1" x14ac:dyDescent="0.35">
      <c r="A75" s="38" t="s">
        <v>152</v>
      </c>
      <c r="B75" s="250">
        <v>0</v>
      </c>
      <c r="C75" s="250">
        <v>5000</v>
      </c>
      <c r="D75" s="250">
        <v>0</v>
      </c>
      <c r="E75" s="250">
        <v>0</v>
      </c>
      <c r="F75" s="250">
        <v>0</v>
      </c>
      <c r="G75" s="250">
        <v>0</v>
      </c>
      <c r="H75" s="250">
        <v>0</v>
      </c>
      <c r="I75" s="250">
        <v>0</v>
      </c>
      <c r="J75" s="250">
        <v>0</v>
      </c>
      <c r="K75" s="250">
        <v>0</v>
      </c>
      <c r="L75" s="250">
        <v>0</v>
      </c>
      <c r="M75" s="250">
        <v>1795</v>
      </c>
      <c r="N75" s="250">
        <v>0</v>
      </c>
      <c r="O75" s="250">
        <v>0</v>
      </c>
      <c r="P75" s="250">
        <v>0</v>
      </c>
      <c r="Q75" s="250">
        <v>1000</v>
      </c>
      <c r="R75" s="250">
        <v>0</v>
      </c>
      <c r="S75" s="250">
        <v>0</v>
      </c>
      <c r="T75" s="250">
        <v>0</v>
      </c>
      <c r="U75" s="250">
        <v>7500</v>
      </c>
      <c r="V75" s="250">
        <v>0</v>
      </c>
      <c r="W75" s="250">
        <v>750</v>
      </c>
      <c r="X75" s="250">
        <v>0</v>
      </c>
      <c r="Y75" s="250">
        <v>0</v>
      </c>
      <c r="Z75" s="250">
        <v>0</v>
      </c>
      <c r="AA75" s="250">
        <v>0</v>
      </c>
      <c r="AB75" s="250">
        <v>0</v>
      </c>
      <c r="AC75" s="250">
        <v>0</v>
      </c>
      <c r="AD75" s="250">
        <v>0</v>
      </c>
      <c r="AE75" s="251">
        <v>0</v>
      </c>
      <c r="AF75" s="251">
        <v>1500</v>
      </c>
      <c r="AG75" s="251">
        <v>550</v>
      </c>
      <c r="AH75" s="251">
        <v>0</v>
      </c>
      <c r="AI75" s="250">
        <f t="shared" si="4"/>
        <v>18095</v>
      </c>
      <c r="AJ75" s="5" t="s">
        <v>109</v>
      </c>
    </row>
    <row r="76" spans="1:36" s="249" customFormat="1" x14ac:dyDescent="0.35">
      <c r="A76" s="38" t="s">
        <v>1021</v>
      </c>
      <c r="B76" s="250">
        <v>0</v>
      </c>
      <c r="C76" s="250">
        <v>0</v>
      </c>
      <c r="D76" s="250">
        <v>0</v>
      </c>
      <c r="E76" s="250">
        <v>0</v>
      </c>
      <c r="F76" s="250">
        <v>350</v>
      </c>
      <c r="G76" s="250">
        <v>0</v>
      </c>
      <c r="H76" s="250">
        <v>0</v>
      </c>
      <c r="I76" s="250">
        <v>0</v>
      </c>
      <c r="J76" s="250">
        <v>0</v>
      </c>
      <c r="K76" s="250">
        <v>0</v>
      </c>
      <c r="L76" s="250">
        <v>0</v>
      </c>
      <c r="M76" s="250">
        <v>0</v>
      </c>
      <c r="N76" s="250">
        <v>0</v>
      </c>
      <c r="O76" s="250">
        <v>0</v>
      </c>
      <c r="P76" s="250">
        <v>0</v>
      </c>
      <c r="Q76" s="250">
        <v>0</v>
      </c>
      <c r="R76" s="250">
        <v>0</v>
      </c>
      <c r="S76" s="250">
        <v>0</v>
      </c>
      <c r="T76" s="250">
        <v>2000</v>
      </c>
      <c r="U76" s="250">
        <v>0</v>
      </c>
      <c r="V76" s="250">
        <v>0</v>
      </c>
      <c r="W76" s="250">
        <v>0</v>
      </c>
      <c r="X76" s="250">
        <v>0</v>
      </c>
      <c r="Y76" s="247">
        <v>1000</v>
      </c>
      <c r="Z76" s="250">
        <v>5000</v>
      </c>
      <c r="AA76" s="250">
        <v>0</v>
      </c>
      <c r="AB76" s="250">
        <v>0</v>
      </c>
      <c r="AC76" s="250">
        <v>1500</v>
      </c>
      <c r="AD76" s="250">
        <v>0</v>
      </c>
      <c r="AE76" s="251">
        <v>0</v>
      </c>
      <c r="AF76" s="251">
        <v>0</v>
      </c>
      <c r="AG76" s="251">
        <v>650</v>
      </c>
      <c r="AH76" s="251">
        <v>0</v>
      </c>
      <c r="AI76" s="250">
        <f t="shared" si="4"/>
        <v>10500</v>
      </c>
      <c r="AJ76" s="5" t="s">
        <v>109</v>
      </c>
    </row>
    <row r="77" spans="1:36" s="249" customFormat="1" x14ac:dyDescent="0.35">
      <c r="A77" s="38" t="s">
        <v>1207</v>
      </c>
      <c r="B77" s="250">
        <v>0</v>
      </c>
      <c r="C77" s="250">
        <v>0</v>
      </c>
      <c r="D77" s="250">
        <v>0</v>
      </c>
      <c r="E77" s="250">
        <v>0</v>
      </c>
      <c r="F77" s="250">
        <v>0</v>
      </c>
      <c r="G77" s="250">
        <v>0</v>
      </c>
      <c r="H77" s="250">
        <v>0</v>
      </c>
      <c r="I77" s="250">
        <v>0</v>
      </c>
      <c r="J77" s="250">
        <v>0</v>
      </c>
      <c r="K77" s="250">
        <v>0</v>
      </c>
      <c r="L77" s="250">
        <v>0</v>
      </c>
      <c r="M77" s="250">
        <v>0</v>
      </c>
      <c r="N77" s="250">
        <v>0</v>
      </c>
      <c r="O77" s="250">
        <v>0</v>
      </c>
      <c r="P77" s="250">
        <v>3000</v>
      </c>
      <c r="Q77" s="250">
        <v>0</v>
      </c>
      <c r="R77" s="250">
        <v>0</v>
      </c>
      <c r="S77" s="250">
        <v>0</v>
      </c>
      <c r="T77" s="250">
        <v>0</v>
      </c>
      <c r="U77" s="250">
        <v>0</v>
      </c>
      <c r="V77" s="250">
        <v>0</v>
      </c>
      <c r="W77" s="250">
        <v>750</v>
      </c>
      <c r="X77" s="250">
        <v>0</v>
      </c>
      <c r="Y77" s="250">
        <v>0</v>
      </c>
      <c r="Z77" s="250">
        <v>0</v>
      </c>
      <c r="AA77" s="250">
        <v>0</v>
      </c>
      <c r="AB77" s="250">
        <v>7500</v>
      </c>
      <c r="AC77" s="250">
        <v>0</v>
      </c>
      <c r="AD77" s="250">
        <v>0</v>
      </c>
      <c r="AE77" s="251">
        <v>1000</v>
      </c>
      <c r="AF77" s="251">
        <v>1500</v>
      </c>
      <c r="AG77" s="251">
        <v>350</v>
      </c>
      <c r="AH77" s="251">
        <v>0</v>
      </c>
      <c r="AI77" s="250">
        <f t="shared" si="4"/>
        <v>14100</v>
      </c>
      <c r="AJ77" s="5" t="s">
        <v>109</v>
      </c>
    </row>
    <row r="78" spans="1:36" s="249" customFormat="1" x14ac:dyDescent="0.35">
      <c r="A78" s="38" t="s">
        <v>2431</v>
      </c>
      <c r="B78" s="250">
        <v>0</v>
      </c>
      <c r="C78" s="250">
        <v>0</v>
      </c>
      <c r="D78" s="250">
        <v>0</v>
      </c>
      <c r="E78" s="250">
        <v>0</v>
      </c>
      <c r="F78" s="250">
        <v>0</v>
      </c>
      <c r="G78" s="250">
        <v>1000</v>
      </c>
      <c r="H78" s="250">
        <v>0</v>
      </c>
      <c r="I78" s="250">
        <v>0</v>
      </c>
      <c r="J78" s="250">
        <v>0</v>
      </c>
      <c r="K78" s="250">
        <v>0</v>
      </c>
      <c r="L78" s="250">
        <v>0</v>
      </c>
      <c r="M78" s="250">
        <v>0</v>
      </c>
      <c r="N78" s="250">
        <v>0</v>
      </c>
      <c r="O78" s="250">
        <v>0</v>
      </c>
      <c r="P78" s="250">
        <v>0</v>
      </c>
      <c r="Q78" s="250"/>
      <c r="R78" s="250">
        <v>0</v>
      </c>
      <c r="S78" s="250">
        <v>0</v>
      </c>
      <c r="T78" s="250">
        <v>0</v>
      </c>
      <c r="U78" s="250">
        <v>0</v>
      </c>
      <c r="V78" s="250">
        <v>0</v>
      </c>
      <c r="W78" s="250">
        <v>5500</v>
      </c>
      <c r="X78" s="250">
        <v>0</v>
      </c>
      <c r="Y78" s="250">
        <v>0</v>
      </c>
      <c r="Z78" s="250">
        <v>0</v>
      </c>
      <c r="AA78" s="250">
        <v>450</v>
      </c>
      <c r="AB78" s="250">
        <v>5000</v>
      </c>
      <c r="AC78" s="250">
        <v>0</v>
      </c>
      <c r="AD78" s="250">
        <v>0</v>
      </c>
      <c r="AE78" s="251">
        <v>0</v>
      </c>
      <c r="AF78" s="251">
        <v>0</v>
      </c>
      <c r="AG78" s="251">
        <v>350</v>
      </c>
      <c r="AH78" s="251">
        <v>0</v>
      </c>
      <c r="AI78" s="250">
        <f t="shared" si="4"/>
        <v>12300</v>
      </c>
      <c r="AJ78" s="5" t="s">
        <v>109</v>
      </c>
    </row>
    <row r="79" spans="1:36" s="249" customFormat="1" x14ac:dyDescent="0.35">
      <c r="A79" s="38" t="s">
        <v>356</v>
      </c>
      <c r="B79" s="250">
        <v>0</v>
      </c>
      <c r="C79" s="250">
        <v>1500</v>
      </c>
      <c r="D79" s="250">
        <v>350</v>
      </c>
      <c r="E79" s="250">
        <v>0</v>
      </c>
      <c r="F79" s="250">
        <v>350</v>
      </c>
      <c r="G79" s="250">
        <v>0</v>
      </c>
      <c r="H79" s="250">
        <v>175</v>
      </c>
      <c r="I79" s="250">
        <v>1000</v>
      </c>
      <c r="J79" s="250">
        <v>0</v>
      </c>
      <c r="K79" s="250">
        <v>2495</v>
      </c>
      <c r="L79" s="250">
        <v>0</v>
      </c>
      <c r="M79" s="250">
        <v>1795</v>
      </c>
      <c r="N79" s="250">
        <v>0</v>
      </c>
      <c r="O79" s="250">
        <v>0</v>
      </c>
      <c r="P79" s="250">
        <v>0</v>
      </c>
      <c r="Q79" s="250">
        <v>1000</v>
      </c>
      <c r="R79" s="250">
        <v>0</v>
      </c>
      <c r="S79" s="250">
        <v>0</v>
      </c>
      <c r="T79" s="250">
        <v>0</v>
      </c>
      <c r="U79" s="250">
        <v>0</v>
      </c>
      <c r="V79" s="250">
        <v>500</v>
      </c>
      <c r="W79" s="250">
        <v>0</v>
      </c>
      <c r="X79" s="250">
        <v>0</v>
      </c>
      <c r="Y79" s="250">
        <v>0</v>
      </c>
      <c r="Z79" s="250">
        <v>750</v>
      </c>
      <c r="AA79" s="250">
        <v>0</v>
      </c>
      <c r="AB79" s="250">
        <v>0</v>
      </c>
      <c r="AC79" s="250">
        <v>0</v>
      </c>
      <c r="AD79" s="250">
        <v>0</v>
      </c>
      <c r="AE79" s="251">
        <v>500</v>
      </c>
      <c r="AF79" s="251">
        <v>0</v>
      </c>
      <c r="AG79" s="251">
        <v>405</v>
      </c>
      <c r="AH79" s="251">
        <v>0</v>
      </c>
      <c r="AI79" s="250">
        <f t="shared" si="4"/>
        <v>10820</v>
      </c>
      <c r="AJ79" s="5" t="s">
        <v>109</v>
      </c>
    </row>
    <row r="80" spans="1:36" s="249" customFormat="1" x14ac:dyDescent="0.35">
      <c r="A80" s="38" t="s">
        <v>1848</v>
      </c>
      <c r="B80" s="250">
        <v>0</v>
      </c>
      <c r="C80" s="250">
        <v>0</v>
      </c>
      <c r="D80" s="250">
        <v>0</v>
      </c>
      <c r="E80" s="250">
        <v>0</v>
      </c>
      <c r="F80" s="250">
        <v>0</v>
      </c>
      <c r="G80" s="250">
        <v>0</v>
      </c>
      <c r="H80" s="250">
        <v>0</v>
      </c>
      <c r="I80" s="250">
        <v>0</v>
      </c>
      <c r="J80" s="250">
        <v>0</v>
      </c>
      <c r="K80" s="250">
        <v>0</v>
      </c>
      <c r="L80" s="250">
        <v>0</v>
      </c>
      <c r="M80" s="250">
        <v>0</v>
      </c>
      <c r="N80" s="250">
        <v>0</v>
      </c>
      <c r="O80" s="250">
        <v>0</v>
      </c>
      <c r="P80" s="250">
        <v>0</v>
      </c>
      <c r="Q80" s="250">
        <v>0</v>
      </c>
      <c r="R80" s="250">
        <v>0</v>
      </c>
      <c r="S80" s="250">
        <v>0</v>
      </c>
      <c r="T80" s="250">
        <v>0</v>
      </c>
      <c r="U80" s="250">
        <v>0</v>
      </c>
      <c r="V80" s="250">
        <v>0</v>
      </c>
      <c r="W80" s="250">
        <v>0</v>
      </c>
      <c r="X80" s="250">
        <v>0</v>
      </c>
      <c r="Y80" s="250">
        <v>0</v>
      </c>
      <c r="Z80" s="250">
        <v>0</v>
      </c>
      <c r="AA80" s="250">
        <v>0</v>
      </c>
      <c r="AB80" s="250">
        <v>10000</v>
      </c>
      <c r="AC80" s="250">
        <v>0</v>
      </c>
      <c r="AD80" s="250">
        <v>0</v>
      </c>
      <c r="AE80" s="251">
        <v>0</v>
      </c>
      <c r="AF80" s="251">
        <v>0</v>
      </c>
      <c r="AG80" s="251">
        <v>480</v>
      </c>
      <c r="AH80" s="251">
        <v>0</v>
      </c>
      <c r="AI80" s="250">
        <f t="shared" si="4"/>
        <v>10480</v>
      </c>
      <c r="AJ80" s="5" t="s">
        <v>109</v>
      </c>
    </row>
    <row r="81" spans="1:36" s="249" customFormat="1" x14ac:dyDescent="0.35">
      <c r="A81" s="38" t="s">
        <v>352</v>
      </c>
      <c r="B81" s="250">
        <v>0</v>
      </c>
      <c r="C81" s="250">
        <v>1500</v>
      </c>
      <c r="D81" s="250">
        <v>1000</v>
      </c>
      <c r="E81" s="250">
        <v>0</v>
      </c>
      <c r="F81" s="250">
        <v>350</v>
      </c>
      <c r="G81" s="250">
        <v>0</v>
      </c>
      <c r="H81" s="250">
        <v>0</v>
      </c>
      <c r="I81" s="250">
        <v>0</v>
      </c>
      <c r="J81" s="250">
        <v>0</v>
      </c>
      <c r="K81" s="250">
        <v>0</v>
      </c>
      <c r="L81" s="250">
        <v>0</v>
      </c>
      <c r="M81" s="250">
        <v>1795</v>
      </c>
      <c r="N81" s="250">
        <v>1000</v>
      </c>
      <c r="O81" s="250">
        <v>0</v>
      </c>
      <c r="P81" s="250">
        <v>0</v>
      </c>
      <c r="Q81" s="250">
        <v>1000</v>
      </c>
      <c r="R81" s="250">
        <v>0</v>
      </c>
      <c r="S81" s="250">
        <v>0</v>
      </c>
      <c r="T81" s="250">
        <v>0</v>
      </c>
      <c r="U81" s="250">
        <v>0</v>
      </c>
      <c r="V81" s="250">
        <v>500</v>
      </c>
      <c r="W81" s="250">
        <v>0</v>
      </c>
      <c r="X81" s="250">
        <v>0</v>
      </c>
      <c r="Y81" s="250">
        <v>0</v>
      </c>
      <c r="Z81" s="250">
        <v>0</v>
      </c>
      <c r="AA81" s="250">
        <v>2500</v>
      </c>
      <c r="AB81" s="250">
        <v>0</v>
      </c>
      <c r="AC81" s="250">
        <v>0</v>
      </c>
      <c r="AD81" s="250">
        <v>0</v>
      </c>
      <c r="AE81" s="251">
        <v>0</v>
      </c>
      <c r="AF81" s="251">
        <v>0</v>
      </c>
      <c r="AG81" s="251">
        <v>350</v>
      </c>
      <c r="AH81" s="251">
        <v>0</v>
      </c>
      <c r="AI81" s="250">
        <f t="shared" si="4"/>
        <v>9995</v>
      </c>
      <c r="AJ81" s="5" t="s">
        <v>109</v>
      </c>
    </row>
    <row r="82" spans="1:36" s="249" customFormat="1" x14ac:dyDescent="0.35">
      <c r="A82" s="38" t="s">
        <v>1853</v>
      </c>
      <c r="B82" s="250">
        <v>0</v>
      </c>
      <c r="C82" s="250">
        <v>0</v>
      </c>
      <c r="D82" s="250">
        <v>0</v>
      </c>
      <c r="E82" s="250">
        <v>0</v>
      </c>
      <c r="F82" s="250">
        <v>0</v>
      </c>
      <c r="G82" s="250">
        <v>0</v>
      </c>
      <c r="H82" s="250">
        <v>0</v>
      </c>
      <c r="I82" s="250">
        <v>0</v>
      </c>
      <c r="J82" s="250">
        <v>0</v>
      </c>
      <c r="K82" s="250">
        <v>0</v>
      </c>
      <c r="L82" s="250">
        <v>0</v>
      </c>
      <c r="M82" s="250">
        <v>0</v>
      </c>
      <c r="N82" s="250">
        <v>0</v>
      </c>
      <c r="O82" s="250">
        <v>0</v>
      </c>
      <c r="P82" s="250">
        <v>0</v>
      </c>
      <c r="Q82" s="250">
        <v>0</v>
      </c>
      <c r="R82" s="250">
        <v>0</v>
      </c>
      <c r="S82" s="250">
        <v>0</v>
      </c>
      <c r="T82" s="250">
        <v>0</v>
      </c>
      <c r="U82" s="250">
        <v>0</v>
      </c>
      <c r="V82" s="250">
        <v>0</v>
      </c>
      <c r="W82" s="250">
        <v>0</v>
      </c>
      <c r="X82" s="250">
        <v>0</v>
      </c>
      <c r="Y82" s="250">
        <v>0</v>
      </c>
      <c r="Z82" s="250">
        <v>10000</v>
      </c>
      <c r="AA82" s="250">
        <v>0</v>
      </c>
      <c r="AB82" s="250">
        <v>0</v>
      </c>
      <c r="AC82" s="250">
        <v>0</v>
      </c>
      <c r="AD82" s="250">
        <v>0</v>
      </c>
      <c r="AE82" s="251">
        <v>0</v>
      </c>
      <c r="AF82" s="251">
        <v>0</v>
      </c>
      <c r="AG82" s="251">
        <v>0</v>
      </c>
      <c r="AH82" s="251">
        <v>0</v>
      </c>
      <c r="AI82" s="250">
        <f t="shared" si="4"/>
        <v>10000</v>
      </c>
      <c r="AJ82" s="5" t="s">
        <v>109</v>
      </c>
    </row>
    <row r="83" spans="1:36" s="249" customFormat="1" x14ac:dyDescent="0.35">
      <c r="A83" s="38" t="s">
        <v>2614</v>
      </c>
      <c r="B83" s="250">
        <v>0</v>
      </c>
      <c r="C83" s="250">
        <v>0</v>
      </c>
      <c r="D83" s="250">
        <v>0</v>
      </c>
      <c r="E83" s="250">
        <v>0</v>
      </c>
      <c r="F83" s="250">
        <v>0</v>
      </c>
      <c r="G83" s="250">
        <v>0</v>
      </c>
      <c r="H83" s="250">
        <v>210</v>
      </c>
      <c r="I83" s="250">
        <v>0</v>
      </c>
      <c r="J83" s="250">
        <v>0</v>
      </c>
      <c r="K83" s="250">
        <v>0</v>
      </c>
      <c r="L83" s="250">
        <v>0</v>
      </c>
      <c r="M83" s="250">
        <v>0</v>
      </c>
      <c r="N83" s="250">
        <v>0</v>
      </c>
      <c r="O83" s="250">
        <v>0</v>
      </c>
      <c r="P83" s="250">
        <v>0</v>
      </c>
      <c r="Q83" s="250">
        <v>2500</v>
      </c>
      <c r="R83" s="250">
        <v>2500</v>
      </c>
      <c r="S83" s="250">
        <v>0</v>
      </c>
      <c r="T83" s="250">
        <v>0</v>
      </c>
      <c r="U83" s="250">
        <v>0</v>
      </c>
      <c r="V83" s="250">
        <v>0</v>
      </c>
      <c r="W83" s="250">
        <v>0</v>
      </c>
      <c r="X83" s="250">
        <v>0</v>
      </c>
      <c r="Y83" s="250">
        <v>0</v>
      </c>
      <c r="Z83" s="250">
        <v>0</v>
      </c>
      <c r="AA83" s="250">
        <v>0</v>
      </c>
      <c r="AB83" s="250">
        <v>6000</v>
      </c>
      <c r="AC83" s="250">
        <v>0</v>
      </c>
      <c r="AD83" s="250">
        <v>0</v>
      </c>
      <c r="AE83" s="251">
        <v>0</v>
      </c>
      <c r="AF83" s="251">
        <v>1500</v>
      </c>
      <c r="AG83" s="251">
        <v>650</v>
      </c>
      <c r="AH83" s="251">
        <v>0</v>
      </c>
      <c r="AI83" s="250">
        <f t="shared" si="4"/>
        <v>13360</v>
      </c>
      <c r="AJ83" s="5" t="s">
        <v>109</v>
      </c>
    </row>
    <row r="84" spans="1:36" x14ac:dyDescent="0.35">
      <c r="A84" s="38" t="s">
        <v>69</v>
      </c>
      <c r="B84" s="250">
        <v>500</v>
      </c>
      <c r="C84" s="250">
        <v>1500</v>
      </c>
      <c r="D84" s="250">
        <v>1000</v>
      </c>
      <c r="E84" s="250">
        <v>0</v>
      </c>
      <c r="F84" s="250">
        <v>0</v>
      </c>
      <c r="G84" s="250">
        <v>1000</v>
      </c>
      <c r="H84" s="250">
        <v>0</v>
      </c>
      <c r="I84" s="250">
        <v>0</v>
      </c>
      <c r="J84" s="250">
        <v>0</v>
      </c>
      <c r="K84" s="250">
        <v>1495</v>
      </c>
      <c r="L84" s="250">
        <v>0</v>
      </c>
      <c r="M84" s="250">
        <v>0</v>
      </c>
      <c r="N84" s="250">
        <v>0</v>
      </c>
      <c r="O84" s="250">
        <v>0</v>
      </c>
      <c r="P84" s="250">
        <v>0</v>
      </c>
      <c r="Q84" s="250">
        <v>0</v>
      </c>
      <c r="R84" s="250">
        <v>0</v>
      </c>
      <c r="S84" s="250">
        <v>0</v>
      </c>
      <c r="T84" s="250">
        <v>0</v>
      </c>
      <c r="U84" s="250">
        <v>6000</v>
      </c>
      <c r="V84" s="250">
        <v>0</v>
      </c>
      <c r="W84" s="250">
        <v>0</v>
      </c>
      <c r="X84" s="250">
        <v>0</v>
      </c>
      <c r="Y84" s="250">
        <v>2500</v>
      </c>
      <c r="Z84" s="250">
        <v>0</v>
      </c>
      <c r="AA84" s="250">
        <v>0</v>
      </c>
      <c r="AB84" s="250">
        <v>0</v>
      </c>
      <c r="AC84" s="250">
        <v>1200</v>
      </c>
      <c r="AD84" s="250">
        <v>0</v>
      </c>
      <c r="AE84" s="251">
        <v>500</v>
      </c>
      <c r="AF84" s="251">
        <v>1500</v>
      </c>
      <c r="AG84" s="251">
        <v>775</v>
      </c>
      <c r="AH84" s="251">
        <v>0</v>
      </c>
      <c r="AI84" s="250">
        <f t="shared" si="4"/>
        <v>17970</v>
      </c>
      <c r="AJ84" s="5" t="s">
        <v>109</v>
      </c>
    </row>
    <row r="85" spans="1:36" x14ac:dyDescent="0.35">
      <c r="A85" s="38" t="s">
        <v>395</v>
      </c>
      <c r="B85" s="250">
        <v>0</v>
      </c>
      <c r="C85" s="250">
        <v>1500</v>
      </c>
      <c r="D85" s="250">
        <v>600</v>
      </c>
      <c r="E85" s="250">
        <v>0</v>
      </c>
      <c r="F85" s="250">
        <v>600</v>
      </c>
      <c r="G85" s="250">
        <v>0</v>
      </c>
      <c r="H85" s="250">
        <v>0</v>
      </c>
      <c r="I85" s="250">
        <v>0</v>
      </c>
      <c r="J85" s="250">
        <v>0</v>
      </c>
      <c r="K85" s="250">
        <v>0</v>
      </c>
      <c r="L85" s="250">
        <v>0</v>
      </c>
      <c r="M85" s="250">
        <v>0</v>
      </c>
      <c r="N85" s="250">
        <v>0</v>
      </c>
      <c r="O85" s="250">
        <v>0</v>
      </c>
      <c r="P85" s="250">
        <v>0</v>
      </c>
      <c r="Q85" s="250">
        <v>0</v>
      </c>
      <c r="R85" s="250">
        <v>1000</v>
      </c>
      <c r="S85" s="250">
        <v>0</v>
      </c>
      <c r="T85" s="250">
        <v>0</v>
      </c>
      <c r="U85" s="250">
        <v>0</v>
      </c>
      <c r="V85" s="250">
        <v>0</v>
      </c>
      <c r="W85" s="250">
        <v>1500</v>
      </c>
      <c r="X85" s="250">
        <v>0</v>
      </c>
      <c r="Y85" s="250">
        <v>0</v>
      </c>
      <c r="Z85" s="250">
        <v>0</v>
      </c>
      <c r="AA85" s="250">
        <v>0</v>
      </c>
      <c r="AB85" s="250">
        <v>0</v>
      </c>
      <c r="AC85" s="250">
        <v>0</v>
      </c>
      <c r="AD85" s="250">
        <v>0</v>
      </c>
      <c r="AE85" s="251">
        <v>500</v>
      </c>
      <c r="AF85" s="251">
        <v>1500</v>
      </c>
      <c r="AG85" s="251">
        <v>350</v>
      </c>
      <c r="AH85" s="251">
        <v>3737.5</v>
      </c>
      <c r="AI85" s="250">
        <f t="shared" si="4"/>
        <v>11287.5</v>
      </c>
      <c r="AJ85" s="5" t="s">
        <v>109</v>
      </c>
    </row>
    <row r="86" spans="1:36" x14ac:dyDescent="0.35">
      <c r="A86" s="38" t="s">
        <v>22</v>
      </c>
      <c r="B86" s="250">
        <v>5000</v>
      </c>
      <c r="C86" s="250">
        <v>0</v>
      </c>
      <c r="D86" s="250">
        <v>500</v>
      </c>
      <c r="E86" s="250">
        <v>0</v>
      </c>
      <c r="F86" s="250">
        <v>500</v>
      </c>
      <c r="G86" s="250">
        <v>500</v>
      </c>
      <c r="H86" s="250">
        <v>0</v>
      </c>
      <c r="I86" s="250">
        <v>2500</v>
      </c>
      <c r="J86" s="250">
        <v>0</v>
      </c>
      <c r="K86" s="250">
        <v>1495</v>
      </c>
      <c r="L86" s="250">
        <v>0</v>
      </c>
      <c r="M86" s="250">
        <v>0</v>
      </c>
      <c r="N86" s="250">
        <v>0</v>
      </c>
      <c r="O86" s="250">
        <v>0</v>
      </c>
      <c r="P86" s="250">
        <v>0</v>
      </c>
      <c r="Q86" s="250">
        <v>1000</v>
      </c>
      <c r="R86" s="250">
        <v>0</v>
      </c>
      <c r="S86" s="250">
        <v>0</v>
      </c>
      <c r="T86" s="250">
        <v>0</v>
      </c>
      <c r="U86" s="250">
        <v>0</v>
      </c>
      <c r="V86" s="250">
        <v>0</v>
      </c>
      <c r="W86" s="250">
        <v>0</v>
      </c>
      <c r="X86" s="250">
        <v>0</v>
      </c>
      <c r="Y86" s="250">
        <v>0</v>
      </c>
      <c r="Z86" s="250">
        <v>2000</v>
      </c>
      <c r="AA86" s="250">
        <v>500</v>
      </c>
      <c r="AB86" s="250">
        <v>0</v>
      </c>
      <c r="AC86" s="250">
        <v>1200</v>
      </c>
      <c r="AD86" s="250">
        <v>0</v>
      </c>
      <c r="AE86" s="251">
        <v>1000</v>
      </c>
      <c r="AF86" s="251">
        <v>1500</v>
      </c>
      <c r="AG86" s="251">
        <v>430</v>
      </c>
      <c r="AH86" s="251">
        <v>0</v>
      </c>
      <c r="AI86" s="250">
        <f t="shared" si="4"/>
        <v>18125</v>
      </c>
      <c r="AJ86" s="5" t="s">
        <v>109</v>
      </c>
    </row>
    <row r="87" spans="1:36" x14ac:dyDescent="0.35">
      <c r="A87" s="38" t="s">
        <v>1040</v>
      </c>
      <c r="B87" s="250">
        <v>0</v>
      </c>
      <c r="C87" s="250">
        <v>0</v>
      </c>
      <c r="D87" s="250">
        <v>0</v>
      </c>
      <c r="E87" s="250">
        <v>0</v>
      </c>
      <c r="F87" s="250">
        <v>0</v>
      </c>
      <c r="G87" s="250">
        <v>0</v>
      </c>
      <c r="H87" s="250">
        <v>0</v>
      </c>
      <c r="I87" s="250">
        <v>0</v>
      </c>
      <c r="J87" s="250">
        <v>0</v>
      </c>
      <c r="K87" s="250">
        <v>2295</v>
      </c>
      <c r="L87" s="250">
        <v>0</v>
      </c>
      <c r="M87" s="250">
        <v>0</v>
      </c>
      <c r="N87" s="250">
        <v>0</v>
      </c>
      <c r="O87" s="250">
        <v>0</v>
      </c>
      <c r="P87" s="250">
        <v>0</v>
      </c>
      <c r="Q87" s="250">
        <v>1000</v>
      </c>
      <c r="R87" s="250">
        <v>0</v>
      </c>
      <c r="S87" s="250">
        <v>0</v>
      </c>
      <c r="T87" s="250">
        <v>0</v>
      </c>
      <c r="U87" s="250">
        <v>0</v>
      </c>
      <c r="V87" s="250">
        <v>0</v>
      </c>
      <c r="W87" s="250">
        <v>0</v>
      </c>
      <c r="X87" s="250">
        <v>0</v>
      </c>
      <c r="Y87" s="250">
        <v>0</v>
      </c>
      <c r="Z87" s="250">
        <v>0</v>
      </c>
      <c r="AA87" s="250">
        <v>0</v>
      </c>
      <c r="AB87" s="250">
        <v>0</v>
      </c>
      <c r="AC87" s="250">
        <v>1200</v>
      </c>
      <c r="AD87" s="250">
        <v>3500</v>
      </c>
      <c r="AE87" s="251">
        <v>250</v>
      </c>
      <c r="AF87" s="251">
        <v>1500</v>
      </c>
      <c r="AG87" s="251">
        <v>480</v>
      </c>
      <c r="AH87" s="251">
        <v>0</v>
      </c>
      <c r="AI87" s="250">
        <f t="shared" si="4"/>
        <v>10225</v>
      </c>
      <c r="AJ87" s="5" t="s">
        <v>109</v>
      </c>
    </row>
    <row r="88" spans="1:36" x14ac:dyDescent="0.35">
      <c r="A88" s="38" t="s">
        <v>212</v>
      </c>
      <c r="B88" s="250">
        <v>0</v>
      </c>
      <c r="C88" s="250">
        <v>5000</v>
      </c>
      <c r="D88" s="250">
        <v>0</v>
      </c>
      <c r="E88" s="250">
        <v>0</v>
      </c>
      <c r="F88" s="250">
        <v>0</v>
      </c>
      <c r="G88" s="250">
        <v>0</v>
      </c>
      <c r="H88" s="250">
        <v>0</v>
      </c>
      <c r="I88" s="250">
        <v>0</v>
      </c>
      <c r="J88" s="250">
        <v>0</v>
      </c>
      <c r="K88" s="250">
        <v>0</v>
      </c>
      <c r="L88" s="250">
        <v>0</v>
      </c>
      <c r="M88" s="250">
        <v>0</v>
      </c>
      <c r="N88" s="250">
        <v>0</v>
      </c>
      <c r="O88" s="250">
        <v>0</v>
      </c>
      <c r="P88" s="250">
        <v>0</v>
      </c>
      <c r="Q88" s="250">
        <v>1000</v>
      </c>
      <c r="R88" s="250">
        <v>0</v>
      </c>
      <c r="S88" s="250">
        <v>0</v>
      </c>
      <c r="T88" s="250">
        <v>0</v>
      </c>
      <c r="U88" s="250">
        <v>0</v>
      </c>
      <c r="V88" s="250">
        <v>0</v>
      </c>
      <c r="W88" s="250">
        <v>0</v>
      </c>
      <c r="X88" s="250">
        <v>0</v>
      </c>
      <c r="Y88" s="250">
        <v>2500</v>
      </c>
      <c r="Z88" s="250">
        <v>0</v>
      </c>
      <c r="AA88" s="250">
        <v>2500</v>
      </c>
      <c r="AB88" s="250">
        <v>0</v>
      </c>
      <c r="AC88" s="250">
        <v>0</v>
      </c>
      <c r="AD88" s="250">
        <v>0</v>
      </c>
      <c r="AE88" s="251">
        <v>500</v>
      </c>
      <c r="AF88" s="251">
        <v>0</v>
      </c>
      <c r="AG88" s="251">
        <v>350</v>
      </c>
      <c r="AH88" s="251">
        <v>0</v>
      </c>
      <c r="AI88" s="250">
        <f t="shared" si="4"/>
        <v>11850</v>
      </c>
      <c r="AJ88" s="5" t="s">
        <v>109</v>
      </c>
    </row>
    <row r="89" spans="1:36" x14ac:dyDescent="0.35">
      <c r="A89" s="38" t="s">
        <v>2620</v>
      </c>
      <c r="B89" s="250">
        <v>0</v>
      </c>
      <c r="C89" s="250">
        <v>5000</v>
      </c>
      <c r="D89" s="250">
        <v>0</v>
      </c>
      <c r="E89" s="250">
        <v>0</v>
      </c>
      <c r="F89" s="250">
        <v>0</v>
      </c>
      <c r="G89" s="250">
        <v>0</v>
      </c>
      <c r="H89" s="250">
        <v>450</v>
      </c>
      <c r="I89" s="250">
        <v>0</v>
      </c>
      <c r="J89" s="250">
        <v>0</v>
      </c>
      <c r="K89" s="250">
        <v>2990</v>
      </c>
      <c r="L89" s="250">
        <v>0</v>
      </c>
      <c r="M89" s="250">
        <v>0</v>
      </c>
      <c r="N89" s="250">
        <v>0</v>
      </c>
      <c r="O89" s="250">
        <v>0</v>
      </c>
      <c r="P89" s="250">
        <v>0</v>
      </c>
      <c r="Q89" s="250">
        <v>2500</v>
      </c>
      <c r="R89" s="250">
        <v>0</v>
      </c>
      <c r="S89" s="250">
        <v>0</v>
      </c>
      <c r="T89" s="250">
        <v>0</v>
      </c>
      <c r="U89" s="250">
        <v>0</v>
      </c>
      <c r="V89" s="250">
        <v>0</v>
      </c>
      <c r="W89" s="250">
        <v>0</v>
      </c>
      <c r="X89" s="250">
        <v>0</v>
      </c>
      <c r="Y89" s="250">
        <v>0</v>
      </c>
      <c r="Z89" s="250">
        <v>0</v>
      </c>
      <c r="AA89" s="250">
        <v>0</v>
      </c>
      <c r="AB89" s="250">
        <v>0</v>
      </c>
      <c r="AC89" s="250">
        <v>1200</v>
      </c>
      <c r="AD89" s="250">
        <v>0</v>
      </c>
      <c r="AE89" s="251">
        <v>500</v>
      </c>
      <c r="AF89" s="251">
        <v>1500</v>
      </c>
      <c r="AG89" s="251">
        <v>950</v>
      </c>
      <c r="AH89" s="251">
        <v>0</v>
      </c>
      <c r="AI89" s="250">
        <f t="shared" si="4"/>
        <v>15090</v>
      </c>
      <c r="AJ89" s="5" t="s">
        <v>109</v>
      </c>
    </row>
    <row r="90" spans="1:36" x14ac:dyDescent="0.35">
      <c r="A90" s="38" t="s">
        <v>831</v>
      </c>
      <c r="B90" s="250">
        <v>0</v>
      </c>
      <c r="C90" s="250">
        <v>0</v>
      </c>
      <c r="D90" s="250">
        <v>0</v>
      </c>
      <c r="E90" s="250">
        <v>0</v>
      </c>
      <c r="F90" s="250">
        <v>0</v>
      </c>
      <c r="G90" s="250">
        <v>750</v>
      </c>
      <c r="H90" s="250">
        <v>0</v>
      </c>
      <c r="I90" s="250">
        <v>0</v>
      </c>
      <c r="J90" s="250">
        <v>0</v>
      </c>
      <c r="K90" s="250">
        <v>0</v>
      </c>
      <c r="L90" s="250">
        <v>0</v>
      </c>
      <c r="M90" s="250">
        <v>0</v>
      </c>
      <c r="N90" s="250">
        <v>0</v>
      </c>
      <c r="O90" s="250">
        <v>0</v>
      </c>
      <c r="P90" s="250">
        <v>0</v>
      </c>
      <c r="Q90" s="250">
        <v>0</v>
      </c>
      <c r="R90" s="250">
        <v>0</v>
      </c>
      <c r="S90" s="250">
        <v>0</v>
      </c>
      <c r="T90" s="250">
        <v>0</v>
      </c>
      <c r="U90" s="250">
        <v>0</v>
      </c>
      <c r="V90" s="250">
        <v>0</v>
      </c>
      <c r="W90" s="250">
        <v>1500</v>
      </c>
      <c r="X90" s="250">
        <v>0</v>
      </c>
      <c r="Y90" s="250">
        <v>0</v>
      </c>
      <c r="Z90" s="250">
        <v>5000</v>
      </c>
      <c r="AA90" s="250">
        <v>2000</v>
      </c>
      <c r="AB90" s="250">
        <v>0</v>
      </c>
      <c r="AC90" s="250">
        <v>1200</v>
      </c>
      <c r="AD90" s="250">
        <v>0</v>
      </c>
      <c r="AE90" s="251">
        <v>0</v>
      </c>
      <c r="AF90" s="251">
        <v>0</v>
      </c>
      <c r="AG90" s="251">
        <v>0</v>
      </c>
      <c r="AH90" s="251">
        <v>1000</v>
      </c>
      <c r="AI90" s="250">
        <f t="shared" si="4"/>
        <v>11450</v>
      </c>
      <c r="AJ90" s="5" t="s">
        <v>109</v>
      </c>
    </row>
    <row r="91" spans="1:36" x14ac:dyDescent="0.35">
      <c r="A91" s="38" t="s">
        <v>1863</v>
      </c>
      <c r="B91" s="250">
        <v>0</v>
      </c>
      <c r="C91" s="250">
        <v>0</v>
      </c>
      <c r="D91" s="250">
        <v>0</v>
      </c>
      <c r="E91" s="250">
        <v>0</v>
      </c>
      <c r="F91" s="250">
        <v>0</v>
      </c>
      <c r="G91" s="250">
        <v>0</v>
      </c>
      <c r="H91" s="250">
        <v>0</v>
      </c>
      <c r="I91" s="250">
        <v>0</v>
      </c>
      <c r="J91" s="250">
        <v>0</v>
      </c>
      <c r="K91" s="250">
        <v>0</v>
      </c>
      <c r="L91" s="250">
        <v>0</v>
      </c>
      <c r="M91" s="250">
        <v>0</v>
      </c>
      <c r="N91" s="250">
        <v>0</v>
      </c>
      <c r="O91" s="250">
        <v>0</v>
      </c>
      <c r="P91" s="250">
        <v>0</v>
      </c>
      <c r="Q91" s="250">
        <v>0</v>
      </c>
      <c r="R91" s="250">
        <v>0</v>
      </c>
      <c r="S91" s="250">
        <v>0</v>
      </c>
      <c r="T91" s="250">
        <v>0</v>
      </c>
      <c r="U91" s="250">
        <v>0</v>
      </c>
      <c r="V91" s="250">
        <v>0</v>
      </c>
      <c r="W91" s="250">
        <v>0</v>
      </c>
      <c r="X91" s="250">
        <v>0</v>
      </c>
      <c r="Y91" s="250">
        <v>0</v>
      </c>
      <c r="Z91" s="250">
        <v>0</v>
      </c>
      <c r="AA91" s="250">
        <v>0</v>
      </c>
      <c r="AB91" s="250">
        <v>7500</v>
      </c>
      <c r="AC91" s="250">
        <v>0</v>
      </c>
      <c r="AD91" s="250">
        <v>0</v>
      </c>
      <c r="AE91" s="251">
        <v>0</v>
      </c>
      <c r="AF91" s="251">
        <v>0</v>
      </c>
      <c r="AG91" s="251">
        <v>2500</v>
      </c>
      <c r="AH91" s="251">
        <v>0</v>
      </c>
      <c r="AI91" s="250">
        <f t="shared" si="4"/>
        <v>10000</v>
      </c>
      <c r="AJ91" s="5" t="s">
        <v>109</v>
      </c>
    </row>
    <row r="92" spans="1:36" x14ac:dyDescent="0.35">
      <c r="A92" s="38" t="s">
        <v>2623</v>
      </c>
      <c r="B92" s="250">
        <v>0</v>
      </c>
      <c r="C92" s="250">
        <v>0</v>
      </c>
      <c r="D92" s="250">
        <v>0</v>
      </c>
      <c r="E92" s="250">
        <v>0</v>
      </c>
      <c r="F92" s="250">
        <v>0</v>
      </c>
      <c r="G92" s="250">
        <v>0</v>
      </c>
      <c r="H92" s="250">
        <v>0</v>
      </c>
      <c r="I92" s="250">
        <v>0</v>
      </c>
      <c r="J92" s="250">
        <v>0</v>
      </c>
      <c r="K92" s="250">
        <v>0</v>
      </c>
      <c r="L92" s="250">
        <v>0</v>
      </c>
      <c r="M92" s="250">
        <v>0</v>
      </c>
      <c r="N92" s="250">
        <v>0</v>
      </c>
      <c r="O92" s="250">
        <v>0</v>
      </c>
      <c r="P92" s="250">
        <v>3000</v>
      </c>
      <c r="Q92" s="250">
        <v>3500</v>
      </c>
      <c r="R92" s="250">
        <v>0</v>
      </c>
      <c r="S92" s="250">
        <v>0</v>
      </c>
      <c r="T92" s="250">
        <v>0</v>
      </c>
      <c r="U92" s="250">
        <v>0</v>
      </c>
      <c r="V92" s="250">
        <v>0</v>
      </c>
      <c r="W92" s="250">
        <v>0</v>
      </c>
      <c r="X92" s="250">
        <v>0</v>
      </c>
      <c r="Y92" s="250">
        <v>4000</v>
      </c>
      <c r="Z92" s="250">
        <v>0</v>
      </c>
      <c r="AA92" s="250">
        <v>0</v>
      </c>
      <c r="AB92" s="250">
        <v>3500</v>
      </c>
      <c r="AC92" s="250">
        <v>0</v>
      </c>
      <c r="AD92" s="250">
        <v>255</v>
      </c>
      <c r="AE92" s="251">
        <v>0</v>
      </c>
      <c r="AF92" s="251">
        <v>1500</v>
      </c>
      <c r="AG92" s="251">
        <v>650</v>
      </c>
      <c r="AH92" s="251">
        <v>0</v>
      </c>
      <c r="AI92" s="250">
        <f t="shared" si="4"/>
        <v>16405</v>
      </c>
      <c r="AJ92" s="5" t="s">
        <v>109</v>
      </c>
    </row>
    <row r="93" spans="1:36" x14ac:dyDescent="0.35">
      <c r="A93" s="38" t="s">
        <v>346</v>
      </c>
      <c r="B93" s="250">
        <v>0</v>
      </c>
      <c r="C93" s="250">
        <v>1500</v>
      </c>
      <c r="D93" s="250">
        <v>0</v>
      </c>
      <c r="E93" s="250">
        <v>0</v>
      </c>
      <c r="F93" s="250">
        <v>0</v>
      </c>
      <c r="G93" s="250">
        <v>0</v>
      </c>
      <c r="H93" s="250">
        <v>0</v>
      </c>
      <c r="I93" s="250">
        <v>0</v>
      </c>
      <c r="J93" s="250">
        <v>0</v>
      </c>
      <c r="K93" s="250">
        <v>0</v>
      </c>
      <c r="L93" s="250">
        <v>0</v>
      </c>
      <c r="M93" s="250">
        <v>1500</v>
      </c>
      <c r="N93" s="250">
        <v>3500</v>
      </c>
      <c r="O93" s="250">
        <v>0</v>
      </c>
      <c r="P93" s="250">
        <v>0</v>
      </c>
      <c r="Q93" s="250">
        <v>750</v>
      </c>
      <c r="R93" s="250">
        <v>0</v>
      </c>
      <c r="S93" s="250">
        <v>0</v>
      </c>
      <c r="T93" s="250">
        <v>0</v>
      </c>
      <c r="U93" s="250">
        <v>2500</v>
      </c>
      <c r="V93" s="250">
        <v>0</v>
      </c>
      <c r="W93" s="250">
        <v>4000</v>
      </c>
      <c r="X93" s="250">
        <v>0</v>
      </c>
      <c r="Y93" s="250">
        <v>0</v>
      </c>
      <c r="Z93" s="250">
        <v>0</v>
      </c>
      <c r="AA93" s="250">
        <v>0</v>
      </c>
      <c r="AB93" s="250">
        <v>0</v>
      </c>
      <c r="AC93" s="250">
        <v>0</v>
      </c>
      <c r="AD93" s="250">
        <v>0</v>
      </c>
      <c r="AE93" s="251">
        <v>0</v>
      </c>
      <c r="AF93" s="251">
        <v>0</v>
      </c>
      <c r="AG93" s="251">
        <v>650</v>
      </c>
      <c r="AH93" s="251">
        <v>0</v>
      </c>
      <c r="AI93" s="250">
        <f t="shared" si="4"/>
        <v>14400</v>
      </c>
      <c r="AJ93" s="5" t="s">
        <v>109</v>
      </c>
    </row>
    <row r="94" spans="1:36" x14ac:dyDescent="0.35">
      <c r="B94" s="250"/>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0"/>
      <c r="AA94" s="250"/>
      <c r="AB94" s="250"/>
      <c r="AC94" s="250"/>
      <c r="AD94" s="250"/>
      <c r="AE94" s="251"/>
      <c r="AF94" s="251"/>
      <c r="AG94" s="251"/>
      <c r="AH94" s="251"/>
      <c r="AI94" s="250"/>
    </row>
    <row r="96" spans="1:36" x14ac:dyDescent="0.35">
      <c r="A96" s="268" t="s">
        <v>531</v>
      </c>
      <c r="B96" s="247">
        <v>0</v>
      </c>
      <c r="C96" s="247">
        <v>0</v>
      </c>
      <c r="D96" s="247">
        <v>350</v>
      </c>
      <c r="E96" s="247">
        <v>0</v>
      </c>
      <c r="F96" s="247">
        <v>350</v>
      </c>
      <c r="G96" s="247">
        <v>0</v>
      </c>
      <c r="H96" s="247">
        <v>0</v>
      </c>
      <c r="I96" s="247">
        <v>0</v>
      </c>
      <c r="J96" s="247">
        <v>0</v>
      </c>
      <c r="K96" s="247">
        <v>1495</v>
      </c>
      <c r="L96" s="247">
        <v>0</v>
      </c>
      <c r="M96" s="247">
        <v>1795</v>
      </c>
      <c r="N96" s="247">
        <v>0</v>
      </c>
      <c r="O96" s="247">
        <v>0</v>
      </c>
      <c r="P96" s="247">
        <v>0</v>
      </c>
      <c r="Q96" s="247">
        <v>0</v>
      </c>
      <c r="R96" s="247">
        <v>0</v>
      </c>
      <c r="S96" s="247">
        <v>0</v>
      </c>
      <c r="T96" s="247">
        <v>0</v>
      </c>
      <c r="U96" s="247">
        <v>0</v>
      </c>
      <c r="V96" s="247">
        <v>0</v>
      </c>
      <c r="W96" s="247">
        <v>0</v>
      </c>
      <c r="X96" s="247">
        <v>0</v>
      </c>
      <c r="Y96" s="247">
        <v>0</v>
      </c>
      <c r="Z96" s="247">
        <v>750</v>
      </c>
      <c r="AA96" s="247">
        <v>450</v>
      </c>
      <c r="AB96" s="247">
        <v>3500</v>
      </c>
      <c r="AC96" s="247">
        <v>0</v>
      </c>
      <c r="AD96" s="247">
        <v>0</v>
      </c>
      <c r="AE96" s="248">
        <v>0</v>
      </c>
      <c r="AF96" s="248">
        <v>0</v>
      </c>
      <c r="AG96" s="248">
        <v>1000</v>
      </c>
      <c r="AH96" s="248">
        <v>0</v>
      </c>
      <c r="AI96" s="247">
        <f t="shared" ref="AI96:AI122" si="5">SUM(B96:AH96)</f>
        <v>9690</v>
      </c>
      <c r="AJ96" s="5" t="s">
        <v>3194</v>
      </c>
    </row>
    <row r="97" spans="1:36" x14ac:dyDescent="0.35">
      <c r="A97" s="268" t="s">
        <v>293</v>
      </c>
      <c r="B97" s="247">
        <v>0</v>
      </c>
      <c r="C97" s="247">
        <v>1500</v>
      </c>
      <c r="D97" s="247">
        <v>0</v>
      </c>
      <c r="E97" s="247">
        <v>0</v>
      </c>
      <c r="F97" s="247">
        <v>0</v>
      </c>
      <c r="G97" s="247">
        <v>0</v>
      </c>
      <c r="H97" s="247">
        <v>0</v>
      </c>
      <c r="I97" s="247">
        <v>0</v>
      </c>
      <c r="J97" s="247">
        <v>0</v>
      </c>
      <c r="K97" s="247">
        <v>0</v>
      </c>
      <c r="L97" s="247">
        <v>0</v>
      </c>
      <c r="M97" s="247">
        <v>0</v>
      </c>
      <c r="N97" s="247">
        <v>0</v>
      </c>
      <c r="O97" s="247">
        <v>0</v>
      </c>
      <c r="P97" s="247">
        <v>0</v>
      </c>
      <c r="Q97" s="247">
        <v>0</v>
      </c>
      <c r="R97" s="247">
        <v>0</v>
      </c>
      <c r="S97" s="247">
        <v>0</v>
      </c>
      <c r="T97" s="247">
        <v>0</v>
      </c>
      <c r="U97" s="247">
        <v>2000</v>
      </c>
      <c r="V97" s="247">
        <v>450</v>
      </c>
      <c r="W97" s="247">
        <v>1200</v>
      </c>
      <c r="X97" s="247">
        <v>0</v>
      </c>
      <c r="Y97" s="247">
        <v>0</v>
      </c>
      <c r="Z97" s="247">
        <v>0</v>
      </c>
      <c r="AA97" s="247">
        <v>0</v>
      </c>
      <c r="AB97" s="247">
        <v>0</v>
      </c>
      <c r="AC97" s="247">
        <v>0</v>
      </c>
      <c r="AD97" s="247">
        <v>0</v>
      </c>
      <c r="AE97" s="248">
        <v>500</v>
      </c>
      <c r="AF97" s="248">
        <v>1500</v>
      </c>
      <c r="AG97" s="248">
        <v>550</v>
      </c>
      <c r="AH97" s="248">
        <v>0</v>
      </c>
      <c r="AI97" s="247">
        <f t="shared" si="5"/>
        <v>7700</v>
      </c>
      <c r="AJ97" s="5" t="s">
        <v>3194</v>
      </c>
    </row>
    <row r="98" spans="1:36" x14ac:dyDescent="0.35">
      <c r="A98" s="268" t="s">
        <v>923</v>
      </c>
      <c r="B98" s="247">
        <v>0</v>
      </c>
      <c r="C98" s="247">
        <v>0</v>
      </c>
      <c r="D98" s="247">
        <v>0</v>
      </c>
      <c r="E98" s="247">
        <v>0</v>
      </c>
      <c r="F98" s="247">
        <v>0</v>
      </c>
      <c r="G98" s="247">
        <v>0</v>
      </c>
      <c r="H98" s="247">
        <v>0</v>
      </c>
      <c r="I98" s="247">
        <v>0</v>
      </c>
      <c r="J98" s="247">
        <v>0</v>
      </c>
      <c r="K98" s="247">
        <v>3000</v>
      </c>
      <c r="L98" s="247">
        <v>0</v>
      </c>
      <c r="M98" s="247">
        <v>0</v>
      </c>
      <c r="N98" s="247">
        <v>0</v>
      </c>
      <c r="O98" s="247">
        <v>0</v>
      </c>
      <c r="P98" s="247">
        <v>0</v>
      </c>
      <c r="Q98" s="247">
        <v>0</v>
      </c>
      <c r="R98" s="247">
        <v>0</v>
      </c>
      <c r="S98" s="247">
        <v>0</v>
      </c>
      <c r="T98" s="247">
        <v>0</v>
      </c>
      <c r="U98" s="247">
        <v>0</v>
      </c>
      <c r="V98" s="247">
        <v>0</v>
      </c>
      <c r="W98" s="247">
        <v>3750</v>
      </c>
      <c r="X98" s="247">
        <v>0</v>
      </c>
      <c r="Y98" s="247">
        <v>0</v>
      </c>
      <c r="Z98" s="247">
        <v>0</v>
      </c>
      <c r="AA98" s="247">
        <v>0</v>
      </c>
      <c r="AB98" s="247">
        <v>0</v>
      </c>
      <c r="AC98" s="247">
        <v>0</v>
      </c>
      <c r="AD98" s="247">
        <v>0</v>
      </c>
      <c r="AE98" s="248">
        <v>250</v>
      </c>
      <c r="AF98" s="248">
        <v>0</v>
      </c>
      <c r="AG98" s="248">
        <v>250</v>
      </c>
      <c r="AH98" s="248">
        <v>0</v>
      </c>
      <c r="AI98" s="247">
        <f t="shared" si="5"/>
        <v>7250</v>
      </c>
      <c r="AJ98" s="5" t="s">
        <v>3194</v>
      </c>
    </row>
    <row r="99" spans="1:36" x14ac:dyDescent="0.35">
      <c r="A99" s="268" t="s">
        <v>1586</v>
      </c>
      <c r="B99" s="247">
        <v>0</v>
      </c>
      <c r="C99" s="247">
        <v>0</v>
      </c>
      <c r="D99" s="247">
        <v>0</v>
      </c>
      <c r="E99" s="247">
        <v>0</v>
      </c>
      <c r="F99" s="247">
        <v>0</v>
      </c>
      <c r="G99" s="247">
        <v>0</v>
      </c>
      <c r="H99" s="247">
        <v>0</v>
      </c>
      <c r="I99" s="247">
        <v>0</v>
      </c>
      <c r="J99" s="247">
        <v>0</v>
      </c>
      <c r="K99" s="247">
        <v>0</v>
      </c>
      <c r="L99" s="247">
        <v>0</v>
      </c>
      <c r="M99" s="247">
        <v>0</v>
      </c>
      <c r="N99" s="247">
        <v>0</v>
      </c>
      <c r="O99" s="247">
        <v>0</v>
      </c>
      <c r="P99" s="247">
        <v>0</v>
      </c>
      <c r="Q99" s="247">
        <v>5000</v>
      </c>
      <c r="R99" s="247">
        <v>0</v>
      </c>
      <c r="S99" s="247">
        <v>0</v>
      </c>
      <c r="T99" s="247">
        <v>0</v>
      </c>
      <c r="U99" s="247">
        <v>0</v>
      </c>
      <c r="V99" s="247">
        <v>0</v>
      </c>
      <c r="W99" s="247">
        <v>0</v>
      </c>
      <c r="X99" s="247">
        <v>0</v>
      </c>
      <c r="Y99" s="247">
        <v>0</v>
      </c>
      <c r="Z99" s="247">
        <v>0</v>
      </c>
      <c r="AA99" s="247">
        <v>0</v>
      </c>
      <c r="AB99" s="247">
        <v>0</v>
      </c>
      <c r="AC99" s="247">
        <v>0</v>
      </c>
      <c r="AD99" s="247">
        <v>0</v>
      </c>
      <c r="AE99" s="248">
        <v>0</v>
      </c>
      <c r="AF99" s="248">
        <v>1500</v>
      </c>
      <c r="AG99" s="248">
        <v>350</v>
      </c>
      <c r="AH99" s="248">
        <v>0</v>
      </c>
      <c r="AI99" s="250">
        <f t="shared" si="5"/>
        <v>6850</v>
      </c>
      <c r="AJ99" s="246" t="s">
        <v>3194</v>
      </c>
    </row>
    <row r="100" spans="1:36" x14ac:dyDescent="0.35">
      <c r="A100" s="268" t="s">
        <v>1679</v>
      </c>
      <c r="B100" s="247">
        <v>0</v>
      </c>
      <c r="C100" s="247">
        <v>0</v>
      </c>
      <c r="D100" s="247">
        <v>0</v>
      </c>
      <c r="E100" s="247">
        <v>0</v>
      </c>
      <c r="F100" s="247">
        <v>0</v>
      </c>
      <c r="G100" s="247">
        <v>0</v>
      </c>
      <c r="H100" s="247">
        <v>0</v>
      </c>
      <c r="I100" s="247">
        <v>0</v>
      </c>
      <c r="J100" s="247">
        <v>0</v>
      </c>
      <c r="K100" s="247">
        <v>0</v>
      </c>
      <c r="L100" s="247">
        <v>0</v>
      </c>
      <c r="M100" s="247">
        <v>0</v>
      </c>
      <c r="N100" s="247">
        <v>0</v>
      </c>
      <c r="O100" s="247">
        <v>0</v>
      </c>
      <c r="P100" s="247">
        <v>0</v>
      </c>
      <c r="Q100" s="247">
        <v>0</v>
      </c>
      <c r="R100" s="247">
        <v>7500</v>
      </c>
      <c r="S100" s="247">
        <v>0</v>
      </c>
      <c r="T100" s="247">
        <v>0</v>
      </c>
      <c r="U100" s="247">
        <v>0</v>
      </c>
      <c r="V100" s="247">
        <v>0</v>
      </c>
      <c r="W100" s="247">
        <v>0</v>
      </c>
      <c r="X100" s="247">
        <v>0</v>
      </c>
      <c r="Y100" s="247">
        <v>0</v>
      </c>
      <c r="Z100" s="247">
        <v>0</v>
      </c>
      <c r="AA100" s="247">
        <v>0</v>
      </c>
      <c r="AB100" s="247">
        <v>0</v>
      </c>
      <c r="AC100" s="247">
        <v>0</v>
      </c>
      <c r="AD100" s="247">
        <v>0</v>
      </c>
      <c r="AE100" s="248">
        <v>0</v>
      </c>
      <c r="AF100" s="248">
        <v>0</v>
      </c>
      <c r="AG100" s="248">
        <v>480</v>
      </c>
      <c r="AH100" s="248">
        <v>0</v>
      </c>
      <c r="AI100" s="250">
        <f t="shared" si="5"/>
        <v>7980</v>
      </c>
      <c r="AJ100" s="5" t="s">
        <v>3194</v>
      </c>
    </row>
    <row r="101" spans="1:36" x14ac:dyDescent="0.35">
      <c r="A101" s="268" t="s">
        <v>388</v>
      </c>
      <c r="B101" s="250">
        <v>0</v>
      </c>
      <c r="C101" s="250">
        <v>1500</v>
      </c>
      <c r="D101" s="250">
        <v>0</v>
      </c>
      <c r="E101" s="250">
        <v>0</v>
      </c>
      <c r="F101" s="250">
        <v>0</v>
      </c>
      <c r="G101" s="250">
        <v>0</v>
      </c>
      <c r="H101" s="250">
        <v>0</v>
      </c>
      <c r="I101" s="250">
        <v>0</v>
      </c>
      <c r="J101" s="250">
        <v>0</v>
      </c>
      <c r="K101" s="250">
        <v>6250</v>
      </c>
      <c r="L101" s="250">
        <v>0</v>
      </c>
      <c r="M101" s="250">
        <v>0</v>
      </c>
      <c r="N101" s="250">
        <v>0</v>
      </c>
      <c r="O101" s="250">
        <v>0</v>
      </c>
      <c r="P101" s="250">
        <v>0</v>
      </c>
      <c r="Q101" s="250">
        <v>0</v>
      </c>
      <c r="R101" s="250">
        <v>0</v>
      </c>
      <c r="S101" s="250">
        <v>0</v>
      </c>
      <c r="T101" s="250">
        <v>0</v>
      </c>
      <c r="U101" s="250">
        <v>0</v>
      </c>
      <c r="V101" s="250">
        <v>0</v>
      </c>
      <c r="W101" s="250">
        <v>0</v>
      </c>
      <c r="X101" s="250">
        <v>0</v>
      </c>
      <c r="Y101" s="250">
        <v>0</v>
      </c>
      <c r="Z101" s="250">
        <v>0</v>
      </c>
      <c r="AA101" s="250">
        <v>0</v>
      </c>
      <c r="AB101" s="250">
        <v>0</v>
      </c>
      <c r="AC101" s="250">
        <v>0</v>
      </c>
      <c r="AD101" s="250">
        <v>0</v>
      </c>
      <c r="AE101" s="251">
        <v>0</v>
      </c>
      <c r="AF101" s="251">
        <v>0</v>
      </c>
      <c r="AG101" s="251">
        <v>350</v>
      </c>
      <c r="AH101" s="251">
        <v>0</v>
      </c>
      <c r="AI101" s="250">
        <f t="shared" si="5"/>
        <v>8100</v>
      </c>
      <c r="AJ101" s="5" t="s">
        <v>3194</v>
      </c>
    </row>
    <row r="102" spans="1:36" x14ac:dyDescent="0.35">
      <c r="A102" s="268" t="s">
        <v>171</v>
      </c>
      <c r="B102" s="250">
        <v>0</v>
      </c>
      <c r="C102" s="250">
        <v>3500</v>
      </c>
      <c r="D102" s="250">
        <v>0</v>
      </c>
      <c r="E102" s="250">
        <v>0</v>
      </c>
      <c r="F102" s="250">
        <v>0</v>
      </c>
      <c r="G102" s="250">
        <v>5000</v>
      </c>
      <c r="H102" s="250">
        <v>0</v>
      </c>
      <c r="I102" s="250">
        <v>0</v>
      </c>
      <c r="J102" s="250">
        <v>0</v>
      </c>
      <c r="K102" s="250">
        <v>0</v>
      </c>
      <c r="L102" s="250">
        <v>0</v>
      </c>
      <c r="M102" s="250">
        <v>0</v>
      </c>
      <c r="N102" s="250">
        <v>0</v>
      </c>
      <c r="O102" s="250">
        <v>0</v>
      </c>
      <c r="P102" s="250">
        <v>0</v>
      </c>
      <c r="Q102" s="250">
        <v>0</v>
      </c>
      <c r="R102" s="250">
        <v>0</v>
      </c>
      <c r="S102" s="250">
        <v>0</v>
      </c>
      <c r="T102" s="250">
        <v>0</v>
      </c>
      <c r="U102" s="250">
        <v>0</v>
      </c>
      <c r="V102" s="250">
        <v>0</v>
      </c>
      <c r="W102" s="250">
        <v>0</v>
      </c>
      <c r="X102" s="250">
        <v>0</v>
      </c>
      <c r="Y102" s="250">
        <v>0</v>
      </c>
      <c r="Z102" s="250">
        <v>0</v>
      </c>
      <c r="AA102" s="250">
        <v>0</v>
      </c>
      <c r="AB102" s="250">
        <v>0</v>
      </c>
      <c r="AC102" s="250">
        <v>0</v>
      </c>
      <c r="AD102" s="250">
        <v>0</v>
      </c>
      <c r="AE102" s="251">
        <v>0</v>
      </c>
      <c r="AF102" s="251">
        <v>0</v>
      </c>
      <c r="AG102" s="251">
        <v>430</v>
      </c>
      <c r="AH102" s="251">
        <v>0</v>
      </c>
      <c r="AI102" s="250">
        <f t="shared" si="5"/>
        <v>8930</v>
      </c>
      <c r="AJ102" s="5" t="s">
        <v>3194</v>
      </c>
    </row>
    <row r="103" spans="1:36" x14ac:dyDescent="0.35">
      <c r="A103" s="268" t="s">
        <v>3200</v>
      </c>
      <c r="B103" s="250">
        <v>0</v>
      </c>
      <c r="C103" s="250">
        <v>1500</v>
      </c>
      <c r="D103" s="250">
        <v>0</v>
      </c>
      <c r="E103" s="250">
        <v>0</v>
      </c>
      <c r="F103" s="250">
        <v>0</v>
      </c>
      <c r="G103" s="250">
        <v>0</v>
      </c>
      <c r="H103" s="250">
        <v>0</v>
      </c>
      <c r="I103" s="250">
        <v>2000</v>
      </c>
      <c r="J103" s="250">
        <v>0</v>
      </c>
      <c r="K103" s="250">
        <v>1495</v>
      </c>
      <c r="L103" s="250">
        <v>0</v>
      </c>
      <c r="M103" s="250">
        <v>0</v>
      </c>
      <c r="N103" s="250">
        <v>0</v>
      </c>
      <c r="O103" s="250">
        <v>0</v>
      </c>
      <c r="P103" s="250">
        <v>0</v>
      </c>
      <c r="Q103" s="250">
        <v>1000</v>
      </c>
      <c r="R103" s="250">
        <v>0</v>
      </c>
      <c r="S103" s="250">
        <v>0</v>
      </c>
      <c r="T103" s="250">
        <v>0</v>
      </c>
      <c r="U103" s="250">
        <v>0</v>
      </c>
      <c r="V103" s="250">
        <v>0</v>
      </c>
      <c r="W103" s="250">
        <v>0</v>
      </c>
      <c r="X103" s="250">
        <v>0</v>
      </c>
      <c r="Y103" s="250">
        <v>0</v>
      </c>
      <c r="Z103" s="250">
        <v>0</v>
      </c>
      <c r="AA103" s="250">
        <v>0</v>
      </c>
      <c r="AB103" s="250">
        <v>0</v>
      </c>
      <c r="AC103" s="250">
        <v>0</v>
      </c>
      <c r="AD103" s="250">
        <v>0</v>
      </c>
      <c r="AE103" s="251">
        <v>1000</v>
      </c>
      <c r="AF103" s="251">
        <v>1500</v>
      </c>
      <c r="AG103" s="251">
        <v>1000</v>
      </c>
      <c r="AH103" s="251">
        <v>0</v>
      </c>
      <c r="AI103" s="250">
        <f t="shared" si="5"/>
        <v>9495</v>
      </c>
      <c r="AJ103" s="5" t="s">
        <v>3194</v>
      </c>
    </row>
    <row r="104" spans="1:36" x14ac:dyDescent="0.35">
      <c r="A104" s="38" t="s">
        <v>242</v>
      </c>
      <c r="B104" s="250">
        <v>0</v>
      </c>
      <c r="C104" s="250">
        <v>1500</v>
      </c>
      <c r="D104" s="250">
        <v>0</v>
      </c>
      <c r="E104" s="250">
        <v>0</v>
      </c>
      <c r="F104" s="250">
        <v>0</v>
      </c>
      <c r="G104" s="250">
        <v>3500</v>
      </c>
      <c r="H104" s="250">
        <v>0</v>
      </c>
      <c r="I104" s="250">
        <v>0</v>
      </c>
      <c r="J104" s="250">
        <v>0</v>
      </c>
      <c r="K104" s="250">
        <v>0</v>
      </c>
      <c r="L104" s="250">
        <v>0</v>
      </c>
      <c r="M104" s="250">
        <v>0</v>
      </c>
      <c r="N104" s="250">
        <v>0</v>
      </c>
      <c r="O104" s="250">
        <v>0</v>
      </c>
      <c r="P104" s="250">
        <v>0</v>
      </c>
      <c r="Q104" s="250">
        <v>0</v>
      </c>
      <c r="R104" s="250">
        <v>0</v>
      </c>
      <c r="S104" s="250">
        <v>0</v>
      </c>
      <c r="T104" s="250">
        <v>0</v>
      </c>
      <c r="U104" s="250">
        <v>0</v>
      </c>
      <c r="V104" s="250">
        <v>500</v>
      </c>
      <c r="W104" s="250">
        <v>1500</v>
      </c>
      <c r="X104" s="250">
        <v>0</v>
      </c>
      <c r="Y104" s="250">
        <v>0</v>
      </c>
      <c r="Z104" s="250">
        <v>0</v>
      </c>
      <c r="AA104" s="250">
        <v>0</v>
      </c>
      <c r="AB104" s="250">
        <v>0</v>
      </c>
      <c r="AC104" s="250">
        <v>0</v>
      </c>
      <c r="AD104" s="250">
        <v>0</v>
      </c>
      <c r="AE104" s="251">
        <v>500</v>
      </c>
      <c r="AF104" s="251">
        <v>1500</v>
      </c>
      <c r="AG104" s="251">
        <v>550</v>
      </c>
      <c r="AH104" s="251">
        <v>0</v>
      </c>
      <c r="AI104" s="250">
        <f t="shared" si="5"/>
        <v>9550</v>
      </c>
      <c r="AJ104" s="5" t="s">
        <v>3194</v>
      </c>
    </row>
    <row r="105" spans="1:36" ht="29" x14ac:dyDescent="0.35">
      <c r="A105" s="38" t="s">
        <v>2598</v>
      </c>
      <c r="B105" s="250">
        <v>0</v>
      </c>
      <c r="C105" s="250">
        <v>0</v>
      </c>
      <c r="D105" s="250">
        <v>0</v>
      </c>
      <c r="E105" s="250">
        <v>0</v>
      </c>
      <c r="F105" s="250">
        <v>0</v>
      </c>
      <c r="G105" s="250">
        <v>0</v>
      </c>
      <c r="H105" s="250">
        <v>0</v>
      </c>
      <c r="I105" s="250">
        <v>0</v>
      </c>
      <c r="J105" s="250">
        <v>0</v>
      </c>
      <c r="K105" s="250">
        <v>0</v>
      </c>
      <c r="L105" s="250">
        <v>0</v>
      </c>
      <c r="M105" s="250">
        <v>0</v>
      </c>
      <c r="N105" s="250">
        <v>0</v>
      </c>
      <c r="O105" s="250">
        <v>0</v>
      </c>
      <c r="P105" s="250">
        <v>0</v>
      </c>
      <c r="Q105" s="250">
        <v>0</v>
      </c>
      <c r="R105" s="250">
        <v>0</v>
      </c>
      <c r="S105" s="250">
        <v>0</v>
      </c>
      <c r="T105" s="250">
        <v>0</v>
      </c>
      <c r="U105" s="250">
        <v>0</v>
      </c>
      <c r="V105" s="250">
        <v>0</v>
      </c>
      <c r="W105" s="250">
        <v>0</v>
      </c>
      <c r="X105" s="250">
        <v>0</v>
      </c>
      <c r="Y105" s="250">
        <v>0</v>
      </c>
      <c r="Z105" s="250">
        <v>7500</v>
      </c>
      <c r="AA105" s="250">
        <v>0</v>
      </c>
      <c r="AB105" s="250">
        <v>0</v>
      </c>
      <c r="AC105" s="250">
        <v>0</v>
      </c>
      <c r="AD105" s="250">
        <v>0</v>
      </c>
      <c r="AE105" s="251">
        <v>0</v>
      </c>
      <c r="AF105" s="251">
        <v>0</v>
      </c>
      <c r="AG105" s="251">
        <v>0</v>
      </c>
      <c r="AH105" s="251">
        <v>0</v>
      </c>
      <c r="AI105" s="250">
        <f t="shared" si="5"/>
        <v>7500</v>
      </c>
      <c r="AJ105" s="5" t="s">
        <v>3194</v>
      </c>
    </row>
    <row r="106" spans="1:36" x14ac:dyDescent="0.35">
      <c r="A106" s="38" t="s">
        <v>269</v>
      </c>
      <c r="B106" s="250">
        <v>0</v>
      </c>
      <c r="C106" s="250">
        <v>2850</v>
      </c>
      <c r="D106" s="250">
        <v>0</v>
      </c>
      <c r="E106" s="250">
        <v>0</v>
      </c>
      <c r="F106" s="250">
        <v>350</v>
      </c>
      <c r="G106" s="250">
        <v>0</v>
      </c>
      <c r="H106" s="250">
        <v>0</v>
      </c>
      <c r="I106" s="250">
        <v>0</v>
      </c>
      <c r="J106" s="250">
        <v>0</v>
      </c>
      <c r="K106" s="250">
        <v>0</v>
      </c>
      <c r="L106" s="250">
        <v>0</v>
      </c>
      <c r="M106" s="250">
        <v>0</v>
      </c>
      <c r="N106" s="250">
        <v>0</v>
      </c>
      <c r="O106" s="250">
        <v>0</v>
      </c>
      <c r="P106" s="250">
        <v>3000</v>
      </c>
      <c r="Q106" s="250">
        <v>0</v>
      </c>
      <c r="R106" s="250">
        <v>0</v>
      </c>
      <c r="S106" s="250">
        <v>0</v>
      </c>
      <c r="T106" s="250">
        <v>0</v>
      </c>
      <c r="U106" s="250">
        <v>0</v>
      </c>
      <c r="V106" s="250">
        <v>0</v>
      </c>
      <c r="W106" s="250">
        <v>0</v>
      </c>
      <c r="X106" s="250">
        <v>0</v>
      </c>
      <c r="Y106" s="250">
        <v>0</v>
      </c>
      <c r="Z106" s="250">
        <v>0</v>
      </c>
      <c r="AA106" s="250">
        <v>0</v>
      </c>
      <c r="AB106" s="250">
        <v>0</v>
      </c>
      <c r="AC106" s="250">
        <v>0</v>
      </c>
      <c r="AD106" s="250">
        <v>0</v>
      </c>
      <c r="AE106" s="251">
        <v>250</v>
      </c>
      <c r="AF106" s="251">
        <v>0</v>
      </c>
      <c r="AG106" s="251">
        <v>775</v>
      </c>
      <c r="AH106" s="251">
        <v>0</v>
      </c>
      <c r="AI106" s="250">
        <f t="shared" si="5"/>
        <v>7225</v>
      </c>
      <c r="AJ106" s="5" t="s">
        <v>3194</v>
      </c>
    </row>
    <row r="107" spans="1:36" x14ac:dyDescent="0.35">
      <c r="A107" s="38" t="s">
        <v>1170</v>
      </c>
      <c r="B107" s="250">
        <v>0</v>
      </c>
      <c r="C107" s="250">
        <v>0</v>
      </c>
      <c r="D107" s="250">
        <v>0</v>
      </c>
      <c r="E107" s="250">
        <v>0</v>
      </c>
      <c r="F107" s="250">
        <v>0</v>
      </c>
      <c r="G107" s="250">
        <v>0</v>
      </c>
      <c r="H107" s="250">
        <v>0</v>
      </c>
      <c r="I107" s="250">
        <v>0</v>
      </c>
      <c r="J107" s="250">
        <v>0</v>
      </c>
      <c r="K107" s="250">
        <v>0</v>
      </c>
      <c r="L107" s="250">
        <v>0</v>
      </c>
      <c r="M107" s="250">
        <v>0</v>
      </c>
      <c r="N107" s="250">
        <v>0</v>
      </c>
      <c r="O107" s="250">
        <v>0</v>
      </c>
      <c r="P107" s="250">
        <v>0</v>
      </c>
      <c r="Q107" s="250">
        <v>2000</v>
      </c>
      <c r="R107" s="250">
        <v>0</v>
      </c>
      <c r="S107" s="250">
        <v>0</v>
      </c>
      <c r="T107" s="250">
        <v>0</v>
      </c>
      <c r="U107" s="250">
        <v>0</v>
      </c>
      <c r="V107" s="250">
        <v>0</v>
      </c>
      <c r="W107" s="250">
        <v>4000</v>
      </c>
      <c r="X107" s="250">
        <v>0</v>
      </c>
      <c r="Y107" s="250">
        <v>0</v>
      </c>
      <c r="Z107" s="250">
        <v>0</v>
      </c>
      <c r="AA107" s="250">
        <v>0</v>
      </c>
      <c r="AB107" s="250">
        <v>0</v>
      </c>
      <c r="AC107" s="250">
        <v>0</v>
      </c>
      <c r="AD107" s="250">
        <v>0</v>
      </c>
      <c r="AE107" s="251">
        <v>0</v>
      </c>
      <c r="AF107" s="251">
        <v>1500</v>
      </c>
      <c r="AG107" s="251">
        <v>430</v>
      </c>
      <c r="AH107" s="251">
        <v>0</v>
      </c>
      <c r="AI107" s="250">
        <f t="shared" si="5"/>
        <v>7930</v>
      </c>
      <c r="AJ107" s="5" t="s">
        <v>3194</v>
      </c>
    </row>
    <row r="108" spans="1:36" x14ac:dyDescent="0.35">
      <c r="A108" s="38" t="s">
        <v>918</v>
      </c>
      <c r="B108" s="250">
        <v>0</v>
      </c>
      <c r="C108" s="250">
        <v>0</v>
      </c>
      <c r="D108" s="250">
        <v>0</v>
      </c>
      <c r="E108" s="250">
        <v>0</v>
      </c>
      <c r="F108" s="250">
        <v>0</v>
      </c>
      <c r="G108" s="250">
        <v>500</v>
      </c>
      <c r="H108" s="250">
        <v>0</v>
      </c>
      <c r="I108" s="250">
        <v>0</v>
      </c>
      <c r="J108" s="250">
        <v>0</v>
      </c>
      <c r="K108" s="250">
        <v>0</v>
      </c>
      <c r="L108" s="250">
        <v>0</v>
      </c>
      <c r="M108" s="250">
        <v>0</v>
      </c>
      <c r="N108" s="250">
        <v>0</v>
      </c>
      <c r="O108" s="250">
        <v>0</v>
      </c>
      <c r="P108" s="250">
        <v>0</v>
      </c>
      <c r="Q108" s="250">
        <v>0</v>
      </c>
      <c r="R108" s="250">
        <v>0</v>
      </c>
      <c r="S108" s="250">
        <v>0</v>
      </c>
      <c r="T108" s="250">
        <v>0</v>
      </c>
      <c r="U108" s="250">
        <v>0</v>
      </c>
      <c r="V108" s="250">
        <v>0</v>
      </c>
      <c r="W108" s="250">
        <v>0</v>
      </c>
      <c r="X108" s="250">
        <v>0</v>
      </c>
      <c r="Y108" s="250">
        <v>2500</v>
      </c>
      <c r="Z108" s="250">
        <v>0</v>
      </c>
      <c r="AA108" s="250">
        <v>500</v>
      </c>
      <c r="AB108" s="250">
        <v>3500</v>
      </c>
      <c r="AC108" s="250">
        <v>0</v>
      </c>
      <c r="AD108" s="250">
        <v>0</v>
      </c>
      <c r="AE108" s="251">
        <v>0</v>
      </c>
      <c r="AF108" s="251">
        <v>0</v>
      </c>
      <c r="AG108" s="251">
        <v>480</v>
      </c>
      <c r="AH108" s="251">
        <v>0</v>
      </c>
      <c r="AI108" s="250">
        <f t="shared" si="5"/>
        <v>7480</v>
      </c>
      <c r="AJ108" s="5" t="s">
        <v>3194</v>
      </c>
    </row>
    <row r="109" spans="1:36" x14ac:dyDescent="0.35">
      <c r="A109" s="38" t="s">
        <v>1180</v>
      </c>
      <c r="B109" s="250">
        <v>0</v>
      </c>
      <c r="C109" s="250">
        <v>0</v>
      </c>
      <c r="D109" s="250">
        <v>0</v>
      </c>
      <c r="E109" s="250">
        <v>0</v>
      </c>
      <c r="F109" s="250">
        <v>0</v>
      </c>
      <c r="G109" s="250">
        <v>2500</v>
      </c>
      <c r="H109" s="250">
        <v>0</v>
      </c>
      <c r="I109" s="250">
        <v>0</v>
      </c>
      <c r="J109" s="250">
        <v>0</v>
      </c>
      <c r="K109" s="250">
        <v>0</v>
      </c>
      <c r="L109" s="250">
        <v>0</v>
      </c>
      <c r="M109" s="250">
        <v>0</v>
      </c>
      <c r="N109" s="250">
        <v>0</v>
      </c>
      <c r="O109" s="250">
        <v>0</v>
      </c>
      <c r="P109" s="250">
        <v>0</v>
      </c>
      <c r="Q109" s="250">
        <v>0</v>
      </c>
      <c r="R109" s="250">
        <v>0</v>
      </c>
      <c r="S109" s="250">
        <v>0</v>
      </c>
      <c r="T109" s="250">
        <v>0</v>
      </c>
      <c r="U109" s="250">
        <v>5000</v>
      </c>
      <c r="V109" s="250">
        <v>0</v>
      </c>
      <c r="W109" s="250">
        <v>0</v>
      </c>
      <c r="X109" s="250">
        <v>0</v>
      </c>
      <c r="Y109" s="250">
        <v>0</v>
      </c>
      <c r="Z109" s="250">
        <v>0</v>
      </c>
      <c r="AA109" s="250">
        <v>0</v>
      </c>
      <c r="AB109" s="250">
        <v>0</v>
      </c>
      <c r="AC109" s="250">
        <v>0</v>
      </c>
      <c r="AD109" s="250">
        <v>0</v>
      </c>
      <c r="AE109" s="251">
        <v>0</v>
      </c>
      <c r="AF109" s="251">
        <v>1500</v>
      </c>
      <c r="AG109" s="251">
        <v>550</v>
      </c>
      <c r="AH109" s="251">
        <v>0</v>
      </c>
      <c r="AI109" s="250">
        <f t="shared" si="5"/>
        <v>9550</v>
      </c>
      <c r="AJ109" s="5" t="s">
        <v>3194</v>
      </c>
    </row>
    <row r="110" spans="1:36" x14ac:dyDescent="0.35">
      <c r="A110" s="38" t="s">
        <v>1835</v>
      </c>
      <c r="B110" s="250">
        <v>0</v>
      </c>
      <c r="C110" s="250">
        <v>0</v>
      </c>
      <c r="D110" s="250">
        <v>2500</v>
      </c>
      <c r="E110" s="250">
        <v>0</v>
      </c>
      <c r="F110" s="250">
        <v>0</v>
      </c>
      <c r="G110" s="250">
        <v>0</v>
      </c>
      <c r="H110" s="250">
        <v>0</v>
      </c>
      <c r="I110" s="250">
        <v>0</v>
      </c>
      <c r="J110" s="250">
        <v>0</v>
      </c>
      <c r="K110" s="250">
        <v>0</v>
      </c>
      <c r="L110" s="250">
        <v>0</v>
      </c>
      <c r="M110" s="250">
        <v>0</v>
      </c>
      <c r="N110" s="250">
        <v>0</v>
      </c>
      <c r="O110" s="250">
        <v>0</v>
      </c>
      <c r="P110" s="250">
        <v>0</v>
      </c>
      <c r="Q110" s="250">
        <v>0</v>
      </c>
      <c r="R110" s="250">
        <v>5000</v>
      </c>
      <c r="S110" s="250">
        <v>0</v>
      </c>
      <c r="T110" s="250">
        <v>0</v>
      </c>
      <c r="U110" s="250">
        <v>0</v>
      </c>
      <c r="V110" s="250">
        <v>1000</v>
      </c>
      <c r="W110" s="250">
        <v>0</v>
      </c>
      <c r="X110" s="250">
        <v>0</v>
      </c>
      <c r="Y110" s="250">
        <v>0</v>
      </c>
      <c r="Z110" s="250">
        <v>0</v>
      </c>
      <c r="AA110" s="250">
        <v>0</v>
      </c>
      <c r="AB110" s="250">
        <v>0</v>
      </c>
      <c r="AC110" s="250">
        <v>0</v>
      </c>
      <c r="AD110" s="250">
        <v>0</v>
      </c>
      <c r="AE110" s="251">
        <v>0</v>
      </c>
      <c r="AF110" s="251">
        <v>0</v>
      </c>
      <c r="AG110" s="251">
        <v>350</v>
      </c>
      <c r="AH110" s="251">
        <v>0</v>
      </c>
      <c r="AI110" s="250">
        <f t="shared" si="5"/>
        <v>8850</v>
      </c>
      <c r="AJ110" s="5" t="s">
        <v>3194</v>
      </c>
    </row>
    <row r="111" spans="1:36" x14ac:dyDescent="0.35">
      <c r="A111" s="38" t="s">
        <v>1182</v>
      </c>
      <c r="B111" s="250">
        <v>0</v>
      </c>
      <c r="C111" s="250">
        <v>0</v>
      </c>
      <c r="D111" s="250">
        <v>0</v>
      </c>
      <c r="E111" s="250">
        <v>0</v>
      </c>
      <c r="F111" s="250">
        <v>0</v>
      </c>
      <c r="G111" s="250">
        <v>0</v>
      </c>
      <c r="H111" s="250">
        <v>0</v>
      </c>
      <c r="I111" s="250">
        <v>0</v>
      </c>
      <c r="J111" s="250">
        <v>0</v>
      </c>
      <c r="K111" s="250">
        <v>0</v>
      </c>
      <c r="L111" s="250">
        <v>0</v>
      </c>
      <c r="M111" s="250">
        <v>0</v>
      </c>
      <c r="N111" s="250">
        <v>0</v>
      </c>
      <c r="O111" s="250">
        <v>0</v>
      </c>
      <c r="P111" s="250">
        <v>3000</v>
      </c>
      <c r="Q111" s="250">
        <v>0</v>
      </c>
      <c r="R111" s="250">
        <v>0</v>
      </c>
      <c r="S111" s="250">
        <v>0</v>
      </c>
      <c r="T111" s="250">
        <v>0</v>
      </c>
      <c r="U111" s="250">
        <v>0</v>
      </c>
      <c r="V111" s="250">
        <v>0</v>
      </c>
      <c r="W111" s="250">
        <v>0</v>
      </c>
      <c r="X111" s="250">
        <v>0</v>
      </c>
      <c r="Y111" s="250">
        <v>0</v>
      </c>
      <c r="Z111" s="250">
        <v>0</v>
      </c>
      <c r="AA111" s="250">
        <v>0</v>
      </c>
      <c r="AB111" s="250">
        <v>0</v>
      </c>
      <c r="AC111" s="250">
        <v>0</v>
      </c>
      <c r="AD111" s="250">
        <v>0</v>
      </c>
      <c r="AE111" s="251">
        <v>500</v>
      </c>
      <c r="AF111" s="251">
        <v>1500</v>
      </c>
      <c r="AG111" s="251">
        <v>2000</v>
      </c>
      <c r="AH111" s="251">
        <v>0</v>
      </c>
      <c r="AI111" s="250">
        <f t="shared" si="5"/>
        <v>7000</v>
      </c>
      <c r="AJ111" s="5" t="s">
        <v>3194</v>
      </c>
    </row>
    <row r="112" spans="1:36" x14ac:dyDescent="0.35">
      <c r="A112" s="38" t="s">
        <v>671</v>
      </c>
      <c r="B112" s="250">
        <v>0</v>
      </c>
      <c r="C112" s="250">
        <v>0</v>
      </c>
      <c r="D112" s="250">
        <v>0</v>
      </c>
      <c r="E112" s="250">
        <v>0</v>
      </c>
      <c r="F112" s="250">
        <v>0</v>
      </c>
      <c r="G112" s="250">
        <v>0</v>
      </c>
      <c r="H112" s="250">
        <v>0</v>
      </c>
      <c r="I112" s="250">
        <v>0</v>
      </c>
      <c r="J112" s="250">
        <v>0</v>
      </c>
      <c r="K112" s="250">
        <v>0</v>
      </c>
      <c r="L112" s="250">
        <v>0</v>
      </c>
      <c r="M112" s="250">
        <v>0</v>
      </c>
      <c r="N112" s="250">
        <v>0</v>
      </c>
      <c r="O112" s="250">
        <v>0</v>
      </c>
      <c r="P112" s="250">
        <v>0</v>
      </c>
      <c r="Q112" s="250">
        <v>0</v>
      </c>
      <c r="R112" s="250">
        <v>0</v>
      </c>
      <c r="S112" s="250">
        <v>0</v>
      </c>
      <c r="T112" s="250">
        <v>0</v>
      </c>
      <c r="U112" s="250">
        <v>0</v>
      </c>
      <c r="V112" s="250">
        <v>0</v>
      </c>
      <c r="W112" s="250">
        <v>0</v>
      </c>
      <c r="X112" s="250">
        <v>0</v>
      </c>
      <c r="Y112" s="250">
        <v>0</v>
      </c>
      <c r="Z112" s="250">
        <v>0</v>
      </c>
      <c r="AA112" s="250">
        <v>0</v>
      </c>
      <c r="AB112" s="250">
        <v>7500</v>
      </c>
      <c r="AC112" s="250">
        <v>0</v>
      </c>
      <c r="AD112" s="250">
        <v>0</v>
      </c>
      <c r="AE112" s="251">
        <v>0</v>
      </c>
      <c r="AF112" s="251">
        <v>0</v>
      </c>
      <c r="AG112" s="251">
        <v>480</v>
      </c>
      <c r="AH112" s="251">
        <v>0</v>
      </c>
      <c r="AI112" s="250">
        <f t="shared" si="5"/>
        <v>7980</v>
      </c>
      <c r="AJ112" s="5" t="s">
        <v>3194</v>
      </c>
    </row>
    <row r="113" spans="1:36" x14ac:dyDescent="0.35">
      <c r="A113" s="38" t="s">
        <v>2476</v>
      </c>
      <c r="B113" s="250">
        <v>0</v>
      </c>
      <c r="C113" s="250">
        <v>0</v>
      </c>
      <c r="D113" s="250">
        <v>0</v>
      </c>
      <c r="E113" s="250">
        <v>0</v>
      </c>
      <c r="F113" s="250">
        <v>0</v>
      </c>
      <c r="G113" s="250">
        <v>0</v>
      </c>
      <c r="H113" s="250">
        <v>0</v>
      </c>
      <c r="I113" s="250">
        <v>0</v>
      </c>
      <c r="J113" s="250">
        <v>0</v>
      </c>
      <c r="K113" s="250">
        <v>0</v>
      </c>
      <c r="L113" s="250">
        <v>0</v>
      </c>
      <c r="M113" s="250">
        <v>0</v>
      </c>
      <c r="N113" s="250">
        <v>0</v>
      </c>
      <c r="O113" s="250">
        <v>0</v>
      </c>
      <c r="P113" s="250">
        <v>0</v>
      </c>
      <c r="Q113" s="250"/>
      <c r="R113" s="250">
        <v>0</v>
      </c>
      <c r="S113" s="250">
        <v>0</v>
      </c>
      <c r="T113" s="250">
        <v>0</v>
      </c>
      <c r="U113" s="250">
        <v>0</v>
      </c>
      <c r="V113" s="250">
        <v>0</v>
      </c>
      <c r="W113" s="250">
        <v>0</v>
      </c>
      <c r="X113" s="250">
        <v>0</v>
      </c>
      <c r="Y113" s="250">
        <v>0</v>
      </c>
      <c r="Z113" s="250">
        <v>0</v>
      </c>
      <c r="AA113" s="250">
        <v>0</v>
      </c>
      <c r="AB113" s="250">
        <v>7500</v>
      </c>
      <c r="AC113" s="250">
        <v>0</v>
      </c>
      <c r="AD113" s="250">
        <v>0</v>
      </c>
      <c r="AE113" s="251">
        <v>0</v>
      </c>
      <c r="AF113" s="251">
        <v>0</v>
      </c>
      <c r="AG113" s="251">
        <v>0</v>
      </c>
      <c r="AH113" s="251">
        <v>0</v>
      </c>
      <c r="AI113" s="250">
        <f t="shared" si="5"/>
        <v>7500</v>
      </c>
      <c r="AJ113" s="5" t="s">
        <v>3194</v>
      </c>
    </row>
    <row r="114" spans="1:36" x14ac:dyDescent="0.35">
      <c r="A114" s="38" t="s">
        <v>3201</v>
      </c>
      <c r="B114" s="250">
        <v>0</v>
      </c>
      <c r="C114" s="250">
        <v>0</v>
      </c>
      <c r="D114" s="250">
        <v>0</v>
      </c>
      <c r="E114" s="250">
        <v>0</v>
      </c>
      <c r="F114" s="250">
        <v>0</v>
      </c>
      <c r="G114" s="250">
        <v>0</v>
      </c>
      <c r="H114" s="250">
        <v>0</v>
      </c>
      <c r="I114" s="250">
        <v>0</v>
      </c>
      <c r="J114" s="250">
        <v>0</v>
      </c>
      <c r="K114" s="250">
        <v>0</v>
      </c>
      <c r="L114" s="250">
        <v>2000</v>
      </c>
      <c r="M114" s="250">
        <v>0</v>
      </c>
      <c r="N114" s="250">
        <v>0</v>
      </c>
      <c r="O114" s="250">
        <v>0</v>
      </c>
      <c r="P114" s="250">
        <v>0</v>
      </c>
      <c r="Q114" s="250">
        <v>0</v>
      </c>
      <c r="R114" s="250">
        <v>0</v>
      </c>
      <c r="S114" s="250">
        <v>0</v>
      </c>
      <c r="T114" s="250">
        <v>0</v>
      </c>
      <c r="U114" s="250">
        <v>2000</v>
      </c>
      <c r="V114" s="250">
        <v>450</v>
      </c>
      <c r="W114" s="250">
        <v>600</v>
      </c>
      <c r="X114" s="250">
        <v>0</v>
      </c>
      <c r="Y114" s="250">
        <v>0</v>
      </c>
      <c r="Z114" s="250">
        <v>0</v>
      </c>
      <c r="AA114" s="250">
        <v>0</v>
      </c>
      <c r="AB114" s="250">
        <v>0</v>
      </c>
      <c r="AC114" s="250">
        <v>0</v>
      </c>
      <c r="AD114" s="250">
        <v>0</v>
      </c>
      <c r="AE114" s="251">
        <v>250</v>
      </c>
      <c r="AF114" s="251">
        <v>1500</v>
      </c>
      <c r="AG114" s="251">
        <v>480</v>
      </c>
      <c r="AH114" s="251">
        <v>0</v>
      </c>
      <c r="AI114" s="250">
        <f t="shared" si="5"/>
        <v>7280</v>
      </c>
      <c r="AJ114" s="5" t="s">
        <v>3194</v>
      </c>
    </row>
    <row r="115" spans="1:36" x14ac:dyDescent="0.35">
      <c r="A115" s="38" t="s">
        <v>363</v>
      </c>
      <c r="B115" s="250">
        <v>0</v>
      </c>
      <c r="C115" s="250">
        <v>1500</v>
      </c>
      <c r="D115" s="250">
        <v>0</v>
      </c>
      <c r="E115" s="250">
        <v>0</v>
      </c>
      <c r="F115" s="250">
        <v>0</v>
      </c>
      <c r="G115" s="250">
        <v>0</v>
      </c>
      <c r="H115" s="250">
        <v>2500</v>
      </c>
      <c r="I115" s="250">
        <v>0</v>
      </c>
      <c r="J115" s="250">
        <v>0</v>
      </c>
      <c r="K115" s="250">
        <v>0</v>
      </c>
      <c r="L115" s="250">
        <v>0</v>
      </c>
      <c r="M115" s="250">
        <v>1795</v>
      </c>
      <c r="N115" s="250">
        <v>750</v>
      </c>
      <c r="O115" s="250">
        <v>0</v>
      </c>
      <c r="P115" s="250">
        <v>0</v>
      </c>
      <c r="Q115" s="250">
        <v>0</v>
      </c>
      <c r="R115" s="250">
        <v>0</v>
      </c>
      <c r="S115" s="250">
        <v>0</v>
      </c>
      <c r="T115" s="250">
        <v>0</v>
      </c>
      <c r="U115" s="250">
        <v>0</v>
      </c>
      <c r="V115" s="250">
        <v>0</v>
      </c>
      <c r="W115" s="250">
        <v>0</v>
      </c>
      <c r="X115" s="250">
        <v>0</v>
      </c>
      <c r="Y115" s="250">
        <v>0</v>
      </c>
      <c r="Z115" s="250">
        <v>0</v>
      </c>
      <c r="AA115" s="250">
        <v>0</v>
      </c>
      <c r="AB115" s="250">
        <v>0</v>
      </c>
      <c r="AC115" s="250">
        <v>0</v>
      </c>
      <c r="AD115" s="250">
        <v>0</v>
      </c>
      <c r="AE115" s="251">
        <v>0</v>
      </c>
      <c r="AF115" s="251">
        <v>1500</v>
      </c>
      <c r="AG115" s="251">
        <v>1000</v>
      </c>
      <c r="AH115" s="251">
        <v>0</v>
      </c>
      <c r="AI115" s="250">
        <f t="shared" si="5"/>
        <v>9045</v>
      </c>
      <c r="AJ115" s="5" t="s">
        <v>3194</v>
      </c>
    </row>
    <row r="116" spans="1:36" x14ac:dyDescent="0.35">
      <c r="A116" s="38" t="s">
        <v>601</v>
      </c>
      <c r="B116" s="250">
        <v>0</v>
      </c>
      <c r="C116" s="250">
        <v>0</v>
      </c>
      <c r="D116" s="250">
        <v>0</v>
      </c>
      <c r="E116" s="250">
        <v>5000</v>
      </c>
      <c r="F116" s="250">
        <v>0</v>
      </c>
      <c r="G116" s="250">
        <v>0</v>
      </c>
      <c r="H116" s="250">
        <v>0</v>
      </c>
      <c r="I116" s="250">
        <v>0</v>
      </c>
      <c r="J116" s="250">
        <v>0</v>
      </c>
      <c r="K116" s="250">
        <v>0</v>
      </c>
      <c r="L116" s="250">
        <v>0</v>
      </c>
      <c r="M116" s="250">
        <v>0</v>
      </c>
      <c r="N116" s="250">
        <v>0</v>
      </c>
      <c r="O116" s="250">
        <v>0</v>
      </c>
      <c r="P116" s="250">
        <v>0</v>
      </c>
      <c r="Q116" s="250">
        <v>1000</v>
      </c>
      <c r="R116" s="250">
        <v>0</v>
      </c>
      <c r="S116" s="250">
        <v>0</v>
      </c>
      <c r="T116" s="250">
        <v>0</v>
      </c>
      <c r="U116" s="250">
        <v>0</v>
      </c>
      <c r="V116" s="250">
        <v>0</v>
      </c>
      <c r="W116" s="250">
        <v>0</v>
      </c>
      <c r="X116" s="250">
        <v>0</v>
      </c>
      <c r="Y116" s="250">
        <v>0</v>
      </c>
      <c r="Z116" s="250">
        <v>2500</v>
      </c>
      <c r="AA116" s="250">
        <v>0</v>
      </c>
      <c r="AB116" s="250">
        <v>0</v>
      </c>
      <c r="AC116" s="250">
        <v>0</v>
      </c>
      <c r="AD116" s="250">
        <v>0</v>
      </c>
      <c r="AE116" s="251">
        <v>0</v>
      </c>
      <c r="AF116" s="251">
        <v>0</v>
      </c>
      <c r="AG116" s="251">
        <v>350</v>
      </c>
      <c r="AH116" s="251">
        <v>0</v>
      </c>
      <c r="AI116" s="250">
        <f t="shared" si="5"/>
        <v>8850</v>
      </c>
      <c r="AJ116" s="5" t="s">
        <v>3194</v>
      </c>
    </row>
    <row r="117" spans="1:36" x14ac:dyDescent="0.35">
      <c r="A117" s="38" t="s">
        <v>2369</v>
      </c>
      <c r="B117" s="250">
        <v>0</v>
      </c>
      <c r="C117" s="250">
        <v>0</v>
      </c>
      <c r="D117" s="250">
        <v>0</v>
      </c>
      <c r="E117" s="250">
        <v>0</v>
      </c>
      <c r="F117" s="250">
        <v>0</v>
      </c>
      <c r="G117" s="250">
        <v>0</v>
      </c>
      <c r="H117" s="250">
        <v>0</v>
      </c>
      <c r="I117" s="250">
        <v>0</v>
      </c>
      <c r="J117" s="250">
        <v>0</v>
      </c>
      <c r="K117" s="250">
        <v>0</v>
      </c>
      <c r="L117" s="250">
        <v>0</v>
      </c>
      <c r="M117" s="250">
        <v>0</v>
      </c>
      <c r="N117" s="250">
        <v>0</v>
      </c>
      <c r="O117" s="250">
        <v>0</v>
      </c>
      <c r="P117" s="250">
        <v>0</v>
      </c>
      <c r="Q117" s="250">
        <v>0</v>
      </c>
      <c r="R117" s="250">
        <v>0</v>
      </c>
      <c r="S117" s="250">
        <v>0</v>
      </c>
      <c r="T117" s="250">
        <v>0</v>
      </c>
      <c r="U117" s="250">
        <v>0</v>
      </c>
      <c r="V117" s="250">
        <v>0</v>
      </c>
      <c r="W117" s="250">
        <v>0</v>
      </c>
      <c r="X117" s="250">
        <v>0</v>
      </c>
      <c r="Y117" s="250">
        <v>0</v>
      </c>
      <c r="Z117" s="250">
        <v>0</v>
      </c>
      <c r="AA117" s="250">
        <v>0</v>
      </c>
      <c r="AB117" s="250">
        <v>7500</v>
      </c>
      <c r="AC117" s="250">
        <v>0</v>
      </c>
      <c r="AD117" s="250">
        <v>0</v>
      </c>
      <c r="AE117" s="251">
        <v>0</v>
      </c>
      <c r="AF117" s="251">
        <v>0</v>
      </c>
      <c r="AG117" s="251">
        <v>550</v>
      </c>
      <c r="AH117" s="251">
        <v>0</v>
      </c>
      <c r="AI117" s="250">
        <f t="shared" si="5"/>
        <v>8050</v>
      </c>
      <c r="AJ117" s="5" t="s">
        <v>3194</v>
      </c>
    </row>
    <row r="118" spans="1:36" x14ac:dyDescent="0.35">
      <c r="A118" s="38" t="s">
        <v>872</v>
      </c>
      <c r="B118" s="250">
        <v>0</v>
      </c>
      <c r="C118" s="250">
        <v>0</v>
      </c>
      <c r="D118" s="250">
        <v>0</v>
      </c>
      <c r="E118" s="250">
        <v>0</v>
      </c>
      <c r="F118" s="250">
        <v>0</v>
      </c>
      <c r="G118" s="250">
        <v>0</v>
      </c>
      <c r="H118" s="250">
        <v>0</v>
      </c>
      <c r="I118" s="250">
        <v>0</v>
      </c>
      <c r="J118" s="250">
        <v>0</v>
      </c>
      <c r="K118" s="250">
        <v>1650</v>
      </c>
      <c r="L118" s="250">
        <v>0</v>
      </c>
      <c r="M118" s="250">
        <v>0</v>
      </c>
      <c r="N118" s="250">
        <v>0</v>
      </c>
      <c r="O118" s="250">
        <v>0</v>
      </c>
      <c r="P118" s="250">
        <v>0</v>
      </c>
      <c r="Q118" s="250"/>
      <c r="R118" s="250">
        <v>0</v>
      </c>
      <c r="S118" s="250">
        <v>0</v>
      </c>
      <c r="T118" s="250">
        <v>0</v>
      </c>
      <c r="U118" s="250">
        <v>0</v>
      </c>
      <c r="V118" s="250"/>
      <c r="W118" s="250">
        <v>1500</v>
      </c>
      <c r="X118" s="250">
        <v>0</v>
      </c>
      <c r="Y118" s="250">
        <v>0</v>
      </c>
      <c r="Z118" s="250">
        <v>0</v>
      </c>
      <c r="AA118" s="250">
        <v>2000</v>
      </c>
      <c r="AB118" s="250">
        <v>0</v>
      </c>
      <c r="AC118" s="250">
        <v>1500</v>
      </c>
      <c r="AD118" s="250">
        <v>0</v>
      </c>
      <c r="AE118" s="251">
        <v>0</v>
      </c>
      <c r="AF118" s="251">
        <v>0</v>
      </c>
      <c r="AG118" s="251">
        <v>350</v>
      </c>
      <c r="AH118" s="251">
        <v>0</v>
      </c>
      <c r="AI118" s="250">
        <f t="shared" si="5"/>
        <v>7000</v>
      </c>
      <c r="AJ118" s="5" t="s">
        <v>3194</v>
      </c>
    </row>
    <row r="119" spans="1:36" x14ac:dyDescent="0.35">
      <c r="A119" s="38" t="s">
        <v>373</v>
      </c>
      <c r="B119" s="250">
        <v>0</v>
      </c>
      <c r="C119" s="250">
        <v>1500</v>
      </c>
      <c r="D119" s="250">
        <v>0</v>
      </c>
      <c r="E119" s="250">
        <v>0</v>
      </c>
      <c r="F119" s="250">
        <v>0</v>
      </c>
      <c r="G119" s="250">
        <v>0</v>
      </c>
      <c r="H119" s="250">
        <v>0</v>
      </c>
      <c r="I119" s="250">
        <v>0</v>
      </c>
      <c r="J119" s="250">
        <v>0</v>
      </c>
      <c r="K119" s="250">
        <v>0</v>
      </c>
      <c r="L119" s="250">
        <v>0</v>
      </c>
      <c r="M119" s="250">
        <v>0</v>
      </c>
      <c r="N119" s="250">
        <v>1250</v>
      </c>
      <c r="O119" s="250">
        <v>0</v>
      </c>
      <c r="P119" s="250">
        <v>0</v>
      </c>
      <c r="Q119" s="250">
        <v>0</v>
      </c>
      <c r="R119" s="250">
        <v>0</v>
      </c>
      <c r="S119" s="250">
        <v>0</v>
      </c>
      <c r="T119" s="250">
        <v>0</v>
      </c>
      <c r="U119" s="250">
        <v>0</v>
      </c>
      <c r="V119" s="250">
        <v>400</v>
      </c>
      <c r="W119" s="250">
        <v>3200</v>
      </c>
      <c r="X119" s="250">
        <v>0</v>
      </c>
      <c r="Y119" s="250">
        <v>0</v>
      </c>
      <c r="Z119" s="250">
        <v>0</v>
      </c>
      <c r="AA119" s="250">
        <v>0</v>
      </c>
      <c r="AB119" s="250">
        <v>0</v>
      </c>
      <c r="AC119" s="250">
        <v>0</v>
      </c>
      <c r="AD119" s="250">
        <v>0</v>
      </c>
      <c r="AE119" s="251">
        <v>0</v>
      </c>
      <c r="AF119" s="251">
        <v>1500</v>
      </c>
      <c r="AG119" s="251">
        <v>1910</v>
      </c>
      <c r="AH119" s="251">
        <v>0</v>
      </c>
      <c r="AI119" s="250">
        <f t="shared" si="5"/>
        <v>9760</v>
      </c>
      <c r="AJ119" s="5" t="s">
        <v>3194</v>
      </c>
    </row>
    <row r="120" spans="1:36" x14ac:dyDescent="0.35">
      <c r="A120" s="38" t="s">
        <v>507</v>
      </c>
      <c r="B120" s="250">
        <v>0</v>
      </c>
      <c r="C120" s="250">
        <v>0</v>
      </c>
      <c r="D120" s="250">
        <v>600</v>
      </c>
      <c r="E120" s="250">
        <v>0</v>
      </c>
      <c r="F120" s="250">
        <v>600</v>
      </c>
      <c r="G120" s="250">
        <v>0</v>
      </c>
      <c r="H120" s="250">
        <v>0</v>
      </c>
      <c r="I120" s="250">
        <v>0</v>
      </c>
      <c r="J120" s="250">
        <v>0</v>
      </c>
      <c r="K120" s="250">
        <v>0</v>
      </c>
      <c r="L120" s="250">
        <v>0</v>
      </c>
      <c r="M120" s="250">
        <v>0</v>
      </c>
      <c r="N120" s="250">
        <v>0</v>
      </c>
      <c r="O120" s="250">
        <v>0</v>
      </c>
      <c r="P120" s="250">
        <v>0</v>
      </c>
      <c r="Q120" s="250">
        <v>2500</v>
      </c>
      <c r="R120" s="250">
        <v>0</v>
      </c>
      <c r="S120" s="250">
        <v>0</v>
      </c>
      <c r="T120" s="250">
        <v>0</v>
      </c>
      <c r="U120" s="250">
        <v>0</v>
      </c>
      <c r="V120" s="250">
        <v>0</v>
      </c>
      <c r="W120" s="250">
        <v>0</v>
      </c>
      <c r="X120" s="250">
        <v>0</v>
      </c>
      <c r="Y120" s="250">
        <v>0</v>
      </c>
      <c r="Z120" s="250">
        <v>0</v>
      </c>
      <c r="AA120" s="250">
        <v>0</v>
      </c>
      <c r="AB120" s="250">
        <v>0</v>
      </c>
      <c r="AC120" s="250">
        <v>0</v>
      </c>
      <c r="AD120" s="250">
        <v>0</v>
      </c>
      <c r="AE120" s="251">
        <v>500</v>
      </c>
      <c r="AF120" s="251">
        <v>3000</v>
      </c>
      <c r="AG120" s="251">
        <v>625</v>
      </c>
      <c r="AH120" s="251">
        <v>0</v>
      </c>
      <c r="AI120" s="250">
        <f t="shared" si="5"/>
        <v>7825</v>
      </c>
      <c r="AJ120" s="5" t="s">
        <v>3194</v>
      </c>
    </row>
    <row r="121" spans="1:36" x14ac:dyDescent="0.35">
      <c r="A121" s="38" t="s">
        <v>424</v>
      </c>
      <c r="B121" s="250">
        <v>0</v>
      </c>
      <c r="C121" s="250">
        <v>1500</v>
      </c>
      <c r="D121" s="250">
        <v>0</v>
      </c>
      <c r="E121" s="250">
        <v>0</v>
      </c>
      <c r="F121" s="250">
        <v>0</v>
      </c>
      <c r="G121" s="250">
        <v>0</v>
      </c>
      <c r="H121" s="250">
        <v>0</v>
      </c>
      <c r="I121" s="250">
        <v>0</v>
      </c>
      <c r="J121" s="250">
        <v>0</v>
      </c>
      <c r="K121" s="250">
        <v>0</v>
      </c>
      <c r="L121" s="250">
        <v>0</v>
      </c>
      <c r="M121" s="250">
        <v>0</v>
      </c>
      <c r="N121" s="250">
        <v>0</v>
      </c>
      <c r="O121" s="250">
        <v>0</v>
      </c>
      <c r="P121" s="250">
        <v>0</v>
      </c>
      <c r="Q121" s="250">
        <v>0</v>
      </c>
      <c r="R121" s="250">
        <v>0</v>
      </c>
      <c r="S121" s="250">
        <v>6500</v>
      </c>
      <c r="T121" s="250">
        <v>0</v>
      </c>
      <c r="U121" s="250">
        <v>0</v>
      </c>
      <c r="V121" s="250">
        <v>0</v>
      </c>
      <c r="W121" s="250">
        <v>0</v>
      </c>
      <c r="X121" s="250">
        <v>0</v>
      </c>
      <c r="Y121" s="250">
        <v>0</v>
      </c>
      <c r="Z121" s="250">
        <v>0</v>
      </c>
      <c r="AA121" s="250">
        <v>0</v>
      </c>
      <c r="AB121" s="250">
        <v>0</v>
      </c>
      <c r="AC121" s="250">
        <v>0</v>
      </c>
      <c r="AD121" s="250">
        <v>0</v>
      </c>
      <c r="AE121" s="251">
        <v>0</v>
      </c>
      <c r="AF121" s="251">
        <v>0</v>
      </c>
      <c r="AG121" s="251">
        <v>1150</v>
      </c>
      <c r="AH121" s="251">
        <v>0</v>
      </c>
      <c r="AI121" s="250">
        <f t="shared" si="5"/>
        <v>9150</v>
      </c>
      <c r="AJ121" s="5" t="s">
        <v>3194</v>
      </c>
    </row>
    <row r="122" spans="1:36" x14ac:dyDescent="0.35">
      <c r="A122" s="38" t="s">
        <v>819</v>
      </c>
      <c r="B122" s="250">
        <v>0</v>
      </c>
      <c r="C122" s="250">
        <v>1500</v>
      </c>
      <c r="D122" s="250">
        <v>0</v>
      </c>
      <c r="E122" s="250">
        <v>0</v>
      </c>
      <c r="F122" s="250">
        <v>600</v>
      </c>
      <c r="G122" s="250">
        <v>750</v>
      </c>
      <c r="H122" s="250">
        <v>1000</v>
      </c>
      <c r="I122" s="250">
        <v>0</v>
      </c>
      <c r="J122" s="250">
        <v>0</v>
      </c>
      <c r="K122" s="250">
        <v>0</v>
      </c>
      <c r="L122" s="250">
        <v>0</v>
      </c>
      <c r="M122" s="250">
        <v>0</v>
      </c>
      <c r="N122" s="250">
        <v>0</v>
      </c>
      <c r="O122" s="250">
        <v>0</v>
      </c>
      <c r="P122" s="250">
        <v>0</v>
      </c>
      <c r="Q122" s="250">
        <v>0</v>
      </c>
      <c r="R122" s="250">
        <v>0</v>
      </c>
      <c r="S122" s="250">
        <v>0</v>
      </c>
      <c r="T122" s="250">
        <v>0</v>
      </c>
      <c r="U122" s="250">
        <v>0</v>
      </c>
      <c r="V122" s="250">
        <v>1000</v>
      </c>
      <c r="W122" s="250">
        <v>0</v>
      </c>
      <c r="X122" s="250">
        <v>0</v>
      </c>
      <c r="Y122" s="250">
        <v>0</v>
      </c>
      <c r="Z122" s="250">
        <v>0</v>
      </c>
      <c r="AA122" s="250">
        <v>650</v>
      </c>
      <c r="AB122" s="250">
        <v>0</v>
      </c>
      <c r="AC122" s="250">
        <v>0</v>
      </c>
      <c r="AD122" s="250">
        <v>0</v>
      </c>
      <c r="AE122" s="251">
        <v>0</v>
      </c>
      <c r="AF122" s="251">
        <v>3000</v>
      </c>
      <c r="AG122" s="251">
        <v>430</v>
      </c>
      <c r="AH122" s="251">
        <v>0</v>
      </c>
      <c r="AI122" s="250">
        <f t="shared" si="5"/>
        <v>8930</v>
      </c>
      <c r="AJ122" s="5" t="s">
        <v>3194</v>
      </c>
    </row>
    <row r="126" spans="1:36" x14ac:dyDescent="0.35">
      <c r="AI126" s="29">
        <f>SUM(AI3:AI122)</f>
        <v>2964871.5</v>
      </c>
    </row>
  </sheetData>
  <sortState xmlns:xlrd2="http://schemas.microsoft.com/office/spreadsheetml/2017/richdata2" ref="A96:AJ122">
    <sortCondition ref="A95:A122"/>
  </sortState>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197d4cf-4fe5-4f3f-931e-46da46e5db5a" xsi:nil="true"/>
    <lcf76f155ced4ddcb4097134ff3c332f xmlns="b366db6d-58a0-4d0b-b09b-13ad725fe5d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A86ECCA75A6BC44B1FF841F62880A52" ma:contentTypeVersion="19" ma:contentTypeDescription="Create a new document." ma:contentTypeScope="" ma:versionID="2d659fd9d5fec8e9ad14d99797e7c388">
  <xsd:schema xmlns:xsd="http://www.w3.org/2001/XMLSchema" xmlns:xs="http://www.w3.org/2001/XMLSchema" xmlns:p="http://schemas.microsoft.com/office/2006/metadata/properties" xmlns:ns2="e197d4cf-4fe5-4f3f-931e-46da46e5db5a" xmlns:ns3="b366db6d-58a0-4d0b-b09b-13ad725fe5d7" targetNamespace="http://schemas.microsoft.com/office/2006/metadata/properties" ma:root="true" ma:fieldsID="586f4af03753bcae256891e77c2e0cda" ns2:_="" ns3:_="">
    <xsd:import namespace="e197d4cf-4fe5-4f3f-931e-46da46e5db5a"/>
    <xsd:import namespace="b366db6d-58a0-4d0b-b09b-13ad725fe5d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97d4cf-4fe5-4f3f-931e-46da46e5db5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2" nillable="true" ma:displayName="Taxonomy Catch All Column" ma:hidden="true" ma:list="{1d024dfa-60a5-4413-959c-c4d9e37d83e3}" ma:internalName="TaxCatchAll" ma:showField="CatchAllData" ma:web="e197d4cf-4fe5-4f3f-931e-46da46e5db5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366db6d-58a0-4d0b-b09b-13ad725fe5d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eda9940-70f9-474f-ab97-90c16e6714e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FD98D1-2A14-4CCB-B497-F4E401C45A59}">
  <ds:schemaRefs>
    <ds:schemaRef ds:uri="http://schemas.microsoft.com/office/2006/metadata/properties"/>
    <ds:schemaRef ds:uri="http://schemas.microsoft.com/office/infopath/2007/PartnerControls"/>
    <ds:schemaRef ds:uri="e197d4cf-4fe5-4f3f-931e-46da46e5db5a"/>
    <ds:schemaRef ds:uri="b366db6d-58a0-4d0b-b09b-13ad725fe5d7"/>
  </ds:schemaRefs>
</ds:datastoreItem>
</file>

<file path=customXml/itemProps2.xml><?xml version="1.0" encoding="utf-8"?>
<ds:datastoreItem xmlns:ds="http://schemas.openxmlformats.org/officeDocument/2006/customXml" ds:itemID="{9776B87B-09F1-4B0C-B5C6-C90DA93E3DE9}">
  <ds:schemaRefs>
    <ds:schemaRef ds:uri="http://schemas.microsoft.com/sharepoint/v3/contenttype/forms"/>
  </ds:schemaRefs>
</ds:datastoreItem>
</file>

<file path=customXml/itemProps3.xml><?xml version="1.0" encoding="utf-8"?>
<ds:datastoreItem xmlns:ds="http://schemas.openxmlformats.org/officeDocument/2006/customXml" ds:itemID="{61710E24-C232-4D36-B8EC-C12A0D4F32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97d4cf-4fe5-4f3f-931e-46da46e5db5a"/>
    <ds:schemaRef ds:uri="b366db6d-58a0-4d0b-b09b-13ad725fe5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1</vt:i4>
      </vt:variant>
    </vt:vector>
  </HeadingPairs>
  <TitlesOfParts>
    <vt:vector size="43" baseType="lpstr">
      <vt:lpstr>Academic Signing Day</vt:lpstr>
      <vt:lpstr>Annual Meeting</vt:lpstr>
      <vt:lpstr>Baggo for Business</vt:lpstr>
      <vt:lpstr>Biketoberfest</vt:lpstr>
      <vt:lpstr>Bowling for Business</vt:lpstr>
      <vt:lpstr>Business Expo &amp; Taste of Conway</vt:lpstr>
      <vt:lpstr>Catfish &amp; Cold Ones</vt:lpstr>
      <vt:lpstr>CDC Membership</vt:lpstr>
      <vt:lpstr>CDP Annual Meeting</vt:lpstr>
      <vt:lpstr>CEO Luncheons</vt:lpstr>
      <vt:lpstr>Conway+</vt:lpstr>
      <vt:lpstr>Conway Area Healthcare Awards</vt:lpstr>
      <vt:lpstr>CALI Tuition</vt:lpstr>
      <vt:lpstr>CALI</vt:lpstr>
      <vt:lpstr>Diversity in Business</vt:lpstr>
      <vt:lpstr>Government Affairs</vt:lpstr>
      <vt:lpstr>Happy Birthday Conway</vt:lpstr>
      <vt:lpstr>Illuminate</vt:lpstr>
      <vt:lpstr>Launch Conway</vt:lpstr>
      <vt:lpstr>Off the Clocks</vt:lpstr>
      <vt:lpstr>Outlook Conway</vt:lpstr>
      <vt:lpstr>OC Invites</vt:lpstr>
      <vt:lpstr>Online</vt:lpstr>
      <vt:lpstr>Pulse of Conway</vt:lpstr>
      <vt:lpstr>Purple Passion</vt:lpstr>
      <vt:lpstr>SPARK!</vt:lpstr>
      <vt:lpstr>Teacher BKF &amp; Education Fair</vt:lpstr>
      <vt:lpstr>Toad Suck Daze</vt:lpstr>
      <vt:lpstr>Welcome to Conway Box</vt:lpstr>
      <vt:lpstr>Women in Business</vt:lpstr>
      <vt:lpstr>Master</vt:lpstr>
      <vt:lpstr>% to Goal</vt:lpstr>
      <vt:lpstr>Collection %s</vt:lpstr>
      <vt:lpstr>Chamber Board Report</vt:lpstr>
      <vt:lpstr>Overall Sales Report</vt:lpstr>
      <vt:lpstr>Conway Pub. Board Report</vt:lpstr>
      <vt:lpstr>YTD Sales by Person</vt:lpstr>
      <vt:lpstr>Blueprint Accounts</vt:lpstr>
      <vt:lpstr>2ND Level to Sell</vt:lpstr>
      <vt:lpstr>Member2Member Comps</vt:lpstr>
      <vt:lpstr>Chairman's Circle Levels</vt:lpstr>
      <vt:lpstr>Chairman's Circle Investors</vt:lpstr>
      <vt:lpstr>'CDC Membership'!Print_Area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Lindsay Henderson</dc:creator>
  <cp:keywords/>
  <dc:description/>
  <cp:lastModifiedBy>Conway Chamber</cp:lastModifiedBy>
  <cp:revision/>
  <dcterms:created xsi:type="dcterms:W3CDTF">2024-09-26T21:21:40Z</dcterms:created>
  <dcterms:modified xsi:type="dcterms:W3CDTF">2025-12-27T05:41:00Z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0x0101006A86ECCA75A6BC44B1FF841F62880A52</vt:lpwstr>
  </property>
  <property fmtid="{D5CDD505-2E9C-101B-9397-08002B2CF9AE}" pid="3" name="MediaServiceImageTags">
    <vt:lpwstr/>
  </property>
</Properties>
</file>